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hrezk2_uic_edu/Documents/"/>
    </mc:Choice>
  </mc:AlternateContent>
  <xr:revisionPtr revIDLastSave="0" documentId="8_{B1A43EA9-7A9E-401A-9435-9641BA61DAC0}" xr6:coauthVersionLast="47" xr6:coauthVersionMax="47" xr10:uidLastSave="{00000000-0000-0000-0000-000000000000}"/>
  <bookViews>
    <workbookView xWindow="-110" yWindow="-110" windowWidth="29020" windowHeight="17500" xr2:uid="{0473952F-E482-45E9-ABC1-C8D205DD6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10" i="1" s="1"/>
  <c r="S35" i="1"/>
  <c r="R10" i="1" s="1"/>
  <c r="R35" i="1"/>
  <c r="R9" i="1" s="1"/>
  <c r="Q35" i="1"/>
  <c r="R8" i="1" s="1"/>
  <c r="O35" i="1"/>
  <c r="R5" i="1" s="1"/>
  <c r="N35" i="1"/>
  <c r="R6" i="1" s="1"/>
  <c r="M35" i="1"/>
  <c r="R7" i="1" s="1"/>
  <c r="S31" i="1"/>
  <c r="S32" i="1"/>
  <c r="S33" i="1"/>
  <c r="S34" i="1"/>
  <c r="S30" i="1"/>
  <c r="S36" i="1" s="1"/>
  <c r="S40" i="1" s="1"/>
  <c r="R32" i="1"/>
  <c r="R30" i="1"/>
  <c r="Q32" i="1"/>
  <c r="Q30" i="1"/>
  <c r="O31" i="1"/>
  <c r="O32" i="1"/>
  <c r="O33" i="1"/>
  <c r="O34" i="1"/>
  <c r="O30" i="1"/>
  <c r="N30" i="1"/>
  <c r="L32" i="1"/>
  <c r="N32" i="1" s="1"/>
  <c r="L31" i="1"/>
  <c r="Q31" i="1" s="1"/>
  <c r="M31" i="1"/>
  <c r="M32" i="1"/>
  <c r="M30" i="1"/>
  <c r="L33" i="1"/>
  <c r="Q33" i="1" s="1"/>
  <c r="L34" i="1"/>
  <c r="N34" i="1" s="1"/>
  <c r="E39" i="1"/>
  <c r="F13" i="1"/>
  <c r="G14" i="1" s="1"/>
  <c r="H14" i="1" s="1"/>
  <c r="F14" i="1"/>
  <c r="G15" i="1" s="1"/>
  <c r="H15" i="1" s="1"/>
  <c r="F15" i="1"/>
  <c r="G16" i="1" s="1"/>
  <c r="H16" i="1" s="1"/>
  <c r="F16" i="1"/>
  <c r="G17" i="1" s="1"/>
  <c r="H17" i="1" s="1"/>
  <c r="F19" i="1"/>
  <c r="G20" i="1" s="1"/>
  <c r="H20" i="1" s="1"/>
  <c r="F20" i="1"/>
  <c r="G21" i="1" s="1"/>
  <c r="H21" i="1" s="1"/>
  <c r="F21" i="1"/>
  <c r="G22" i="1" s="1"/>
  <c r="H22" i="1" s="1"/>
  <c r="F17" i="1"/>
  <c r="G18" i="1" s="1"/>
  <c r="H18" i="1" s="1"/>
  <c r="F18" i="1"/>
  <c r="G19" i="1" s="1"/>
  <c r="H19" i="1" s="1"/>
  <c r="F25" i="1"/>
  <c r="G26" i="1" s="1"/>
  <c r="H26" i="1" s="1"/>
  <c r="F26" i="1"/>
  <c r="F22" i="1"/>
  <c r="G23" i="1" s="1"/>
  <c r="H23" i="1" s="1"/>
  <c r="F23" i="1"/>
  <c r="G24" i="1" s="1"/>
  <c r="H24" i="1" s="1"/>
  <c r="F24" i="1"/>
  <c r="G25" i="1" s="1"/>
  <c r="H25" i="1" s="1"/>
  <c r="I5" i="1"/>
  <c r="H7" i="1"/>
  <c r="H41" i="1"/>
  <c r="H44" i="1" s="1"/>
  <c r="C6" i="1"/>
  <c r="C7" i="1" s="1"/>
  <c r="R31" i="1" l="1"/>
  <c r="R36" i="1" s="1"/>
  <c r="R40" i="1" s="1"/>
  <c r="R34" i="1"/>
  <c r="R33" i="1"/>
  <c r="O36" i="1"/>
  <c r="O40" i="1" s="1"/>
  <c r="I7" i="1"/>
  <c r="J7" i="1" s="1"/>
  <c r="C8" i="1"/>
  <c r="I6" i="1"/>
  <c r="M33" i="1"/>
  <c r="Q34" i="1"/>
  <c r="Q36" i="1" s="1"/>
  <c r="Q40" i="1" s="1"/>
  <c r="N33" i="1"/>
  <c r="L36" i="1"/>
  <c r="M34" i="1"/>
  <c r="N31" i="1"/>
  <c r="N36" i="1" s="1"/>
  <c r="N40" i="1" s="1"/>
  <c r="M36" i="1" l="1"/>
  <c r="M40" i="1"/>
  <c r="L40" i="1"/>
  <c r="L37" i="1"/>
  <c r="I8" i="1"/>
  <c r="C9" i="1"/>
  <c r="H5" i="1"/>
  <c r="J5" i="1" s="1"/>
  <c r="K5" i="1" s="1"/>
  <c r="F5" i="1"/>
  <c r="R37" i="1" l="1"/>
  <c r="Q37" i="1"/>
  <c r="O37" i="1"/>
  <c r="M37" i="1"/>
  <c r="S37" i="1"/>
  <c r="N37" i="1"/>
  <c r="E9" i="1"/>
  <c r="E10" i="1"/>
  <c r="F10" i="1" s="1"/>
  <c r="G11" i="1" s="1"/>
  <c r="H11" i="1" s="1"/>
  <c r="E7" i="1"/>
  <c r="F7" i="1" s="1"/>
  <c r="G8" i="1" s="1"/>
  <c r="H8" i="1" s="1"/>
  <c r="J8" i="1" s="1"/>
  <c r="E11" i="1"/>
  <c r="F11" i="1" s="1"/>
  <c r="G12" i="1" s="1"/>
  <c r="H12" i="1" s="1"/>
  <c r="E12" i="1"/>
  <c r="E8" i="1"/>
  <c r="I9" i="1"/>
  <c r="C10" i="1"/>
  <c r="H6" i="1"/>
  <c r="J6" i="1" s="1"/>
  <c r="K6" i="1" s="1"/>
  <c r="K7" i="1" s="1"/>
  <c r="F6" i="1"/>
  <c r="F9" i="1"/>
  <c r="G10" i="1" s="1"/>
  <c r="H10" i="1" s="1"/>
  <c r="F12" i="1"/>
  <c r="G13" i="1" s="1"/>
  <c r="H13" i="1" s="1"/>
  <c r="F8" i="1"/>
  <c r="G9" i="1" s="1"/>
  <c r="H9" i="1" s="1"/>
  <c r="K8" i="1" l="1"/>
  <c r="J9" i="1"/>
  <c r="I10" i="1"/>
  <c r="J10" i="1" s="1"/>
  <c r="C11" i="1"/>
  <c r="K9" i="1" l="1"/>
  <c r="K10" i="1" s="1"/>
  <c r="I11" i="1"/>
  <c r="J11" i="1" s="1"/>
  <c r="C12" i="1"/>
  <c r="K11" i="1" l="1"/>
  <c r="I12" i="1"/>
  <c r="J12" i="1" s="1"/>
  <c r="C13" i="1"/>
  <c r="K12" i="1" l="1"/>
  <c r="I13" i="1"/>
  <c r="J13" i="1" s="1"/>
  <c r="C14" i="1"/>
  <c r="K13" i="1" l="1"/>
  <c r="C15" i="1"/>
  <c r="I14" i="1"/>
  <c r="J14" i="1" s="1"/>
  <c r="K14" i="1" l="1"/>
  <c r="C16" i="1"/>
  <c r="I15" i="1"/>
  <c r="J15" i="1" s="1"/>
  <c r="K15" i="1" l="1"/>
  <c r="C17" i="1"/>
  <c r="I16" i="1"/>
  <c r="J16" i="1" s="1"/>
  <c r="K16" i="1" l="1"/>
  <c r="C18" i="1"/>
  <c r="I17" i="1"/>
  <c r="J17" i="1" s="1"/>
  <c r="K17" i="1" s="1"/>
  <c r="C19" i="1" l="1"/>
  <c r="I18" i="1"/>
  <c r="J18" i="1" s="1"/>
  <c r="K18" i="1" s="1"/>
  <c r="C20" i="1" l="1"/>
  <c r="I19" i="1"/>
  <c r="J19" i="1" s="1"/>
  <c r="K19" i="1" s="1"/>
  <c r="C21" i="1" l="1"/>
  <c r="I20" i="1"/>
  <c r="J20" i="1" s="1"/>
  <c r="K20" i="1" s="1"/>
  <c r="C22" i="1" l="1"/>
  <c r="I21" i="1"/>
  <c r="J21" i="1" s="1"/>
  <c r="K21" i="1" s="1"/>
  <c r="C23" i="1" l="1"/>
  <c r="I22" i="1"/>
  <c r="J22" i="1" s="1"/>
  <c r="K22" i="1" s="1"/>
  <c r="C24" i="1" l="1"/>
  <c r="I23" i="1"/>
  <c r="J23" i="1" s="1"/>
  <c r="K23" i="1" s="1"/>
  <c r="C25" i="1" l="1"/>
  <c r="I24" i="1"/>
  <c r="J24" i="1" s="1"/>
  <c r="K24" i="1" s="1"/>
  <c r="C26" i="1" l="1"/>
  <c r="I26" i="1" s="1"/>
  <c r="J26" i="1" s="1"/>
  <c r="I25" i="1"/>
  <c r="J25" i="1" s="1"/>
  <c r="K25" i="1" s="1"/>
  <c r="K26" i="1" s="1"/>
</calcChain>
</file>

<file path=xl/sharedStrings.xml><?xml version="1.0" encoding="utf-8"?>
<sst xmlns="http://schemas.openxmlformats.org/spreadsheetml/2006/main" count="50" uniqueCount="44">
  <si>
    <t>years</t>
  </si>
  <si>
    <t>%50oper</t>
  </si>
  <si>
    <t>Deprectiation</t>
  </si>
  <si>
    <t>MACRS*</t>
  </si>
  <si>
    <t>MACRS-7 year</t>
  </si>
  <si>
    <t>total</t>
  </si>
  <si>
    <t>total capital cost</t>
  </si>
  <si>
    <t>TCC-WC</t>
  </si>
  <si>
    <t>TCC=ISBL_OSBL+ECC+WCC</t>
  </si>
  <si>
    <t>OSBL=0.4*ISBL</t>
  </si>
  <si>
    <t>ECC=0.1*ISBL</t>
  </si>
  <si>
    <t>CONTINCGENCY=0.1*ISBL</t>
  </si>
  <si>
    <t>WC=0.15*ISBL</t>
  </si>
  <si>
    <t>TCC=1.75*ISBL</t>
  </si>
  <si>
    <t>WC=TCC/1.75*0.15</t>
  </si>
  <si>
    <t>MM</t>
  </si>
  <si>
    <t>Pretac CF - Depreciation</t>
  </si>
  <si>
    <t>Taxable Income</t>
  </si>
  <si>
    <t>Tax</t>
  </si>
  <si>
    <t>taxable income*tax rate</t>
  </si>
  <si>
    <t>tax rate = 35%</t>
  </si>
  <si>
    <t>tax paid is next year, no tax is income is negative</t>
  </si>
  <si>
    <t>CF</t>
  </si>
  <si>
    <t>pretaxCF-tax</t>
  </si>
  <si>
    <t>Fd</t>
  </si>
  <si>
    <t>discount factor</t>
  </si>
  <si>
    <t>1/(1_i)^n</t>
  </si>
  <si>
    <t>i</t>
  </si>
  <si>
    <t>PV of CF</t>
  </si>
  <si>
    <t>CF*Fd</t>
  </si>
  <si>
    <t>prese t value</t>
  </si>
  <si>
    <t>NPV</t>
  </si>
  <si>
    <t>Net present value</t>
  </si>
  <si>
    <t>pre tax cashflow</t>
  </si>
  <si>
    <t>MACRS-5year</t>
  </si>
  <si>
    <t>ISBL</t>
  </si>
  <si>
    <t>OSBL</t>
  </si>
  <si>
    <t>ECC</t>
  </si>
  <si>
    <t>Contingency</t>
  </si>
  <si>
    <t>WC</t>
  </si>
  <si>
    <t>TCC</t>
  </si>
  <si>
    <t>VCOP</t>
  </si>
  <si>
    <t xml:space="preserve">FCOP 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</si>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</sst>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ISBL</a:t>
            </a:r>
            <a:r>
              <a:rPr lang="en-US" baseline="0"/>
              <a:t> V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Sheet1!$P$5:$P$10</c:f>
              <c:numCache>
                <c:formatCode>0%</c:formatCode>
                <c:ptCount val="6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</c:numCache>
            </c:numRef>
          </c:xVal>
          <c:yVal>
            <c:numRef>
              <c:f>Sheet1!$Q$5:$Q$10</c:f>
              <c:numCache>
                <c:formatCode>General</c:formatCode>
                <c:ptCount val="6"/>
                <c:pt idx="0">
                  <c:v>85.038203107373661</c:v>
                </c:pt>
                <c:pt idx="1">
                  <c:v>79.925523182446639</c:v>
                </c:pt>
                <c:pt idx="2">
                  <c:v>74.812843257519617</c:v>
                </c:pt>
                <c:pt idx="3">
                  <c:v>64.587483407665587</c:v>
                </c:pt>
                <c:pt idx="4">
                  <c:v>59.474803482738601</c:v>
                </c:pt>
                <c:pt idx="5">
                  <c:v>54.362123557811572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6-479A-B765-CE5B8856C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70824"/>
        <c:axId val="1071071904"/>
      </c:scatterChart>
      <c:valAx>
        <c:axId val="107107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71904"/>
        <c:crosses val="autoZero"/>
        <c:crossBetween val="midCat"/>
      </c:valAx>
      <c:valAx>
        <c:axId val="10710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7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271972</xdr:colOff>
      <xdr:row>12</xdr:row>
      <xdr:rowOff>60144</xdr:rowOff>
    </xdr:from>
    <xdr:to>
      <xdr:col>19</xdr:col>
      <xdr:colOff>566708</xdr:colOff>
      <xdr:row>27</xdr:row>
      <xdr:rowOff>17731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39382-0440-1ABF-C918-050CB6D1A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2DC5-3984-4F63-928C-F942B7DD1E19}">
  <dimension ref="B1:T44"/>
  <sheetViews>
    <sheetView tabSelected="1" zoomScale="106" workbookViewId="0">
      <selection activeCell="O35" sqref="O35"/>
    </sheetView>
  </sheetViews>
  <sheetFormatPr defaultRowHeight="14.5" x14ac:dyDescent="0.35"/>
  <cols>
    <col min="3" max="3" width="8.81640625" bestFit="1" customWidth="1"/>
    <col min="4" max="4" width="13.54296875" customWidth="1"/>
    <col min="5" max="5" width="15.26953125" customWidth="1"/>
    <col min="6" max="6" width="20.6328125" customWidth="1"/>
    <col min="7" max="7" width="25.08984375" customWidth="1"/>
    <col min="8" max="8" width="15.6328125" customWidth="1"/>
    <col min="9" max="9" width="13.36328125" customWidth="1"/>
    <col min="10" max="10" width="11.1796875" customWidth="1"/>
    <col min="11" max="11" width="12.7265625" bestFit="1" customWidth="1"/>
  </cols>
  <sheetData>
    <row r="1" spans="2:20" x14ac:dyDescent="0.35">
      <c r="G1" t="s">
        <v>21</v>
      </c>
      <c r="I1" t="s">
        <v>27</v>
      </c>
      <c r="J1">
        <v>0.15</v>
      </c>
    </row>
    <row r="2" spans="2:20" x14ac:dyDescent="0.35">
      <c r="G2" t="s">
        <v>20</v>
      </c>
      <c r="I2" t="s">
        <v>26</v>
      </c>
      <c r="J2" t="s">
        <v>30</v>
      </c>
      <c r="K2" t="s">
        <v>32</v>
      </c>
    </row>
    <row r="3" spans="2:20" x14ac:dyDescent="0.35">
      <c r="E3" t="s">
        <v>3</v>
      </c>
      <c r="F3" t="s">
        <v>16</v>
      </c>
      <c r="G3" t="s">
        <v>19</v>
      </c>
      <c r="H3" t="s">
        <v>23</v>
      </c>
      <c r="I3" t="s">
        <v>25</v>
      </c>
      <c r="J3" t="s">
        <v>29</v>
      </c>
    </row>
    <row r="4" spans="2:20" x14ac:dyDescent="0.35">
      <c r="C4" s="2" t="s">
        <v>0</v>
      </c>
      <c r="D4" s="2" t="s">
        <v>33</v>
      </c>
      <c r="E4" s="2" t="s">
        <v>2</v>
      </c>
      <c r="F4" s="2" t="s">
        <v>17</v>
      </c>
      <c r="G4" s="2" t="s">
        <v>18</v>
      </c>
      <c r="H4" s="2" t="s">
        <v>22</v>
      </c>
      <c r="I4" s="2" t="s">
        <v>24</v>
      </c>
      <c r="J4" s="2" t="s">
        <v>28</v>
      </c>
      <c r="K4" s="2" t="s">
        <v>31</v>
      </c>
      <c r="Q4" t="s">
        <v>35</v>
      </c>
      <c r="R4" t="s">
        <v>41</v>
      </c>
      <c r="S4" t="s">
        <v>42</v>
      </c>
      <c r="T4" t="s">
        <v>43</v>
      </c>
    </row>
    <row r="5" spans="2:20" x14ac:dyDescent="0.35">
      <c r="C5">
        <v>1</v>
      </c>
      <c r="D5">
        <v>-20</v>
      </c>
      <c r="F5">
        <f>D5-E5</f>
        <v>-20</v>
      </c>
      <c r="G5">
        <v>0</v>
      </c>
      <c r="H5">
        <f>D5-G5</f>
        <v>-20</v>
      </c>
      <c r="I5">
        <f>1/(1+$J$1)^C5</f>
        <v>0.86956521739130443</v>
      </c>
      <c r="J5">
        <f>H5*I5</f>
        <v>-17.39130434782609</v>
      </c>
      <c r="K5">
        <f>J5</f>
        <v>-17.39130434782609</v>
      </c>
      <c r="M5" s="3">
        <v>0.7</v>
      </c>
      <c r="N5">
        <v>21</v>
      </c>
      <c r="P5" s="3">
        <v>0.7</v>
      </c>
      <c r="Q5">
        <v>85.038203107373661</v>
      </c>
      <c r="R5">
        <f>O35</f>
        <v>21</v>
      </c>
      <c r="S5">
        <v>10</v>
      </c>
    </row>
    <row r="6" spans="2:20" x14ac:dyDescent="0.35">
      <c r="C6">
        <f>C5+1</f>
        <v>2</v>
      </c>
      <c r="D6">
        <v>-60</v>
      </c>
      <c r="F6">
        <f t="shared" ref="F6:F26" si="0">D6-E6</f>
        <v>-60</v>
      </c>
      <c r="G6">
        <v>0</v>
      </c>
      <c r="H6">
        <f t="shared" ref="H6:H26" si="1">D6-G6</f>
        <v>-60</v>
      </c>
      <c r="I6">
        <f t="shared" ref="I6:I26" si="2">1/(1+$J$1)^C6</f>
        <v>0.7561436672967865</v>
      </c>
      <c r="J6">
        <f t="shared" ref="J6:J26" si="3">H6*I6</f>
        <v>-45.36862003780719</v>
      </c>
      <c r="K6">
        <f>K5+J6</f>
        <v>-62.759924385633283</v>
      </c>
      <c r="M6" s="3">
        <v>0.8</v>
      </c>
      <c r="N6">
        <v>24</v>
      </c>
      <c r="P6" s="3">
        <v>0.8</v>
      </c>
      <c r="Q6">
        <v>79.925523182446639</v>
      </c>
      <c r="R6">
        <f>N35</f>
        <v>24</v>
      </c>
      <c r="S6">
        <v>10</v>
      </c>
    </row>
    <row r="7" spans="2:20" x14ac:dyDescent="0.35">
      <c r="B7" t="s">
        <v>1</v>
      </c>
      <c r="C7">
        <f t="shared" ref="C7:C26" si="4">C6+1</f>
        <v>3</v>
      </c>
      <c r="D7">
        <v>15</v>
      </c>
      <c r="E7">
        <f>$L$40*F31</f>
        <v>14.624000000000002</v>
      </c>
      <c r="F7">
        <f t="shared" si="0"/>
        <v>0.37599999999999767</v>
      </c>
      <c r="G7">
        <v>0</v>
      </c>
      <c r="H7">
        <f t="shared" si="1"/>
        <v>15</v>
      </c>
      <c r="I7">
        <f t="shared" si="2"/>
        <v>0.65751623243198831</v>
      </c>
      <c r="J7">
        <f t="shared" si="3"/>
        <v>9.8627434864798253</v>
      </c>
      <c r="K7">
        <f t="shared" ref="K7:K26" si="5">K6+J7</f>
        <v>-52.897180899153454</v>
      </c>
      <c r="M7" s="3">
        <v>0.9</v>
      </c>
      <c r="N7">
        <v>27</v>
      </c>
      <c r="P7" s="3">
        <v>0.9</v>
      </c>
      <c r="Q7">
        <v>74.812843257519617</v>
      </c>
      <c r="R7">
        <f>M35</f>
        <v>27</v>
      </c>
      <c r="S7">
        <v>10</v>
      </c>
    </row>
    <row r="8" spans="2:20" x14ac:dyDescent="0.35">
      <c r="C8">
        <f t="shared" si="4"/>
        <v>4</v>
      </c>
      <c r="D8">
        <v>40</v>
      </c>
      <c r="E8">
        <f t="shared" ref="E8:E12" si="6">$L$40*F32</f>
        <v>23.398400000000002</v>
      </c>
      <c r="F8">
        <f t="shared" si="0"/>
        <v>16.601599999999998</v>
      </c>
      <c r="G8">
        <f>F7*0.35</f>
        <v>0.13159999999999916</v>
      </c>
      <c r="H8">
        <f t="shared" si="1"/>
        <v>39.868400000000001</v>
      </c>
      <c r="I8">
        <f t="shared" si="2"/>
        <v>0.57175324559303342</v>
      </c>
      <c r="J8">
        <f t="shared" si="3"/>
        <v>22.794887096601293</v>
      </c>
      <c r="K8">
        <f t="shared" si="5"/>
        <v>-30.102293802552161</v>
      </c>
      <c r="M8" s="3">
        <v>1.1000000000000001</v>
      </c>
      <c r="N8">
        <v>33</v>
      </c>
      <c r="P8" s="3">
        <v>1.1000000000000001</v>
      </c>
      <c r="Q8">
        <v>64.587483407665587</v>
      </c>
      <c r="R8">
        <f>Q35</f>
        <v>33</v>
      </c>
      <c r="S8">
        <f>S7</f>
        <v>10</v>
      </c>
    </row>
    <row r="9" spans="2:20" x14ac:dyDescent="0.35">
      <c r="C9">
        <f t="shared" si="4"/>
        <v>5</v>
      </c>
      <c r="D9">
        <v>40</v>
      </c>
      <c r="E9">
        <f t="shared" si="6"/>
        <v>14.039040000000002</v>
      </c>
      <c r="F9">
        <f t="shared" si="0"/>
        <v>25.96096</v>
      </c>
      <c r="G9">
        <f t="shared" ref="G9:G26" si="7">F8*0.35</f>
        <v>5.8105599999999988</v>
      </c>
      <c r="H9">
        <f t="shared" si="1"/>
        <v>34.189440000000005</v>
      </c>
      <c r="I9">
        <f t="shared" si="2"/>
        <v>0.49717673529828987</v>
      </c>
      <c r="J9">
        <f t="shared" si="3"/>
        <v>16.998194160876768</v>
      </c>
      <c r="K9">
        <f t="shared" si="5"/>
        <v>-13.104099641675393</v>
      </c>
      <c r="M9" s="3">
        <v>1.2</v>
      </c>
      <c r="N9">
        <v>36</v>
      </c>
      <c r="P9" s="3">
        <v>1.2</v>
      </c>
      <c r="Q9">
        <v>59.474803482738601</v>
      </c>
      <c r="R9">
        <f>R35</f>
        <v>36</v>
      </c>
      <c r="S9">
        <v>10</v>
      </c>
    </row>
    <row r="10" spans="2:20" x14ac:dyDescent="0.35">
      <c r="C10">
        <f t="shared" si="4"/>
        <v>6</v>
      </c>
      <c r="D10">
        <v>40</v>
      </c>
      <c r="E10">
        <f t="shared" si="6"/>
        <v>8.4234240000000007</v>
      </c>
      <c r="F10">
        <f t="shared" si="0"/>
        <v>31.576575999999999</v>
      </c>
      <c r="G10">
        <f t="shared" si="7"/>
        <v>9.0863359999999993</v>
      </c>
      <c r="H10">
        <f t="shared" si="1"/>
        <v>30.913664000000001</v>
      </c>
      <c r="I10">
        <f t="shared" si="2"/>
        <v>0.43232759591155645</v>
      </c>
      <c r="J10">
        <f t="shared" si="3"/>
        <v>13.364830037937629</v>
      </c>
      <c r="K10">
        <f t="shared" si="5"/>
        <v>0.26073039626223604</v>
      </c>
      <c r="M10" s="3">
        <v>1.3</v>
      </c>
      <c r="N10">
        <v>39</v>
      </c>
      <c r="P10" s="3">
        <v>1.3</v>
      </c>
      <c r="Q10">
        <v>54.362123557811572</v>
      </c>
      <c r="R10">
        <f>S35</f>
        <v>39</v>
      </c>
      <c r="S10">
        <f t="shared" ref="S10" si="8">S8</f>
        <v>10</v>
      </c>
    </row>
    <row r="11" spans="2:20" x14ac:dyDescent="0.35">
      <c r="C11">
        <f t="shared" si="4"/>
        <v>7</v>
      </c>
      <c r="D11">
        <v>40</v>
      </c>
      <c r="E11">
        <f t="shared" si="6"/>
        <v>8.4234240000000007</v>
      </c>
      <c r="F11">
        <f t="shared" si="0"/>
        <v>31.576575999999999</v>
      </c>
      <c r="G11">
        <f t="shared" si="7"/>
        <v>11.051801599999999</v>
      </c>
      <c r="H11">
        <f t="shared" si="1"/>
        <v>28.948198400000003</v>
      </c>
      <c r="I11">
        <f t="shared" si="2"/>
        <v>0.37593703992309269</v>
      </c>
      <c r="J11">
        <f t="shared" si="3"/>
        <v>10.882700017602408</v>
      </c>
      <c r="K11">
        <f t="shared" si="5"/>
        <v>11.143430413864644</v>
      </c>
    </row>
    <row r="12" spans="2:20" x14ac:dyDescent="0.35">
      <c r="C12">
        <f t="shared" si="4"/>
        <v>8</v>
      </c>
      <c r="D12">
        <v>40</v>
      </c>
      <c r="E12">
        <f t="shared" si="6"/>
        <v>4.2117120000000003</v>
      </c>
      <c r="F12">
        <f t="shared" si="0"/>
        <v>35.788288000000001</v>
      </c>
      <c r="G12">
        <f t="shared" si="7"/>
        <v>11.051801599999999</v>
      </c>
      <c r="H12">
        <f t="shared" si="1"/>
        <v>28.948198400000003</v>
      </c>
      <c r="I12">
        <f t="shared" si="2"/>
        <v>0.32690177384616753</v>
      </c>
      <c r="J12">
        <f t="shared" si="3"/>
        <v>9.4632174066107897</v>
      </c>
      <c r="K12">
        <f t="shared" si="5"/>
        <v>20.606647820475434</v>
      </c>
    </row>
    <row r="13" spans="2:20" x14ac:dyDescent="0.35">
      <c r="C13">
        <f t="shared" si="4"/>
        <v>9</v>
      </c>
      <c r="D13">
        <v>40</v>
      </c>
      <c r="E13">
        <v>0</v>
      </c>
      <c r="F13">
        <f t="shared" si="0"/>
        <v>40</v>
      </c>
      <c r="G13">
        <f t="shared" si="7"/>
        <v>12.525900800000001</v>
      </c>
      <c r="H13">
        <f t="shared" si="1"/>
        <v>27.474099199999998</v>
      </c>
      <c r="I13">
        <f t="shared" si="2"/>
        <v>0.28426241204014574</v>
      </c>
      <c r="J13">
        <f t="shared" si="3"/>
        <v>7.8098537072222376</v>
      </c>
      <c r="K13">
        <f t="shared" si="5"/>
        <v>28.416501527697672</v>
      </c>
    </row>
    <row r="14" spans="2:20" s="1" customFormat="1" x14ac:dyDescent="0.35">
      <c r="C14" s="1">
        <f t="shared" si="4"/>
        <v>10</v>
      </c>
      <c r="D14" s="1">
        <v>40</v>
      </c>
      <c r="E14">
        <v>0</v>
      </c>
      <c r="F14" s="1">
        <f t="shared" si="0"/>
        <v>40</v>
      </c>
      <c r="G14" s="1">
        <f t="shared" si="7"/>
        <v>14</v>
      </c>
      <c r="H14" s="1">
        <f t="shared" si="1"/>
        <v>26</v>
      </c>
      <c r="I14" s="1">
        <f t="shared" si="2"/>
        <v>0.24718470612186585</v>
      </c>
      <c r="J14" s="1">
        <f t="shared" si="3"/>
        <v>6.4268023591685122</v>
      </c>
      <c r="K14" s="1">
        <f t="shared" si="5"/>
        <v>34.843303886866181</v>
      </c>
    </row>
    <row r="15" spans="2:20" x14ac:dyDescent="0.35">
      <c r="C15">
        <f t="shared" si="4"/>
        <v>11</v>
      </c>
      <c r="D15">
        <v>40</v>
      </c>
      <c r="E15">
        <v>0</v>
      </c>
      <c r="F15">
        <f t="shared" si="0"/>
        <v>40</v>
      </c>
      <c r="G15">
        <f t="shared" si="7"/>
        <v>14</v>
      </c>
      <c r="H15">
        <f t="shared" si="1"/>
        <v>26</v>
      </c>
      <c r="I15">
        <f t="shared" si="2"/>
        <v>0.21494322271466598</v>
      </c>
      <c r="J15">
        <f t="shared" si="3"/>
        <v>5.5885237905813154</v>
      </c>
      <c r="K15">
        <f t="shared" si="5"/>
        <v>40.431827677447494</v>
      </c>
    </row>
    <row r="16" spans="2:20" x14ac:dyDescent="0.35">
      <c r="C16">
        <f t="shared" si="4"/>
        <v>12</v>
      </c>
      <c r="D16">
        <v>40</v>
      </c>
      <c r="E16">
        <v>0</v>
      </c>
      <c r="F16">
        <f t="shared" si="0"/>
        <v>40</v>
      </c>
      <c r="G16">
        <f t="shared" si="7"/>
        <v>14</v>
      </c>
      <c r="H16">
        <f t="shared" si="1"/>
        <v>26</v>
      </c>
      <c r="I16">
        <f t="shared" si="2"/>
        <v>0.18690715018666609</v>
      </c>
      <c r="J16">
        <f t="shared" si="3"/>
        <v>4.8595859048533185</v>
      </c>
      <c r="K16">
        <f t="shared" si="5"/>
        <v>45.291413582300812</v>
      </c>
    </row>
    <row r="17" spans="3:19" x14ac:dyDescent="0.35">
      <c r="C17">
        <f t="shared" si="4"/>
        <v>13</v>
      </c>
      <c r="D17">
        <v>40</v>
      </c>
      <c r="E17">
        <v>0</v>
      </c>
      <c r="F17">
        <f t="shared" si="0"/>
        <v>40</v>
      </c>
      <c r="G17">
        <f t="shared" si="7"/>
        <v>14</v>
      </c>
      <c r="H17">
        <f t="shared" si="1"/>
        <v>26</v>
      </c>
      <c r="I17">
        <f t="shared" si="2"/>
        <v>0.16252795668405748</v>
      </c>
      <c r="J17">
        <f t="shared" si="3"/>
        <v>4.2257268737854945</v>
      </c>
      <c r="K17">
        <f t="shared" si="5"/>
        <v>49.51714045608631</v>
      </c>
    </row>
    <row r="18" spans="3:19" x14ac:dyDescent="0.35">
      <c r="C18">
        <f t="shared" si="4"/>
        <v>14</v>
      </c>
      <c r="D18">
        <v>40</v>
      </c>
      <c r="E18">
        <v>0</v>
      </c>
      <c r="F18">
        <f t="shared" si="0"/>
        <v>40</v>
      </c>
      <c r="G18">
        <f t="shared" si="7"/>
        <v>14</v>
      </c>
      <c r="H18">
        <f t="shared" si="1"/>
        <v>26</v>
      </c>
      <c r="I18">
        <f t="shared" si="2"/>
        <v>0.14132865798613695</v>
      </c>
      <c r="J18">
        <f t="shared" si="3"/>
        <v>3.6745451076395605</v>
      </c>
      <c r="K18">
        <f t="shared" si="5"/>
        <v>53.191685563725869</v>
      </c>
    </row>
    <row r="19" spans="3:19" s="1" customFormat="1" x14ac:dyDescent="0.35">
      <c r="C19" s="1">
        <f t="shared" si="4"/>
        <v>15</v>
      </c>
      <c r="D19" s="1">
        <v>40</v>
      </c>
      <c r="E19">
        <v>0</v>
      </c>
      <c r="F19" s="1">
        <f t="shared" si="0"/>
        <v>40</v>
      </c>
      <c r="G19" s="1">
        <f t="shared" si="7"/>
        <v>14</v>
      </c>
      <c r="H19" s="1">
        <f t="shared" si="1"/>
        <v>26</v>
      </c>
      <c r="I19" s="1">
        <f t="shared" si="2"/>
        <v>0.1228944852053365</v>
      </c>
      <c r="J19" s="1">
        <f t="shared" si="3"/>
        <v>3.1952566153387489</v>
      </c>
      <c r="K19" s="1">
        <f t="shared" si="5"/>
        <v>56.386942179064619</v>
      </c>
    </row>
    <row r="20" spans="3:19" x14ac:dyDescent="0.35">
      <c r="C20">
        <f t="shared" si="4"/>
        <v>16</v>
      </c>
      <c r="D20">
        <v>40</v>
      </c>
      <c r="E20">
        <v>0</v>
      </c>
      <c r="F20">
        <f t="shared" si="0"/>
        <v>40</v>
      </c>
      <c r="G20">
        <f t="shared" si="7"/>
        <v>14</v>
      </c>
      <c r="H20">
        <f t="shared" si="1"/>
        <v>26</v>
      </c>
      <c r="I20">
        <f t="shared" si="2"/>
        <v>0.10686476974377089</v>
      </c>
      <c r="J20">
        <f t="shared" si="3"/>
        <v>2.7784840133380433</v>
      </c>
      <c r="K20">
        <f t="shared" si="5"/>
        <v>59.165426192402663</v>
      </c>
    </row>
    <row r="21" spans="3:19" x14ac:dyDescent="0.35">
      <c r="C21">
        <f t="shared" si="4"/>
        <v>17</v>
      </c>
      <c r="D21">
        <v>40</v>
      </c>
      <c r="E21">
        <v>0</v>
      </c>
      <c r="F21">
        <f t="shared" si="0"/>
        <v>40</v>
      </c>
      <c r="G21">
        <f t="shared" si="7"/>
        <v>14</v>
      </c>
      <c r="H21">
        <f t="shared" si="1"/>
        <v>26</v>
      </c>
      <c r="I21">
        <f t="shared" si="2"/>
        <v>9.2925886733713825E-2</v>
      </c>
      <c r="J21">
        <f t="shared" si="3"/>
        <v>2.4160730550765592</v>
      </c>
      <c r="K21">
        <f t="shared" si="5"/>
        <v>61.581499247479222</v>
      </c>
    </row>
    <row r="22" spans="3:19" x14ac:dyDescent="0.35">
      <c r="C22">
        <f t="shared" si="4"/>
        <v>18</v>
      </c>
      <c r="D22">
        <v>40</v>
      </c>
      <c r="E22">
        <v>0</v>
      </c>
      <c r="F22">
        <f t="shared" si="0"/>
        <v>40</v>
      </c>
      <c r="G22">
        <f t="shared" si="7"/>
        <v>14</v>
      </c>
      <c r="H22">
        <f t="shared" si="1"/>
        <v>26</v>
      </c>
      <c r="I22">
        <f t="shared" si="2"/>
        <v>8.0805118898881603E-2</v>
      </c>
      <c r="J22">
        <f t="shared" si="3"/>
        <v>2.1009330913709219</v>
      </c>
      <c r="K22">
        <f t="shared" si="5"/>
        <v>63.682432338850141</v>
      </c>
    </row>
    <row r="23" spans="3:19" x14ac:dyDescent="0.35">
      <c r="C23">
        <f t="shared" si="4"/>
        <v>19</v>
      </c>
      <c r="D23">
        <v>40</v>
      </c>
      <c r="E23">
        <v>0</v>
      </c>
      <c r="F23">
        <f t="shared" si="0"/>
        <v>40</v>
      </c>
      <c r="G23">
        <f t="shared" si="7"/>
        <v>14</v>
      </c>
      <c r="H23">
        <f t="shared" si="1"/>
        <v>26</v>
      </c>
      <c r="I23">
        <f t="shared" si="2"/>
        <v>7.0265320781636179E-2</v>
      </c>
      <c r="J23">
        <f t="shared" si="3"/>
        <v>1.8268983403225407</v>
      </c>
      <c r="K23">
        <f t="shared" si="5"/>
        <v>65.509330679172677</v>
      </c>
    </row>
    <row r="24" spans="3:19" x14ac:dyDescent="0.35">
      <c r="C24">
        <f t="shared" si="4"/>
        <v>20</v>
      </c>
      <c r="D24">
        <v>40</v>
      </c>
      <c r="E24">
        <v>0</v>
      </c>
      <c r="F24">
        <f t="shared" si="0"/>
        <v>40</v>
      </c>
      <c r="G24">
        <f t="shared" si="7"/>
        <v>14</v>
      </c>
      <c r="H24">
        <f t="shared" si="1"/>
        <v>26</v>
      </c>
      <c r="I24">
        <f t="shared" si="2"/>
        <v>6.1100278940553199E-2</v>
      </c>
      <c r="J24">
        <f t="shared" si="3"/>
        <v>1.5886072524543833</v>
      </c>
      <c r="K24">
        <f t="shared" si="5"/>
        <v>67.097937931627058</v>
      </c>
    </row>
    <row r="25" spans="3:19" x14ac:dyDescent="0.35">
      <c r="C25">
        <f t="shared" si="4"/>
        <v>21</v>
      </c>
      <c r="D25">
        <v>40</v>
      </c>
      <c r="E25">
        <v>0</v>
      </c>
      <c r="F25">
        <f t="shared" si="0"/>
        <v>40</v>
      </c>
      <c r="G25">
        <f t="shared" si="7"/>
        <v>14</v>
      </c>
      <c r="H25">
        <f t="shared" si="1"/>
        <v>26</v>
      </c>
      <c r="I25">
        <f t="shared" si="2"/>
        <v>5.3130677339611479E-2</v>
      </c>
      <c r="J25">
        <f t="shared" si="3"/>
        <v>1.3813976108298984</v>
      </c>
      <c r="K25">
        <f t="shared" si="5"/>
        <v>68.479335542456951</v>
      </c>
    </row>
    <row r="26" spans="3:19" x14ac:dyDescent="0.35">
      <c r="C26">
        <f t="shared" si="4"/>
        <v>22</v>
      </c>
      <c r="D26">
        <v>40</v>
      </c>
      <c r="E26">
        <v>0</v>
      </c>
      <c r="F26">
        <f t="shared" si="0"/>
        <v>40</v>
      </c>
      <c r="G26">
        <f t="shared" si="7"/>
        <v>14</v>
      </c>
      <c r="H26">
        <f t="shared" si="1"/>
        <v>26</v>
      </c>
      <c r="I26">
        <f t="shared" si="2"/>
        <v>4.6200588990966504E-2</v>
      </c>
      <c r="J26">
        <f t="shared" si="3"/>
        <v>1.2012153137651291</v>
      </c>
      <c r="K26">
        <f t="shared" si="5"/>
        <v>69.680550856222084</v>
      </c>
    </row>
    <row r="29" spans="3:19" x14ac:dyDescent="0.35">
      <c r="M29" s="3">
        <v>0.9</v>
      </c>
      <c r="N29" s="3">
        <v>0.8</v>
      </c>
      <c r="O29" s="3">
        <v>0.7</v>
      </c>
      <c r="P29" s="3"/>
      <c r="Q29" s="3">
        <v>1.1000000000000001</v>
      </c>
      <c r="R29" s="3">
        <v>1.2</v>
      </c>
      <c r="S29" s="3">
        <v>1.3</v>
      </c>
    </row>
    <row r="30" spans="3:19" x14ac:dyDescent="0.35">
      <c r="E30" t="s">
        <v>4</v>
      </c>
      <c r="F30" t="s">
        <v>34</v>
      </c>
      <c r="H30" t="s">
        <v>6</v>
      </c>
      <c r="K30" t="s">
        <v>35</v>
      </c>
      <c r="L30">
        <v>45.7</v>
      </c>
      <c r="M30">
        <f>0.9*L30</f>
        <v>41.13</v>
      </c>
      <c r="N30">
        <f>L30*0.8</f>
        <v>36.56</v>
      </c>
      <c r="O30">
        <f>L30*0.7</f>
        <v>31.99</v>
      </c>
      <c r="Q30">
        <f>L30*1.1</f>
        <v>50.27000000000001</v>
      </c>
      <c r="R30">
        <f>L30*1.2</f>
        <v>54.84</v>
      </c>
      <c r="S30">
        <f>L30*1.3</f>
        <v>59.410000000000004</v>
      </c>
    </row>
    <row r="31" spans="3:19" x14ac:dyDescent="0.35">
      <c r="E31">
        <v>14.29</v>
      </c>
      <c r="F31">
        <v>0.2</v>
      </c>
      <c r="H31">
        <v>80</v>
      </c>
      <c r="K31" t="s">
        <v>36</v>
      </c>
      <c r="L31">
        <f>L30*0.4</f>
        <v>18.28</v>
      </c>
      <c r="M31">
        <f t="shared" ref="M31:M34" si="9">0.9*L31</f>
        <v>16.452000000000002</v>
      </c>
      <c r="N31">
        <f t="shared" ref="N31:N34" si="10">L31*0.8</f>
        <v>14.624000000000002</v>
      </c>
      <c r="O31">
        <f t="shared" ref="O31:O34" si="11">L31*0.7</f>
        <v>12.795999999999999</v>
      </c>
      <c r="Q31">
        <f t="shared" ref="Q31:Q34" si="12">L31*1.1</f>
        <v>20.108000000000004</v>
      </c>
      <c r="R31">
        <f t="shared" ref="R31:R34" si="13">L31*1.2</f>
        <v>21.936</v>
      </c>
      <c r="S31">
        <f t="shared" ref="S31:S34" si="14">L31*1.3</f>
        <v>23.764000000000003</v>
      </c>
    </row>
    <row r="32" spans="3:19" x14ac:dyDescent="0.35">
      <c r="E32">
        <v>24.49</v>
      </c>
      <c r="F32">
        <v>0.32</v>
      </c>
      <c r="K32" t="s">
        <v>37</v>
      </c>
      <c r="L32">
        <f>0.1*L30</f>
        <v>4.57</v>
      </c>
      <c r="M32">
        <f t="shared" si="9"/>
        <v>4.1130000000000004</v>
      </c>
      <c r="N32">
        <f t="shared" si="10"/>
        <v>3.6560000000000006</v>
      </c>
      <c r="O32">
        <f t="shared" si="11"/>
        <v>3.1989999999999998</v>
      </c>
      <c r="Q32">
        <f t="shared" si="12"/>
        <v>5.027000000000001</v>
      </c>
      <c r="R32">
        <f t="shared" si="13"/>
        <v>5.484</v>
      </c>
      <c r="S32">
        <f t="shared" si="14"/>
        <v>5.9410000000000007</v>
      </c>
    </row>
    <row r="33" spans="4:19" x14ac:dyDescent="0.35">
      <c r="E33">
        <v>17.489999999999998</v>
      </c>
      <c r="F33">
        <v>0.192</v>
      </c>
      <c r="H33" t="s">
        <v>7</v>
      </c>
      <c r="K33" t="s">
        <v>38</v>
      </c>
      <c r="L33">
        <f>0.1*L30</f>
        <v>4.57</v>
      </c>
      <c r="M33">
        <f t="shared" si="9"/>
        <v>4.1130000000000004</v>
      </c>
      <c r="N33">
        <f t="shared" si="10"/>
        <v>3.6560000000000006</v>
      </c>
      <c r="O33">
        <f t="shared" si="11"/>
        <v>3.1989999999999998</v>
      </c>
      <c r="Q33">
        <f t="shared" si="12"/>
        <v>5.027000000000001</v>
      </c>
      <c r="R33">
        <f t="shared" si="13"/>
        <v>5.484</v>
      </c>
      <c r="S33">
        <f t="shared" si="14"/>
        <v>5.9410000000000007</v>
      </c>
    </row>
    <row r="34" spans="4:19" x14ac:dyDescent="0.35">
      <c r="E34">
        <v>12.49</v>
      </c>
      <c r="F34">
        <v>0.1152</v>
      </c>
      <c r="H34" t="s">
        <v>8</v>
      </c>
      <c r="K34" t="s">
        <v>39</v>
      </c>
      <c r="L34">
        <f>0.15*L30</f>
        <v>6.8550000000000004</v>
      </c>
      <c r="M34">
        <f t="shared" si="9"/>
        <v>6.1695000000000002</v>
      </c>
      <c r="N34">
        <f t="shared" si="10"/>
        <v>5.4840000000000009</v>
      </c>
      <c r="O34">
        <f t="shared" si="11"/>
        <v>4.7984999999999998</v>
      </c>
      <c r="Q34">
        <f t="shared" si="12"/>
        <v>7.5405000000000006</v>
      </c>
      <c r="R34">
        <f t="shared" si="13"/>
        <v>8.2260000000000009</v>
      </c>
      <c r="S34">
        <f t="shared" si="14"/>
        <v>8.9115000000000002</v>
      </c>
    </row>
    <row r="35" spans="4:19" x14ac:dyDescent="0.35">
      <c r="E35">
        <v>8.93</v>
      </c>
      <c r="F35">
        <v>0.1152</v>
      </c>
      <c r="H35" t="s">
        <v>9</v>
      </c>
      <c r="K35" t="s">
        <v>41</v>
      </c>
      <c r="L35">
        <v>30</v>
      </c>
      <c r="M35">
        <f>$L$35*0.9</f>
        <v>27</v>
      </c>
      <c r="N35">
        <f>$L$35*0.8</f>
        <v>24</v>
      </c>
      <c r="O35">
        <f>$L$35*0.7</f>
        <v>21</v>
      </c>
      <c r="Q35">
        <f>$L$35*1.1</f>
        <v>33</v>
      </c>
      <c r="R35">
        <f>$L$35*1.2</f>
        <v>36</v>
      </c>
      <c r="S35">
        <f>$L$35*1.3</f>
        <v>39</v>
      </c>
    </row>
    <row r="36" spans="4:19" x14ac:dyDescent="0.35">
      <c r="E36">
        <v>8.92</v>
      </c>
      <c r="F36">
        <v>5.7599999999999998E-2</v>
      </c>
      <c r="H36" t="s">
        <v>10</v>
      </c>
      <c r="K36" t="s">
        <v>40</v>
      </c>
      <c r="L36">
        <f>SUM(L30:L34)</f>
        <v>79.975000000000009</v>
      </c>
      <c r="M36">
        <f>SUM(M30:M35)</f>
        <v>98.977500000000006</v>
      </c>
      <c r="N36">
        <f>SUM(N30:N34)</f>
        <v>63.980000000000004</v>
      </c>
      <c r="O36">
        <f>SUM(O30:O34)</f>
        <v>55.982499999999995</v>
      </c>
      <c r="Q36">
        <f t="shared" ref="Q36:S36" si="15">SUM(Q30:Q34)</f>
        <v>87.972500000000011</v>
      </c>
      <c r="R36">
        <f t="shared" si="15"/>
        <v>95.97</v>
      </c>
      <c r="S36">
        <f t="shared" si="15"/>
        <v>103.96750000000002</v>
      </c>
    </row>
    <row r="37" spans="4:19" x14ac:dyDescent="0.35">
      <c r="E37">
        <v>8.93</v>
      </c>
      <c r="H37" t="s">
        <v>11</v>
      </c>
      <c r="K37" t="s">
        <v>35</v>
      </c>
      <c r="L37">
        <f>L36/1.75</f>
        <v>45.7</v>
      </c>
      <c r="M37">
        <f>$L$37*0.9</f>
        <v>41.13</v>
      </c>
      <c r="N37">
        <f>L37*0.8</f>
        <v>36.56</v>
      </c>
      <c r="O37">
        <f>L37*0.8</f>
        <v>36.56</v>
      </c>
      <c r="Q37">
        <f>L37*0.8</f>
        <v>36.56</v>
      </c>
      <c r="R37">
        <f>L37*1.2</f>
        <v>54.84</v>
      </c>
      <c r="S37">
        <f>L37*1.2</f>
        <v>54.84</v>
      </c>
    </row>
    <row r="38" spans="4:19" x14ac:dyDescent="0.35">
      <c r="E38">
        <v>4.46</v>
      </c>
      <c r="H38" t="s">
        <v>12</v>
      </c>
    </row>
    <row r="39" spans="4:19" x14ac:dyDescent="0.35">
      <c r="D39" t="s">
        <v>5</v>
      </c>
      <c r="E39">
        <f>SUM(E31:E38)</f>
        <v>99.999999999999986</v>
      </c>
      <c r="H39" t="s">
        <v>13</v>
      </c>
    </row>
    <row r="40" spans="4:19" x14ac:dyDescent="0.35">
      <c r="H40" t="s">
        <v>14</v>
      </c>
      <c r="K40" t="s">
        <v>7</v>
      </c>
      <c r="L40">
        <f>L36-L34</f>
        <v>73.12</v>
      </c>
      <c r="M40">
        <f>M36-M34</f>
        <v>92.808000000000007</v>
      </c>
      <c r="N40">
        <f>N36-N34</f>
        <v>58.496000000000002</v>
      </c>
      <c r="O40">
        <f>O36-O34</f>
        <v>51.183999999999997</v>
      </c>
      <c r="Q40">
        <f t="shared" ref="Q40:S40" si="16">Q36-Q34</f>
        <v>80.432000000000016</v>
      </c>
      <c r="R40">
        <f t="shared" si="16"/>
        <v>87.744</v>
      </c>
      <c r="S40">
        <f t="shared" si="16"/>
        <v>95.056000000000012</v>
      </c>
    </row>
    <row r="41" spans="4:19" x14ac:dyDescent="0.35">
      <c r="H41">
        <f>80/1.75*0.15</f>
        <v>6.8571428571428568</v>
      </c>
      <c r="I41" t="s">
        <v>15</v>
      </c>
    </row>
    <row r="43" spans="4:19" x14ac:dyDescent="0.35">
      <c r="H43" t="s">
        <v>7</v>
      </c>
    </row>
    <row r="44" spans="4:19" x14ac:dyDescent="0.35">
      <c r="H44">
        <f>80-H41</f>
        <v>73.142857142857139</v>
      </c>
      <c r="I44" t="s">
        <v>15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Zaruk, Omar</dc:creator>
  <cp:lastModifiedBy>Rezk, Hussein</cp:lastModifiedBy>
  <dcterms:created xsi:type="dcterms:W3CDTF">2025-10-22T16:20:36Z</dcterms:created>
  <dcterms:modified xsi:type="dcterms:W3CDTF">2025-10-27T17:18:20Z</dcterms:modified>
</cp:coreProperties>
</file>