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ssa\OneDrive\Documents\Documents\UIC fall 2025\Senior design 1\"/>
    </mc:Choice>
  </mc:AlternateContent>
  <xr:revisionPtr revIDLastSave="0" documentId="8_{BE51A78B-DACD-414C-8252-C4EC7A79AFFA}" xr6:coauthVersionLast="47" xr6:coauthVersionMax="47" xr10:uidLastSave="{00000000-0000-0000-0000-000000000000}"/>
  <bookViews>
    <workbookView xWindow="-108" yWindow="-108" windowWidth="23256" windowHeight="14616" xr2:uid="{26EC696F-827B-4C23-BB29-771D0A2CB5D8}"/>
  </bookViews>
  <sheets>
    <sheet name="normal (7 year)" sheetId="1" r:id="rId1"/>
    <sheet name="5 year MACRS" sheetId="4" r:id="rId2"/>
    <sheet name="Constant Depreciation" sheetId="3" r:id="rId3"/>
  </sheets>
  <definedNames>
    <definedName name="TCCWC" localSheetId="1">'5 year MACRS'!$J$49</definedName>
    <definedName name="TCCWC" localSheetId="2">'Constant Depreciation'!$J$47</definedName>
    <definedName name="TCCWC">'normal (7 year)'!$J$49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/>
  <c r="G11" i="1"/>
  <c r="B6" i="1"/>
  <c r="B8" i="1"/>
  <c r="G6" i="1"/>
  <c r="G5" i="1"/>
  <c r="I5" i="1" s="1"/>
  <c r="K5" i="1" s="1"/>
  <c r="J44" i="1"/>
  <c r="K46" i="1"/>
  <c r="O36" i="1"/>
  <c r="O30" i="1"/>
  <c r="N37" i="1"/>
  <c r="O37" i="1" s="1"/>
  <c r="O39" i="1"/>
  <c r="O31" i="1"/>
  <c r="O32" i="1"/>
  <c r="O33" i="1"/>
  <c r="O34" i="1"/>
  <c r="N34" i="1"/>
  <c r="N33" i="1"/>
  <c r="N32" i="1"/>
  <c r="N31" i="1"/>
  <c r="H8" i="4"/>
  <c r="H9" i="4"/>
  <c r="H10" i="4"/>
  <c r="H11" i="4"/>
  <c r="H12" i="4"/>
  <c r="H7" i="4"/>
  <c r="G38" i="4"/>
  <c r="K46" i="4"/>
  <c r="J44" i="4"/>
  <c r="L26" i="4"/>
  <c r="L25" i="4"/>
  <c r="L24" i="4"/>
  <c r="L23" i="4"/>
  <c r="L22" i="4"/>
  <c r="L21" i="4"/>
  <c r="L20" i="4"/>
  <c r="L19" i="4"/>
  <c r="G19" i="4"/>
  <c r="I19" i="4" s="1"/>
  <c r="J20" i="4" s="1"/>
  <c r="L18" i="4"/>
  <c r="L17" i="4"/>
  <c r="L16" i="4"/>
  <c r="L15" i="4"/>
  <c r="L14" i="4"/>
  <c r="L13" i="4"/>
  <c r="L12" i="4"/>
  <c r="L11" i="4"/>
  <c r="L10" i="4"/>
  <c r="L9" i="4"/>
  <c r="L8" i="4"/>
  <c r="L7" i="4"/>
  <c r="G7" i="4"/>
  <c r="K7" i="4" s="1"/>
  <c r="M7" i="4" s="1"/>
  <c r="B7" i="4"/>
  <c r="G23" i="4" s="1"/>
  <c r="L6" i="4"/>
  <c r="M6" i="4" s="1"/>
  <c r="K6" i="4"/>
  <c r="I6" i="4"/>
  <c r="L5" i="4"/>
  <c r="G5" i="4"/>
  <c r="I5" i="4" s="1"/>
  <c r="K5" i="4" s="1"/>
  <c r="L5" i="3"/>
  <c r="K6" i="3"/>
  <c r="K5" i="3"/>
  <c r="J44" i="3"/>
  <c r="K46" i="3" s="1"/>
  <c r="G40" i="3"/>
  <c r="J31" i="3"/>
  <c r="L26" i="3"/>
  <c r="L25" i="3"/>
  <c r="L24" i="3"/>
  <c r="G24" i="3"/>
  <c r="L23" i="3"/>
  <c r="G23" i="3"/>
  <c r="L22" i="3"/>
  <c r="L21" i="3"/>
  <c r="L20" i="3"/>
  <c r="G20" i="3"/>
  <c r="L19" i="3"/>
  <c r="G19" i="3"/>
  <c r="L18" i="3"/>
  <c r="L17" i="3"/>
  <c r="L16" i="3"/>
  <c r="G16" i="3"/>
  <c r="L15" i="3"/>
  <c r="L14" i="3"/>
  <c r="L13" i="3"/>
  <c r="L12" i="3"/>
  <c r="L11" i="3"/>
  <c r="L10" i="3"/>
  <c r="L9" i="3"/>
  <c r="L8" i="3"/>
  <c r="L7" i="3"/>
  <c r="G7" i="3"/>
  <c r="K7" i="3" s="1"/>
  <c r="B7" i="3"/>
  <c r="G15" i="3" s="1"/>
  <c r="L6" i="3"/>
  <c r="I6" i="3"/>
  <c r="G5" i="3"/>
  <c r="I5" i="3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5" i="1"/>
  <c r="I6" i="1"/>
  <c r="K6" i="1" s="1"/>
  <c r="G40" i="1"/>
  <c r="G7" i="1" l="1"/>
  <c r="K7" i="1" s="1"/>
  <c r="M7" i="1" s="1"/>
  <c r="G9" i="1"/>
  <c r="G8" i="1"/>
  <c r="J31" i="1"/>
  <c r="J49" i="1" s="1"/>
  <c r="H7" i="1" s="1"/>
  <c r="M5" i="1"/>
  <c r="N5" i="1" s="1"/>
  <c r="M5" i="4"/>
  <c r="N5" i="4" s="1"/>
  <c r="N6" i="4" s="1"/>
  <c r="N7" i="4" s="1"/>
  <c r="I23" i="4"/>
  <c r="J24" i="4" s="1"/>
  <c r="G11" i="4"/>
  <c r="G17" i="4"/>
  <c r="G9" i="4"/>
  <c r="G26" i="4"/>
  <c r="G8" i="4"/>
  <c r="G10" i="4"/>
  <c r="G14" i="4"/>
  <c r="G24" i="4"/>
  <c r="G20" i="4"/>
  <c r="G12" i="4"/>
  <c r="G25" i="4"/>
  <c r="G22" i="4"/>
  <c r="G18" i="4"/>
  <c r="J31" i="4"/>
  <c r="J49" i="4" s="1"/>
  <c r="G15" i="4"/>
  <c r="G16" i="4"/>
  <c r="G21" i="4"/>
  <c r="G13" i="4"/>
  <c r="M6" i="1"/>
  <c r="J49" i="3"/>
  <c r="G8" i="3"/>
  <c r="G12" i="3"/>
  <c r="M5" i="3"/>
  <c r="M6" i="3"/>
  <c r="M7" i="3"/>
  <c r="N5" i="3"/>
  <c r="G17" i="3"/>
  <c r="G21" i="3"/>
  <c r="G25" i="3"/>
  <c r="G9" i="3"/>
  <c r="G13" i="3"/>
  <c r="G18" i="3"/>
  <c r="G22" i="3"/>
  <c r="G26" i="3"/>
  <c r="G10" i="3"/>
  <c r="G14" i="3"/>
  <c r="G11" i="3"/>
  <c r="G26" i="1"/>
  <c r="G25" i="1"/>
  <c r="G24" i="1"/>
  <c r="G23" i="1"/>
  <c r="G22" i="1"/>
  <c r="G21" i="1"/>
  <c r="G20" i="1"/>
  <c r="G19" i="1"/>
  <c r="G18" i="1"/>
  <c r="G17" i="1"/>
  <c r="G16" i="1"/>
  <c r="I16" i="1" s="1"/>
  <c r="J17" i="1" s="1"/>
  <c r="G15" i="1"/>
  <c r="I15" i="1" s="1"/>
  <c r="G14" i="1"/>
  <c r="G13" i="1"/>
  <c r="G12" i="1"/>
  <c r="G10" i="1"/>
  <c r="H12" i="1" l="1"/>
  <c r="I12" i="1" s="1"/>
  <c r="H11" i="1"/>
  <c r="I11" i="1" s="1"/>
  <c r="H10" i="1"/>
  <c r="I10" i="1" s="1"/>
  <c r="H9" i="1"/>
  <c r="I9" i="1" s="1"/>
  <c r="H18" i="1"/>
  <c r="I18" i="1" s="1"/>
  <c r="J19" i="1" s="1"/>
  <c r="K19" i="1" s="1"/>
  <c r="M19" i="1" s="1"/>
  <c r="H17" i="1"/>
  <c r="I17" i="1" s="1"/>
  <c r="J18" i="1" s="1"/>
  <c r="H13" i="1"/>
  <c r="I13" i="1" s="1"/>
  <c r="N6" i="1"/>
  <c r="N7" i="1" s="1"/>
  <c r="I16" i="4"/>
  <c r="J17" i="4" s="1"/>
  <c r="K17" i="4" s="1"/>
  <c r="M17" i="4" s="1"/>
  <c r="I21" i="4"/>
  <c r="J22" i="4" s="1"/>
  <c r="I25" i="4"/>
  <c r="J26" i="4" s="1"/>
  <c r="K24" i="4"/>
  <c r="M24" i="4" s="1"/>
  <c r="I24" i="4"/>
  <c r="J25" i="4" s="1"/>
  <c r="K25" i="4" s="1"/>
  <c r="M25" i="4" s="1"/>
  <c r="K26" i="4"/>
  <c r="M26" i="4" s="1"/>
  <c r="I26" i="4"/>
  <c r="I9" i="4"/>
  <c r="J10" i="4" s="1"/>
  <c r="K10" i="4" s="1"/>
  <c r="M10" i="4" s="1"/>
  <c r="I13" i="4"/>
  <c r="J14" i="4" s="1"/>
  <c r="K14" i="4" s="1"/>
  <c r="M14" i="4" s="1"/>
  <c r="I17" i="4"/>
  <c r="J18" i="4" s="1"/>
  <c r="K18" i="4" s="1"/>
  <c r="M18" i="4" s="1"/>
  <c r="I12" i="4"/>
  <c r="J13" i="4" s="1"/>
  <c r="K13" i="4" s="1"/>
  <c r="M13" i="4" s="1"/>
  <c r="I7" i="4"/>
  <c r="J8" i="4" s="1"/>
  <c r="K8" i="4" s="1"/>
  <c r="M8" i="4" s="1"/>
  <c r="N8" i="4" s="1"/>
  <c r="I15" i="4"/>
  <c r="J16" i="4" s="1"/>
  <c r="K16" i="4" s="1"/>
  <c r="M16" i="4" s="1"/>
  <c r="I14" i="4"/>
  <c r="J15" i="4" s="1"/>
  <c r="K15" i="4" s="1"/>
  <c r="M15" i="4" s="1"/>
  <c r="I10" i="4"/>
  <c r="J11" i="4" s="1"/>
  <c r="K11" i="4" s="1"/>
  <c r="M11" i="4" s="1"/>
  <c r="I8" i="4"/>
  <c r="J9" i="4" s="1"/>
  <c r="K9" i="4" s="1"/>
  <c r="M9" i="4" s="1"/>
  <c r="I11" i="4"/>
  <c r="J12" i="4" s="1"/>
  <c r="K12" i="4" s="1"/>
  <c r="M12" i="4" s="1"/>
  <c r="I22" i="4"/>
  <c r="J23" i="4" s="1"/>
  <c r="K23" i="4" s="1"/>
  <c r="M23" i="4" s="1"/>
  <c r="K22" i="4"/>
  <c r="M22" i="4" s="1"/>
  <c r="I20" i="4"/>
  <c r="J21" i="4" s="1"/>
  <c r="K21" i="4" s="1"/>
  <c r="M21" i="4" s="1"/>
  <c r="K20" i="4"/>
  <c r="M20" i="4" s="1"/>
  <c r="I18" i="4"/>
  <c r="J19" i="4" s="1"/>
  <c r="K19" i="4" s="1"/>
  <c r="M19" i="4" s="1"/>
  <c r="K17" i="1"/>
  <c r="M17" i="1" s="1"/>
  <c r="H14" i="1"/>
  <c r="I14" i="1" s="1"/>
  <c r="H8" i="1"/>
  <c r="I8" i="1" s="1"/>
  <c r="I7" i="1"/>
  <c r="J8" i="1" s="1"/>
  <c r="K8" i="1" s="1"/>
  <c r="H24" i="3"/>
  <c r="I24" i="3" s="1"/>
  <c r="J25" i="3" s="1"/>
  <c r="K25" i="3" s="1"/>
  <c r="M25" i="3" s="1"/>
  <c r="H25" i="3"/>
  <c r="I25" i="3" s="1"/>
  <c r="J26" i="3" s="1"/>
  <c r="K26" i="3" s="1"/>
  <c r="M26" i="3" s="1"/>
  <c r="H26" i="3"/>
  <c r="H8" i="3"/>
  <c r="I8" i="3" s="1"/>
  <c r="J9" i="3" s="1"/>
  <c r="K9" i="3" s="1"/>
  <c r="M9" i="3" s="1"/>
  <c r="H9" i="3"/>
  <c r="I9" i="3" s="1"/>
  <c r="J10" i="3" s="1"/>
  <c r="K10" i="3" s="1"/>
  <c r="M10" i="3" s="1"/>
  <c r="H10" i="3"/>
  <c r="I10" i="3" s="1"/>
  <c r="J11" i="3" s="1"/>
  <c r="H11" i="3"/>
  <c r="I11" i="3" s="1"/>
  <c r="J12" i="3" s="1"/>
  <c r="H12" i="3"/>
  <c r="I12" i="3" s="1"/>
  <c r="J13" i="3" s="1"/>
  <c r="K13" i="3" s="1"/>
  <c r="M13" i="3" s="1"/>
  <c r="H13" i="3"/>
  <c r="I13" i="3" s="1"/>
  <c r="J14" i="3" s="1"/>
  <c r="H14" i="3"/>
  <c r="I14" i="3" s="1"/>
  <c r="J15" i="3" s="1"/>
  <c r="H7" i="3"/>
  <c r="I7" i="3" s="1"/>
  <c r="J8" i="3" s="1"/>
  <c r="H16" i="3"/>
  <c r="I16" i="3" s="1"/>
  <c r="J17" i="3" s="1"/>
  <c r="K17" i="3" s="1"/>
  <c r="M17" i="3" s="1"/>
  <c r="H17" i="3"/>
  <c r="I17" i="3" s="1"/>
  <c r="J18" i="3" s="1"/>
  <c r="K18" i="3" s="1"/>
  <c r="M18" i="3" s="1"/>
  <c r="H18" i="3"/>
  <c r="I18" i="3" s="1"/>
  <c r="J19" i="3" s="1"/>
  <c r="H20" i="3"/>
  <c r="I20" i="3" s="1"/>
  <c r="J21" i="3" s="1"/>
  <c r="K21" i="3" s="1"/>
  <c r="M21" i="3" s="1"/>
  <c r="H21" i="3"/>
  <c r="I21" i="3" s="1"/>
  <c r="J22" i="3" s="1"/>
  <c r="K22" i="3" s="1"/>
  <c r="M22" i="3" s="1"/>
  <c r="H23" i="3"/>
  <c r="I23" i="3" s="1"/>
  <c r="J24" i="3" s="1"/>
  <c r="H15" i="3"/>
  <c r="I15" i="3" s="1"/>
  <c r="J16" i="3" s="1"/>
  <c r="H19" i="3"/>
  <c r="I19" i="3" s="1"/>
  <c r="J20" i="3" s="1"/>
  <c r="H22" i="3"/>
  <c r="I22" i="3" s="1"/>
  <c r="J23" i="3" s="1"/>
  <c r="N6" i="3"/>
  <c r="N7" i="3" s="1"/>
  <c r="I26" i="3"/>
  <c r="I23" i="1"/>
  <c r="J24" i="1" s="1"/>
  <c r="K24" i="1" s="1"/>
  <c r="M24" i="1" s="1"/>
  <c r="I26" i="1"/>
  <c r="I25" i="1"/>
  <c r="J26" i="1" s="1"/>
  <c r="K26" i="1" s="1"/>
  <c r="M26" i="1" s="1"/>
  <c r="I24" i="1"/>
  <c r="J25" i="1" s="1"/>
  <c r="K25" i="1" s="1"/>
  <c r="M25" i="1" s="1"/>
  <c r="I22" i="1"/>
  <c r="J23" i="1" s="1"/>
  <c r="K23" i="1" s="1"/>
  <c r="M23" i="1" s="1"/>
  <c r="I21" i="1"/>
  <c r="J22" i="1" s="1"/>
  <c r="K22" i="1" s="1"/>
  <c r="M22" i="1" s="1"/>
  <c r="I20" i="1"/>
  <c r="J21" i="1" s="1"/>
  <c r="K21" i="1" s="1"/>
  <c r="M21" i="1" s="1"/>
  <c r="I19" i="1"/>
  <c r="J20" i="1" s="1"/>
  <c r="K20" i="1" s="1"/>
  <c r="M20" i="1" s="1"/>
  <c r="J16" i="1"/>
  <c r="K16" i="1" s="1"/>
  <c r="M16" i="1" s="1"/>
  <c r="K18" i="1" l="1"/>
  <c r="M18" i="1" s="1"/>
  <c r="N9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K23" i="3"/>
  <c r="M23" i="3" s="1"/>
  <c r="K19" i="3"/>
  <c r="M19" i="3" s="1"/>
  <c r="K15" i="3"/>
  <c r="M15" i="3" s="1"/>
  <c r="K14" i="3"/>
  <c r="M14" i="3" s="1"/>
  <c r="K12" i="3"/>
  <c r="M12" i="3" s="1"/>
  <c r="K11" i="3"/>
  <c r="M11" i="3" s="1"/>
  <c r="K24" i="3"/>
  <c r="M24" i="3" s="1"/>
  <c r="K20" i="3"/>
  <c r="M20" i="3" s="1"/>
  <c r="K16" i="3"/>
  <c r="M16" i="3" s="1"/>
  <c r="K8" i="3"/>
  <c r="M8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J15" i="1"/>
  <c r="K15" i="1" s="1"/>
  <c r="M15" i="1" s="1"/>
  <c r="J14" i="1"/>
  <c r="K14" i="1" s="1"/>
  <c r="M14" i="1" s="1"/>
  <c r="J13" i="1"/>
  <c r="K13" i="1" s="1"/>
  <c r="M13" i="1" s="1"/>
  <c r="J12" i="1"/>
  <c r="K12" i="1" s="1"/>
  <c r="M12" i="1" s="1"/>
  <c r="J11" i="1"/>
  <c r="K11" i="1" s="1"/>
  <c r="M11" i="1" s="1"/>
  <c r="J10" i="1"/>
  <c r="K10" i="1" s="1"/>
  <c r="M10" i="1" s="1"/>
  <c r="M8" i="1"/>
  <c r="N8" i="1" s="1"/>
  <c r="J9" i="1"/>
  <c r="K9" i="1" l="1"/>
  <c r="M9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</calcChain>
</file>

<file path=xl/sharedStrings.xml><?xml version="1.0" encoding="utf-8"?>
<sst xmlns="http://schemas.openxmlformats.org/spreadsheetml/2006/main" count="164" uniqueCount="59">
  <si>
    <t>FCOP</t>
  </si>
  <si>
    <t>$MM/yr</t>
  </si>
  <si>
    <t>VCOP</t>
  </si>
  <si>
    <t>CCOP</t>
  </si>
  <si>
    <t>Revenue</t>
  </si>
  <si>
    <t>Category</t>
  </si>
  <si>
    <t>Cost</t>
  </si>
  <si>
    <t>Unit</t>
  </si>
  <si>
    <t>years</t>
  </si>
  <si>
    <t>interest rate</t>
  </si>
  <si>
    <t>Pre-tax Cash Flow</t>
  </si>
  <si>
    <t>50% operation</t>
  </si>
  <si>
    <t>Depreciation</t>
  </si>
  <si>
    <t>MACRS*(TCC-WC)</t>
  </si>
  <si>
    <t>total</t>
  </si>
  <si>
    <t>MACRS-7 year (%)</t>
  </si>
  <si>
    <t>Total Capital Cost (TCC)</t>
  </si>
  <si>
    <t>TCC-WC</t>
  </si>
  <si>
    <t>TCC=ISBL-+OSBL+ECC+Contingency+WC</t>
  </si>
  <si>
    <t>OBSL=0.4*ISBL</t>
  </si>
  <si>
    <t>ECC=0.1*ISBL</t>
  </si>
  <si>
    <t>Contingency=0.1*ISBL</t>
  </si>
  <si>
    <t>WC=0.15*ISBL</t>
  </si>
  <si>
    <t>TCC=1.75*ISBL</t>
  </si>
  <si>
    <t>ISBL</t>
  </si>
  <si>
    <t>thus, WC =</t>
  </si>
  <si>
    <t>WC=TCC/1.75*0.15</t>
  </si>
  <si>
    <t>Finally, TCC-WC is</t>
  </si>
  <si>
    <t>Taxable Income</t>
  </si>
  <si>
    <t>Pre-tax CF-depreciation</t>
  </si>
  <si>
    <t>Tax</t>
  </si>
  <si>
    <t>Taxable income*tax rate</t>
  </si>
  <si>
    <t>tax rate=35%</t>
  </si>
  <si>
    <t>tax is paid next year, no tax income is negative</t>
  </si>
  <si>
    <t>CF</t>
  </si>
  <si>
    <t>pre-tax CF-tax</t>
  </si>
  <si>
    <t>Fd</t>
  </si>
  <si>
    <t>Discount factor</t>
  </si>
  <si>
    <t>1/(1+i)^n</t>
  </si>
  <si>
    <t>PV of CF</t>
  </si>
  <si>
    <t>CF*Fd</t>
  </si>
  <si>
    <t>Present Value</t>
  </si>
  <si>
    <t>NPV</t>
  </si>
  <si>
    <t>Sum of PV</t>
  </si>
  <si>
    <t>20 years of running operating plant, 2 yrs construction</t>
  </si>
  <si>
    <t>goalseek final NPV to 0 by changing interest rate</t>
  </si>
  <si>
    <t>MACRS-5 year (%)</t>
  </si>
  <si>
    <t>goalseek final NPV to 0 by changing interest rate. New interest rate is called DCFROR</t>
  </si>
  <si>
    <t>originally 15%</t>
  </si>
  <si>
    <t>DCFROR is discounted cash flow rate of return. Higher is better</t>
  </si>
  <si>
    <t>added to make sum 100</t>
  </si>
  <si>
    <t>OSBL</t>
  </si>
  <si>
    <t>ECC</t>
  </si>
  <si>
    <t>Contingency</t>
  </si>
  <si>
    <t>WC</t>
  </si>
  <si>
    <t>TCC</t>
  </si>
  <si>
    <t>in terms of decreasing slope</t>
  </si>
  <si>
    <t>Revenue-&gt;VCOP-&gt;ISBL-&gt;FCOP</t>
  </si>
  <si>
    <t>ISBL uses values found in class. I manually change the category in column 1 based on percentage, the paste the final NPV value into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</si>
</sst>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3" fillId="2" borderId="0" xfId="1" applyAlignment="1">
      <alignment horizontal="center"/>
    </xf>
    <xf numFmtId="0" fontId="2" fillId="3" borderId="0" xfId="2" applyAlignment="1">
      <alignment horizontal="center"/>
    </xf>
    <xf numFmtId="164" fontId="2" fillId="3" borderId="0" xfId="2" applyNumberFormat="1" applyAlignment="1">
      <alignment horizontal="center"/>
    </xf>
    <xf numFmtId="164" fontId="2" fillId="3" borderId="0" xfId="2" applyNumberFormat="1"/>
    <xf numFmtId="9" fontId="0" fillId="0" borderId="0" xfId="0" applyNumberFormat="1"/>
    <xf numFmtId="165" fontId="2" fillId="3" borderId="0" xfId="2" applyNumberFormat="1" applyAlignment="1">
      <alignment horizontal="center"/>
    </xf>
  </cellXfs>
  <cellStyles count="3">
    <cellStyle name="20% - Accent1" xfId="2" builtinId="30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change vs final NPV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ISBL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'normal (7 year)'!$R$5:$R$11</c:f>
              <c:numCache>
                <c:formatCode>0%</c:formatCode>
                <c:ptCount val="7"/>
                <c:pt idx="0">
                  <c:v>-0.3</c:v>
                </c:pt>
                <c:pt idx="1">
                  <c:v>-0.2</c:v>
                </c:pt>
                <c:pt idx="2">
                  <c:v>-0.1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</c:numCache>
            </c:numRef>
          </c:xVal>
          <c:yVal>
            <c:numRef>
              <c:f>'normal (7 year)'!$S$5:$S$11</c:f>
              <c:numCache>
                <c:formatCode>General</c:formatCode>
                <c:ptCount val="7"/>
                <c:pt idx="0">
                  <c:v>85</c:v>
                </c:pt>
                <c:pt idx="1">
                  <c:v>79.900000000000006</c:v>
                </c:pt>
                <c:pt idx="2">
                  <c:v>74.81</c:v>
                </c:pt>
                <c:pt idx="3">
                  <c:v>69.680000000000007</c:v>
                </c:pt>
                <c:pt idx="4">
                  <c:v>64.58</c:v>
                </c:pt>
                <c:pt idx="5">
                  <c:v>59.47</c:v>
                </c:pt>
                <c:pt idx="6">
                  <c:v>54.36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19-401F-A9E1-2262AF3F6980}"/>
            </c:ext>
          </c:extLst>
        </c:ser>
        <c:ser>
          <c:idx val="1"/>
          <c:order val="1"/>
          <c:tx>
            <c:v>VCOP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'normal (7 year)'!$R$5:$R$11</c:f>
              <c:numCache>
                <c:formatCode>0%</c:formatCode>
                <c:ptCount val="7"/>
                <c:pt idx="0">
                  <c:v>-0.3</c:v>
                </c:pt>
                <c:pt idx="1">
                  <c:v>-0.2</c:v>
                </c:pt>
                <c:pt idx="2">
                  <c:v>-0.1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</c:numCache>
            </c:numRef>
          </c:xVal>
          <c:yVal>
            <c:numRef>
              <c:f>'normal (7 year)'!$T$5:$T$11</c:f>
              <c:numCache>
                <c:formatCode>General</c:formatCode>
                <c:ptCount val="7"/>
                <c:pt idx="0">
                  <c:v>93.72390218462823</c:v>
                </c:pt>
                <c:pt idx="1">
                  <c:v>85.356056655732147</c:v>
                </c:pt>
                <c:pt idx="2">
                  <c:v>76.988211126836106</c:v>
                </c:pt>
                <c:pt idx="3">
                  <c:v>68.620365597940079</c:v>
                </c:pt>
                <c:pt idx="4">
                  <c:v>60.252520069044039</c:v>
                </c:pt>
                <c:pt idx="5">
                  <c:v>51.884674540148005</c:v>
                </c:pt>
                <c:pt idx="6">
                  <c:v>43.51682901125195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19-401F-A9E1-2262AF3F6980}"/>
            </c:ext>
          </c:extLst>
        </c:ser>
        <c:ser>
          <c:idx val="2"/>
          <c:order val="2"/>
          <c:tx>
            <c:v>FCOP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'normal (7 year)'!$R$5:$R$11</c:f>
              <c:numCache>
                <c:formatCode>0%</c:formatCode>
                <c:ptCount val="7"/>
                <c:pt idx="0">
                  <c:v>-0.3</c:v>
                </c:pt>
                <c:pt idx="1">
                  <c:v>-0.2</c:v>
                </c:pt>
                <c:pt idx="2">
                  <c:v>-0.1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</c:numCache>
            </c:numRef>
          </c:xVal>
          <c:yVal>
            <c:numRef>
              <c:f>'normal (7 year)'!$U$5:$U$11</c:f>
              <c:numCache>
                <c:formatCode>General</c:formatCode>
                <c:ptCount val="7"/>
                <c:pt idx="0">
                  <c:v>77.674315021547741</c:v>
                </c:pt>
                <c:pt idx="1">
                  <c:v>74.65633188034522</c:v>
                </c:pt>
                <c:pt idx="2">
                  <c:v>71.638348739142643</c:v>
                </c:pt>
                <c:pt idx="3">
                  <c:v>68.620365597940079</c:v>
                </c:pt>
                <c:pt idx="4">
                  <c:v>65.602382456737516</c:v>
                </c:pt>
                <c:pt idx="5">
                  <c:v>62.584399315534959</c:v>
                </c:pt>
                <c:pt idx="6">
                  <c:v>59.566416174332403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19-401F-A9E1-2262AF3F6980}"/>
            </c:ext>
          </c:extLst>
        </c:ser>
        <c:ser>
          <c:idx val="3"/>
          <c:order val="3"/>
          <c:tx>
            <c:v>Revenue</c:v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'normal (7 year)'!$R$5:$R$11</c:f>
              <c:numCache>
                <c:formatCode>0%</c:formatCode>
                <c:ptCount val="7"/>
                <c:pt idx="0">
                  <c:v>-0.3</c:v>
                </c:pt>
                <c:pt idx="1">
                  <c:v>-0.2</c:v>
                </c:pt>
                <c:pt idx="2">
                  <c:v>-0.1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</c:numCache>
            </c:numRef>
          </c:xVal>
          <c:yVal>
            <c:numRef>
              <c:f>'normal (7 year)'!$V$5:$V$11</c:f>
              <c:numCache>
                <c:formatCode>General</c:formatCode>
                <c:ptCount val="7"/>
                <c:pt idx="0">
                  <c:v>-5.2480197406008511</c:v>
                </c:pt>
                <c:pt idx="1">
                  <c:v>19.374775372246141</c:v>
                </c:pt>
                <c:pt idx="2">
                  <c:v>43.9975704850931</c:v>
                </c:pt>
                <c:pt idx="3">
                  <c:v>68.620365597940079</c:v>
                </c:pt>
                <c:pt idx="4">
                  <c:v>93.243160710787038</c:v>
                </c:pt>
                <c:pt idx="5">
                  <c:v>117.86595582363402</c:v>
                </c:pt>
                <c:pt idx="6">
                  <c:v>142.48875093648098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19-401F-A9E1-2262AF3F6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476656"/>
        <c:axId val="1016473416"/>
      </c:scatterChart>
      <c:valAx>
        <c:axId val="101647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73416"/>
        <c:crosses val="autoZero"/>
        <c:crossBetween val="midCat"/>
      </c:valAx>
      <c:valAx>
        <c:axId val="101647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NPV ($MM/yr)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7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512558</xdr:colOff>
      <xdr:row>11</xdr:row>
      <xdr:rowOff>183430</xdr:rowOff>
    </xdr:from>
    <xdr:to>
      <xdr:col>26</xdr:col>
      <xdr:colOff>578384</xdr:colOff>
      <xdr:row>29</xdr:row>
      <xdr:rowOff>174434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ABC6D7-EA0D-5C26-8A0D-7830D6DBF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64AC-6243-4112-9BCD-405E75121133}">
  <dimension ref="A1:AC49"/>
  <sheetViews>
    <sheetView tabSelected="1" topLeftCell="I1" zoomScale="83" workbookViewId="0">
      <selection activeCell="AE17" sqref="AE17"/>
    </sheetView>
  </sheetViews>
  <sheetFormatPr defaultRowHeight="14.4" x14ac:dyDescent="0.3"/>
  <cols>
    <col min="1" max="1" width="10.21875" customWidth="1"/>
    <col min="4" max="4" width="6.6640625" customWidth="1"/>
    <col min="5" max="5" width="10.6640625" customWidth="1"/>
    <col min="6" max="6" width="5.77734375" customWidth="1"/>
    <col min="7" max="7" width="15.21875" customWidth="1"/>
    <col min="8" max="8" width="17.109375" customWidth="1"/>
    <col min="9" max="9" width="20.6640625" customWidth="1"/>
    <col min="10" max="10" width="21.21875" customWidth="1"/>
    <col min="11" max="11" width="12.33203125" customWidth="1"/>
    <col min="12" max="12" width="13.5546875" customWidth="1"/>
    <col min="13" max="13" width="11.6640625" customWidth="1"/>
    <col min="14" max="14" width="12.21875" bestFit="1" customWidth="1"/>
  </cols>
  <sheetData>
    <row r="1" spans="1:29" ht="14.4" customHeight="1" x14ac:dyDescent="0.3">
      <c r="J1" s="2" t="s">
        <v>33</v>
      </c>
    </row>
    <row r="2" spans="1:29" x14ac:dyDescent="0.3">
      <c r="J2" t="s">
        <v>32</v>
      </c>
      <c r="L2" t="s">
        <v>38</v>
      </c>
      <c r="M2" t="s">
        <v>41</v>
      </c>
      <c r="R2" t="s">
        <v>58</v>
      </c>
    </row>
    <row r="3" spans="1:29" x14ac:dyDescent="0.3">
      <c r="H3" t="s">
        <v>13</v>
      </c>
      <c r="I3" t="s">
        <v>29</v>
      </c>
      <c r="J3" t="s">
        <v>31</v>
      </c>
      <c r="K3" t="s">
        <v>35</v>
      </c>
      <c r="L3" t="s">
        <v>37</v>
      </c>
      <c r="M3" s="1" t="s">
        <v>40</v>
      </c>
      <c r="N3" t="s">
        <v>43</v>
      </c>
    </row>
    <row r="4" spans="1:29" x14ac:dyDescent="0.3">
      <c r="A4" t="s">
        <v>5</v>
      </c>
      <c r="B4" t="s">
        <v>6</v>
      </c>
      <c r="C4" t="s">
        <v>7</v>
      </c>
      <c r="F4" s="12" t="s">
        <v>8</v>
      </c>
      <c r="G4" s="12" t="s">
        <v>10</v>
      </c>
      <c r="H4" s="12" t="s">
        <v>12</v>
      </c>
      <c r="I4" s="12" t="s">
        <v>28</v>
      </c>
      <c r="J4" s="12" t="s">
        <v>30</v>
      </c>
      <c r="K4" s="12" t="s">
        <v>34</v>
      </c>
      <c r="L4" s="12" t="s">
        <v>36</v>
      </c>
      <c r="M4" s="12" t="s">
        <v>39</v>
      </c>
      <c r="N4" s="12" t="s">
        <v>42</v>
      </c>
      <c r="S4" t="s">
        <v>24</v>
      </c>
      <c r="T4" t="s">
        <v>2</v>
      </c>
      <c r="U4" t="s">
        <v>0</v>
      </c>
      <c r="V4" t="s">
        <v>4</v>
      </c>
    </row>
    <row r="5" spans="1:29" x14ac:dyDescent="0.3">
      <c r="A5" t="s">
        <v>0</v>
      </c>
      <c r="B5">
        <f>10*1.2</f>
        <v>12</v>
      </c>
      <c r="C5" t="s">
        <v>1</v>
      </c>
      <c r="F5" s="1">
        <v>1</v>
      </c>
      <c r="G5" s="6">
        <f>-$N$36*0.25</f>
        <v>-20</v>
      </c>
      <c r="H5" s="1"/>
      <c r="I5" s="1">
        <f>G5-H5</f>
        <v>-20</v>
      </c>
      <c r="J5" s="1">
        <v>0</v>
      </c>
      <c r="K5" s="1">
        <f>I5-J5</f>
        <v>-20</v>
      </c>
      <c r="L5" s="3">
        <f>1/(1+$B$10)^F5</f>
        <v>0.86956521739130443</v>
      </c>
      <c r="M5" s="3">
        <f>K5*L5</f>
        <v>-17.39130434782609</v>
      </c>
      <c r="N5" s="4">
        <f>M5</f>
        <v>-17.39130434782609</v>
      </c>
      <c r="R5" s="16">
        <v>-0.3</v>
      </c>
      <c r="S5">
        <v>85</v>
      </c>
      <c r="T5">
        <v>93.72390218462823</v>
      </c>
      <c r="U5">
        <v>77.674315021547741</v>
      </c>
      <c r="V5">
        <v>-5.2480197406008511</v>
      </c>
    </row>
    <row r="6" spans="1:29" x14ac:dyDescent="0.3">
      <c r="A6" t="s">
        <v>2</v>
      </c>
      <c r="B6">
        <f>30*1</f>
        <v>30</v>
      </c>
      <c r="C6" t="s">
        <v>1</v>
      </c>
      <c r="F6" s="1">
        <v>2</v>
      </c>
      <c r="G6" s="6">
        <f>-$N$36*0.75</f>
        <v>-60</v>
      </c>
      <c r="H6" s="1"/>
      <c r="I6" s="1">
        <f t="shared" ref="I6:I26" si="0">G6-H6</f>
        <v>-60</v>
      </c>
      <c r="J6" s="1">
        <v>0</v>
      </c>
      <c r="K6" s="1">
        <f>I6-J6</f>
        <v>-60</v>
      </c>
      <c r="L6" s="3">
        <f t="shared" ref="L6:L26" si="1">1/(1+$B$10)^F6</f>
        <v>0.7561436672967865</v>
      </c>
      <c r="M6" s="3">
        <f>K6*L6</f>
        <v>-45.36862003780719</v>
      </c>
      <c r="N6" s="4">
        <f>N5+M6</f>
        <v>-62.759924385633283</v>
      </c>
      <c r="R6" s="16">
        <v>-0.2</v>
      </c>
      <c r="S6">
        <v>79.900000000000006</v>
      </c>
      <c r="T6">
        <v>85.356056655732147</v>
      </c>
      <c r="U6">
        <v>74.65633188034522</v>
      </c>
      <c r="V6">
        <v>19.374775372246141</v>
      </c>
    </row>
    <row r="7" spans="1:29" x14ac:dyDescent="0.3">
      <c r="A7" t="s">
        <v>3</v>
      </c>
      <c r="B7">
        <f>B5+B6</f>
        <v>42</v>
      </c>
      <c r="C7" t="s">
        <v>1</v>
      </c>
      <c r="E7" t="s">
        <v>11</v>
      </c>
      <c r="F7" s="1">
        <v>3</v>
      </c>
      <c r="G7" s="6">
        <f>(B8/2)-(B6/2)-(B5)</f>
        <v>13</v>
      </c>
      <c r="H7" s="3">
        <f>TCCWC*(G31/100)</f>
        <v>11.023714285714284</v>
      </c>
      <c r="I7" s="3">
        <f>G7-H7</f>
        <v>1.9762857142857158</v>
      </c>
      <c r="J7" s="1">
        <v>0</v>
      </c>
      <c r="K7" s="3">
        <f>G7-J7</f>
        <v>13</v>
      </c>
      <c r="L7" s="3">
        <f t="shared" si="1"/>
        <v>0.65751623243198831</v>
      </c>
      <c r="M7" s="3">
        <f>K7*L7</f>
        <v>8.5477110216158483</v>
      </c>
      <c r="N7" s="4">
        <f t="shared" ref="N7:N26" si="2">N6+M7</f>
        <v>-54.212213364017437</v>
      </c>
      <c r="R7" s="16">
        <v>-0.1</v>
      </c>
      <c r="S7">
        <v>74.81</v>
      </c>
      <c r="T7">
        <v>76.988211126836106</v>
      </c>
      <c r="U7">
        <v>71.638348739142643</v>
      </c>
      <c r="V7">
        <v>43.9975704850931</v>
      </c>
    </row>
    <row r="8" spans="1:29" x14ac:dyDescent="0.3">
      <c r="A8" t="s">
        <v>4</v>
      </c>
      <c r="B8">
        <f>80*1</f>
        <v>80</v>
      </c>
      <c r="C8" t="s">
        <v>1</v>
      </c>
      <c r="F8" s="1">
        <v>4</v>
      </c>
      <c r="G8" s="6">
        <f>$B$8-$B$7</f>
        <v>38</v>
      </c>
      <c r="H8" s="3">
        <f t="shared" ref="H7:H14" si="3">TCCWC*(G32/100)</f>
        <v>18.892285714285713</v>
      </c>
      <c r="I8" s="3">
        <f t="shared" si="0"/>
        <v>19.107714285714287</v>
      </c>
      <c r="J8" s="3">
        <f>I7*0.35</f>
        <v>0.69170000000000043</v>
      </c>
      <c r="K8" s="3">
        <f t="shared" ref="K8:K26" si="4">G8-J8</f>
        <v>37.308300000000003</v>
      </c>
      <c r="L8" s="3">
        <f t="shared" si="1"/>
        <v>0.57175324559303342</v>
      </c>
      <c r="M8" s="3">
        <f t="shared" ref="M8:M26" si="5">K8*L8</f>
        <v>21.331141612558572</v>
      </c>
      <c r="N8" s="4">
        <f t="shared" si="2"/>
        <v>-32.881071751458862</v>
      </c>
      <c r="R8" s="16">
        <v>0</v>
      </c>
      <c r="S8">
        <v>69.680000000000007</v>
      </c>
      <c r="T8">
        <v>68.620365597940079</v>
      </c>
      <c r="U8">
        <v>68.620365597940079</v>
      </c>
      <c r="V8">
        <v>68.620365597940079</v>
      </c>
    </row>
    <row r="9" spans="1:29" x14ac:dyDescent="0.3">
      <c r="F9" s="1">
        <v>5</v>
      </c>
      <c r="G9" s="6">
        <f>$B$8-$B$7</f>
        <v>38</v>
      </c>
      <c r="H9" s="3">
        <f t="shared" si="3"/>
        <v>13.492285714285712</v>
      </c>
      <c r="I9" s="3">
        <f t="shared" si="0"/>
        <v>24.507714285714286</v>
      </c>
      <c r="J9" s="3">
        <f t="shared" ref="J9:J26" si="6">I8*0.35</f>
        <v>6.6877000000000004</v>
      </c>
      <c r="K9" s="3">
        <f t="shared" si="4"/>
        <v>31.3123</v>
      </c>
      <c r="L9" s="3">
        <f t="shared" si="1"/>
        <v>0.49717673529828987</v>
      </c>
      <c r="M9" s="3">
        <f t="shared" si="5"/>
        <v>15.567747088680642</v>
      </c>
      <c r="N9" s="4">
        <f t="shared" si="2"/>
        <v>-17.313324662778221</v>
      </c>
      <c r="R9" s="16">
        <v>0.1</v>
      </c>
      <c r="S9">
        <v>64.58</v>
      </c>
      <c r="T9">
        <v>60.252520069044039</v>
      </c>
      <c r="U9">
        <v>65.602382456737516</v>
      </c>
      <c r="V9">
        <v>93.243160710787038</v>
      </c>
    </row>
    <row r="10" spans="1:29" x14ac:dyDescent="0.3">
      <c r="A10" t="s">
        <v>9</v>
      </c>
      <c r="B10" s="1">
        <v>0.15</v>
      </c>
      <c r="F10" s="1">
        <v>6</v>
      </c>
      <c r="G10" s="6">
        <f t="shared" ref="G9:G26" si="7">$B$8-$B$7</f>
        <v>38</v>
      </c>
      <c r="H10" s="3">
        <f t="shared" si="3"/>
        <v>9.6351428571428563</v>
      </c>
      <c r="I10" s="3">
        <f t="shared" si="0"/>
        <v>28.364857142857144</v>
      </c>
      <c r="J10" s="3">
        <f t="shared" si="6"/>
        <v>8.5777000000000001</v>
      </c>
      <c r="K10" s="3">
        <f t="shared" si="4"/>
        <v>29.4223</v>
      </c>
      <c r="L10" s="3">
        <f t="shared" si="1"/>
        <v>0.43232759591155645</v>
      </c>
      <c r="M10" s="3">
        <f t="shared" si="5"/>
        <v>12.720072225188588</v>
      </c>
      <c r="N10" s="4">
        <f t="shared" si="2"/>
        <v>-4.5932524375896335</v>
      </c>
      <c r="R10" s="16">
        <v>0.2</v>
      </c>
      <c r="S10">
        <v>59.47</v>
      </c>
      <c r="T10">
        <v>51.884674540148005</v>
      </c>
      <c r="U10">
        <v>62.584399315534959</v>
      </c>
      <c r="V10">
        <v>117.86595582363402</v>
      </c>
    </row>
    <row r="11" spans="1:29" x14ac:dyDescent="0.3">
      <c r="F11" s="1">
        <v>7</v>
      </c>
      <c r="G11" s="6">
        <f>$B$8-$B$7</f>
        <v>38</v>
      </c>
      <c r="H11" s="3">
        <f t="shared" si="3"/>
        <v>6.8888571428571419</v>
      </c>
      <c r="I11" s="3">
        <f t="shared" si="0"/>
        <v>31.111142857142859</v>
      </c>
      <c r="J11" s="3">
        <f t="shared" si="6"/>
        <v>9.9276999999999997</v>
      </c>
      <c r="K11" s="3">
        <f t="shared" si="4"/>
        <v>28.072299999999998</v>
      </c>
      <c r="L11" s="3">
        <f t="shared" si="1"/>
        <v>0.37593703992309269</v>
      </c>
      <c r="M11" s="3">
        <f t="shared" si="5"/>
        <v>10.553417365833035</v>
      </c>
      <c r="N11" s="4">
        <f t="shared" si="2"/>
        <v>5.9601649282434011</v>
      </c>
      <c r="R11" s="16">
        <v>0.3</v>
      </c>
      <c r="S11">
        <v>54.36</v>
      </c>
      <c r="T11">
        <v>43.51682901125195</v>
      </c>
      <c r="U11">
        <v>59.566416174332403</v>
      </c>
      <c r="V11">
        <v>142.48875093648098</v>
      </c>
    </row>
    <row r="12" spans="1:29" x14ac:dyDescent="0.3">
      <c r="A12" t="s">
        <v>44</v>
      </c>
      <c r="F12" s="1">
        <v>8</v>
      </c>
      <c r="G12" s="6">
        <f t="shared" si="7"/>
        <v>38</v>
      </c>
      <c r="H12" s="3">
        <f t="shared" si="3"/>
        <v>6.8811428571428568</v>
      </c>
      <c r="I12" s="3">
        <f t="shared" si="0"/>
        <v>31.118857142857145</v>
      </c>
      <c r="J12" s="3">
        <f t="shared" si="6"/>
        <v>10.8889</v>
      </c>
      <c r="K12" s="3">
        <f t="shared" si="4"/>
        <v>27.1111</v>
      </c>
      <c r="L12" s="3">
        <f t="shared" si="1"/>
        <v>0.32690177384616753</v>
      </c>
      <c r="M12" s="3">
        <f t="shared" si="5"/>
        <v>8.8626666809208334</v>
      </c>
      <c r="N12" s="4">
        <f>N11+M12</f>
        <v>14.822831609164234</v>
      </c>
    </row>
    <row r="13" spans="1:29" x14ac:dyDescent="0.3">
      <c r="F13" s="1">
        <v>9</v>
      </c>
      <c r="G13" s="6">
        <f t="shared" si="7"/>
        <v>38</v>
      </c>
      <c r="H13" s="3">
        <f t="shared" si="3"/>
        <v>6.8888571428571419</v>
      </c>
      <c r="I13" s="3">
        <f t="shared" si="0"/>
        <v>31.111142857142859</v>
      </c>
      <c r="J13" s="3">
        <f t="shared" si="6"/>
        <v>10.8916</v>
      </c>
      <c r="K13" s="3">
        <f t="shared" si="4"/>
        <v>27.1084</v>
      </c>
      <c r="L13" s="3">
        <f t="shared" si="1"/>
        <v>0.28426241204014574</v>
      </c>
      <c r="M13" s="3">
        <f t="shared" si="5"/>
        <v>7.7058991705490865</v>
      </c>
      <c r="N13" s="4">
        <f t="shared" si="2"/>
        <v>22.528730779713321</v>
      </c>
      <c r="AC13" t="s">
        <v>56</v>
      </c>
    </row>
    <row r="14" spans="1:29" x14ac:dyDescent="0.3">
      <c r="F14" s="13">
        <v>10</v>
      </c>
      <c r="G14" s="17">
        <f t="shared" si="7"/>
        <v>38</v>
      </c>
      <c r="H14" s="14">
        <f t="shared" si="3"/>
        <v>3.4405714285714284</v>
      </c>
      <c r="I14" s="14">
        <f t="shared" si="0"/>
        <v>34.559428571428569</v>
      </c>
      <c r="J14" s="14">
        <f t="shared" si="6"/>
        <v>10.8889</v>
      </c>
      <c r="K14" s="14">
        <f t="shared" si="4"/>
        <v>27.1111</v>
      </c>
      <c r="L14" s="14">
        <f t="shared" si="1"/>
        <v>0.24718470612186585</v>
      </c>
      <c r="M14" s="14">
        <f t="shared" si="5"/>
        <v>6.7014492861405177</v>
      </c>
      <c r="N14" s="15">
        <f t="shared" si="2"/>
        <v>29.230180065853837</v>
      </c>
      <c r="AC14" t="s">
        <v>57</v>
      </c>
    </row>
    <row r="15" spans="1:29" x14ac:dyDescent="0.3">
      <c r="F15" s="1">
        <v>11</v>
      </c>
      <c r="G15" s="6">
        <f t="shared" si="7"/>
        <v>38</v>
      </c>
      <c r="H15" s="1">
        <v>0</v>
      </c>
      <c r="I15" s="1">
        <f t="shared" si="0"/>
        <v>38</v>
      </c>
      <c r="J15" s="3">
        <f t="shared" si="6"/>
        <v>12.095799999999999</v>
      </c>
      <c r="K15" s="3">
        <f t="shared" si="4"/>
        <v>25.904200000000003</v>
      </c>
      <c r="L15" s="3">
        <f t="shared" si="1"/>
        <v>0.21494322271466598</v>
      </c>
      <c r="M15" s="3">
        <f t="shared" si="5"/>
        <v>5.5679322298452512</v>
      </c>
      <c r="N15" s="4">
        <f t="shared" si="2"/>
        <v>34.798112295699084</v>
      </c>
    </row>
    <row r="16" spans="1:29" x14ac:dyDescent="0.3">
      <c r="F16" s="1">
        <v>12</v>
      </c>
      <c r="G16" s="6">
        <f t="shared" si="7"/>
        <v>38</v>
      </c>
      <c r="H16" s="1">
        <v>0</v>
      </c>
      <c r="I16" s="1">
        <f t="shared" si="0"/>
        <v>38</v>
      </c>
      <c r="J16" s="1">
        <f t="shared" si="6"/>
        <v>13.299999999999999</v>
      </c>
      <c r="K16" s="3">
        <f t="shared" si="4"/>
        <v>24.700000000000003</v>
      </c>
      <c r="L16" s="3">
        <f t="shared" si="1"/>
        <v>0.18690715018666609</v>
      </c>
      <c r="M16" s="3">
        <f t="shared" si="5"/>
        <v>4.6166066096106526</v>
      </c>
      <c r="N16" s="4">
        <f t="shared" si="2"/>
        <v>39.414718905309741</v>
      </c>
    </row>
    <row r="17" spans="6:15" x14ac:dyDescent="0.3">
      <c r="F17" s="1">
        <v>13</v>
      </c>
      <c r="G17" s="6">
        <f t="shared" si="7"/>
        <v>38</v>
      </c>
      <c r="H17" s="1">
        <f>TCCWC*(G41/100)</f>
        <v>0</v>
      </c>
      <c r="I17" s="1">
        <f t="shared" si="0"/>
        <v>38</v>
      </c>
      <c r="J17" s="1">
        <f t="shared" si="6"/>
        <v>13.299999999999999</v>
      </c>
      <c r="K17" s="3">
        <f t="shared" si="4"/>
        <v>24.700000000000003</v>
      </c>
      <c r="L17" s="3">
        <f t="shared" si="1"/>
        <v>0.16252795668405748</v>
      </c>
      <c r="M17" s="3">
        <f t="shared" si="5"/>
        <v>4.0144405300962198</v>
      </c>
      <c r="N17" s="4">
        <f t="shared" si="2"/>
        <v>43.429159435405964</v>
      </c>
    </row>
    <row r="18" spans="6:15" x14ac:dyDescent="0.3">
      <c r="F18" s="1">
        <v>14</v>
      </c>
      <c r="G18" s="6">
        <f t="shared" si="7"/>
        <v>38</v>
      </c>
      <c r="H18" s="1">
        <f>TCCWC*(G42/100)</f>
        <v>0</v>
      </c>
      <c r="I18" s="1">
        <f t="shared" si="0"/>
        <v>38</v>
      </c>
      <c r="J18" s="1">
        <f t="shared" si="6"/>
        <v>13.299999999999999</v>
      </c>
      <c r="K18" s="3">
        <f>G18-J18</f>
        <v>24.700000000000003</v>
      </c>
      <c r="L18" s="3">
        <f t="shared" si="1"/>
        <v>0.14132865798613695</v>
      </c>
      <c r="M18" s="3">
        <f t="shared" si="5"/>
        <v>3.490817852257583</v>
      </c>
      <c r="N18" s="4">
        <f t="shared" si="2"/>
        <v>46.919977287663549</v>
      </c>
    </row>
    <row r="19" spans="6:15" x14ac:dyDescent="0.3">
      <c r="F19" s="13">
        <v>15</v>
      </c>
      <c r="G19" s="17">
        <f t="shared" si="7"/>
        <v>38</v>
      </c>
      <c r="H19" s="13">
        <v>0</v>
      </c>
      <c r="I19" s="13">
        <f t="shared" si="0"/>
        <v>38</v>
      </c>
      <c r="J19" s="13">
        <f t="shared" si="6"/>
        <v>13.299999999999999</v>
      </c>
      <c r="K19" s="14">
        <f t="shared" si="4"/>
        <v>24.700000000000003</v>
      </c>
      <c r="L19" s="14">
        <f t="shared" si="1"/>
        <v>0.1228944852053365</v>
      </c>
      <c r="M19" s="14">
        <f t="shared" si="5"/>
        <v>3.0354937845718117</v>
      </c>
      <c r="N19" s="15">
        <f t="shared" si="2"/>
        <v>49.955471072235362</v>
      </c>
    </row>
    <row r="20" spans="6:15" x14ac:dyDescent="0.3">
      <c r="F20" s="1">
        <v>16</v>
      </c>
      <c r="G20" s="6">
        <f t="shared" si="7"/>
        <v>38</v>
      </c>
      <c r="H20" s="1">
        <v>0</v>
      </c>
      <c r="I20" s="1">
        <f t="shared" si="0"/>
        <v>38</v>
      </c>
      <c r="J20" s="1">
        <f t="shared" si="6"/>
        <v>13.299999999999999</v>
      </c>
      <c r="K20" s="3">
        <f t="shared" si="4"/>
        <v>24.700000000000003</v>
      </c>
      <c r="L20" s="3">
        <f t="shared" si="1"/>
        <v>0.10686476974377089</v>
      </c>
      <c r="M20" s="3">
        <f t="shared" si="5"/>
        <v>2.6395598126711413</v>
      </c>
      <c r="N20" s="4">
        <f t="shared" si="2"/>
        <v>52.595030884906507</v>
      </c>
    </row>
    <row r="21" spans="6:15" x14ac:dyDescent="0.3">
      <c r="F21" s="1">
        <v>17</v>
      </c>
      <c r="G21" s="6">
        <f t="shared" si="7"/>
        <v>38</v>
      </c>
      <c r="H21" s="1">
        <v>0</v>
      </c>
      <c r="I21" s="1">
        <f t="shared" si="0"/>
        <v>38</v>
      </c>
      <c r="J21" s="1">
        <f t="shared" si="6"/>
        <v>13.299999999999999</v>
      </c>
      <c r="K21" s="3">
        <f t="shared" si="4"/>
        <v>24.700000000000003</v>
      </c>
      <c r="L21" s="3">
        <f t="shared" si="1"/>
        <v>9.2925886733713825E-2</v>
      </c>
      <c r="M21" s="3">
        <f t="shared" si="5"/>
        <v>2.2952694023227318</v>
      </c>
      <c r="N21" s="4">
        <f t="shared" si="2"/>
        <v>54.890300287229238</v>
      </c>
    </row>
    <row r="22" spans="6:15" x14ac:dyDescent="0.3">
      <c r="F22" s="1">
        <v>18</v>
      </c>
      <c r="G22" s="6">
        <f t="shared" si="7"/>
        <v>38</v>
      </c>
      <c r="H22" s="1">
        <v>0</v>
      </c>
      <c r="I22" s="1">
        <f t="shared" si="0"/>
        <v>38</v>
      </c>
      <c r="J22" s="1">
        <f t="shared" si="6"/>
        <v>13.299999999999999</v>
      </c>
      <c r="K22" s="3">
        <f t="shared" si="4"/>
        <v>24.700000000000003</v>
      </c>
      <c r="L22" s="3">
        <f t="shared" si="1"/>
        <v>8.0805118898881603E-2</v>
      </c>
      <c r="M22" s="3">
        <f t="shared" si="5"/>
        <v>1.9958864368023759</v>
      </c>
      <c r="N22" s="4">
        <f t="shared" si="2"/>
        <v>56.88618672403161</v>
      </c>
    </row>
    <row r="23" spans="6:15" x14ac:dyDescent="0.3">
      <c r="F23" s="1">
        <v>19</v>
      </c>
      <c r="G23" s="6">
        <f t="shared" si="7"/>
        <v>38</v>
      </c>
      <c r="H23" s="1">
        <v>0</v>
      </c>
      <c r="I23" s="1">
        <f t="shared" si="0"/>
        <v>38</v>
      </c>
      <c r="J23" s="1">
        <f t="shared" si="6"/>
        <v>13.299999999999999</v>
      </c>
      <c r="K23" s="3">
        <f t="shared" si="4"/>
        <v>24.700000000000003</v>
      </c>
      <c r="L23" s="3">
        <f t="shared" si="1"/>
        <v>7.0265320781636179E-2</v>
      </c>
      <c r="M23" s="3">
        <f t="shared" si="5"/>
        <v>1.7355534233064138</v>
      </c>
      <c r="N23" s="4">
        <f t="shared" si="2"/>
        <v>58.621740147338024</v>
      </c>
    </row>
    <row r="24" spans="6:15" x14ac:dyDescent="0.3">
      <c r="F24" s="1">
        <v>20</v>
      </c>
      <c r="G24" s="6">
        <f t="shared" si="7"/>
        <v>38</v>
      </c>
      <c r="H24" s="1">
        <v>0</v>
      </c>
      <c r="I24" s="1">
        <f t="shared" si="0"/>
        <v>38</v>
      </c>
      <c r="J24" s="1">
        <f t="shared" si="6"/>
        <v>13.299999999999999</v>
      </c>
      <c r="K24" s="3">
        <f t="shared" si="4"/>
        <v>24.700000000000003</v>
      </c>
      <c r="L24" s="3">
        <f t="shared" si="1"/>
        <v>6.1100278940553199E-2</v>
      </c>
      <c r="M24" s="3">
        <f t="shared" si="5"/>
        <v>1.5091768898316642</v>
      </c>
      <c r="N24" s="4">
        <f t="shared" si="2"/>
        <v>60.130917037169688</v>
      </c>
    </row>
    <row r="25" spans="6:15" x14ac:dyDescent="0.3">
      <c r="F25" s="1">
        <v>21</v>
      </c>
      <c r="G25" s="6">
        <f t="shared" si="7"/>
        <v>38</v>
      </c>
      <c r="H25" s="1">
        <v>0</v>
      </c>
      <c r="I25" s="1">
        <f t="shared" si="0"/>
        <v>38</v>
      </c>
      <c r="J25" s="1">
        <f t="shared" si="6"/>
        <v>13.299999999999999</v>
      </c>
      <c r="K25" s="3">
        <f t="shared" si="4"/>
        <v>24.700000000000003</v>
      </c>
      <c r="L25" s="3">
        <f t="shared" si="1"/>
        <v>5.3130677339611479E-2</v>
      </c>
      <c r="M25" s="3">
        <f t="shared" si="5"/>
        <v>1.3123277302884038</v>
      </c>
      <c r="N25" s="4">
        <f t="shared" si="2"/>
        <v>61.44324476745809</v>
      </c>
    </row>
    <row r="26" spans="6:15" x14ac:dyDescent="0.3">
      <c r="F26" s="1">
        <v>22</v>
      </c>
      <c r="G26" s="6">
        <f t="shared" si="7"/>
        <v>38</v>
      </c>
      <c r="H26" s="1">
        <v>0</v>
      </c>
      <c r="I26" s="1">
        <f t="shared" si="0"/>
        <v>38</v>
      </c>
      <c r="J26" s="1">
        <f t="shared" si="6"/>
        <v>13.299999999999999</v>
      </c>
      <c r="K26" s="3">
        <f t="shared" si="4"/>
        <v>24.700000000000003</v>
      </c>
      <c r="L26" s="3">
        <f t="shared" si="1"/>
        <v>4.6200588990966504E-2</v>
      </c>
      <c r="M26" s="3">
        <f t="shared" si="5"/>
        <v>1.1411545480768728</v>
      </c>
      <c r="N26" s="4">
        <f t="shared" si="2"/>
        <v>62.584399315534959</v>
      </c>
    </row>
    <row r="27" spans="6:15" x14ac:dyDescent="0.3">
      <c r="N27" t="s">
        <v>45</v>
      </c>
    </row>
    <row r="29" spans="6:15" x14ac:dyDescent="0.3">
      <c r="O29" s="16">
        <v>0.9</v>
      </c>
    </row>
    <row r="30" spans="6:15" x14ac:dyDescent="0.3">
      <c r="G30" t="s">
        <v>15</v>
      </c>
      <c r="J30" t="s">
        <v>16</v>
      </c>
      <c r="M30" t="s">
        <v>24</v>
      </c>
      <c r="N30">
        <v>45.7</v>
      </c>
      <c r="O30">
        <f>0.9*N30</f>
        <v>41.13</v>
      </c>
    </row>
    <row r="31" spans="6:15" x14ac:dyDescent="0.3">
      <c r="G31">
        <v>14.29</v>
      </c>
      <c r="J31">
        <f>$B$5+$B$6+$B$7</f>
        <v>84</v>
      </c>
      <c r="M31" t="s">
        <v>51</v>
      </c>
      <c r="N31">
        <f>0.4*N30</f>
        <v>18.28</v>
      </c>
      <c r="O31">
        <f t="shared" ref="O31:O38" si="8">0.9*N31</f>
        <v>16.452000000000002</v>
      </c>
    </row>
    <row r="32" spans="6:15" x14ac:dyDescent="0.3">
      <c r="G32">
        <v>24.49</v>
      </c>
      <c r="M32" t="s">
        <v>52</v>
      </c>
      <c r="N32">
        <f>0.1*N30</f>
        <v>4.57</v>
      </c>
      <c r="O32">
        <f t="shared" si="8"/>
        <v>4.1130000000000004</v>
      </c>
    </row>
    <row r="33" spans="6:15" x14ac:dyDescent="0.3">
      <c r="G33">
        <v>17.489999999999998</v>
      </c>
      <c r="J33" t="s">
        <v>17</v>
      </c>
      <c r="M33" t="s">
        <v>53</v>
      </c>
      <c r="N33">
        <f>0.1*N30</f>
        <v>4.57</v>
      </c>
      <c r="O33">
        <f t="shared" si="8"/>
        <v>4.1130000000000004</v>
      </c>
    </row>
    <row r="34" spans="6:15" x14ac:dyDescent="0.3">
      <c r="G34">
        <v>12.49</v>
      </c>
      <c r="J34" t="s">
        <v>18</v>
      </c>
      <c r="M34" t="s">
        <v>54</v>
      </c>
      <c r="N34">
        <f>0.15*N30</f>
        <v>6.8550000000000004</v>
      </c>
      <c r="O34">
        <f t="shared" si="8"/>
        <v>6.1695000000000002</v>
      </c>
    </row>
    <row r="35" spans="6:15" x14ac:dyDescent="0.3">
      <c r="G35">
        <v>8.93</v>
      </c>
      <c r="J35" t="s">
        <v>19</v>
      </c>
    </row>
    <row r="36" spans="6:15" x14ac:dyDescent="0.3">
      <c r="G36">
        <v>8.92</v>
      </c>
      <c r="J36" t="s">
        <v>20</v>
      </c>
      <c r="M36" t="s">
        <v>55</v>
      </c>
      <c r="N36">
        <v>80</v>
      </c>
      <c r="O36">
        <f>0.9*N36</f>
        <v>72</v>
      </c>
    </row>
    <row r="37" spans="6:15" x14ac:dyDescent="0.3">
      <c r="G37">
        <v>8.93</v>
      </c>
      <c r="J37" t="s">
        <v>21</v>
      </c>
      <c r="M37" t="s">
        <v>24</v>
      </c>
      <c r="N37">
        <f>N36/1.75</f>
        <v>45.714285714285715</v>
      </c>
      <c r="O37">
        <f t="shared" si="8"/>
        <v>41.142857142857146</v>
      </c>
    </row>
    <row r="38" spans="6:15" x14ac:dyDescent="0.3">
      <c r="G38">
        <v>4.46</v>
      </c>
      <c r="H38" t="s">
        <v>50</v>
      </c>
      <c r="J38" t="s">
        <v>22</v>
      </c>
    </row>
    <row r="39" spans="6:15" x14ac:dyDescent="0.3">
      <c r="M39" t="s">
        <v>17</v>
      </c>
      <c r="O39">
        <f>O36-O34</f>
        <v>65.830500000000001</v>
      </c>
    </row>
    <row r="40" spans="6:15" x14ac:dyDescent="0.3">
      <c r="F40" t="s">
        <v>14</v>
      </c>
      <c r="G40">
        <f>SUM(G31:G38)</f>
        <v>99.999999999999986</v>
      </c>
      <c r="J40" t="s">
        <v>23</v>
      </c>
    </row>
    <row r="41" spans="6:15" x14ac:dyDescent="0.3">
      <c r="J41" t="s">
        <v>26</v>
      </c>
    </row>
    <row r="43" spans="6:15" x14ac:dyDescent="0.3">
      <c r="J43" t="s">
        <v>24</v>
      </c>
    </row>
    <row r="44" spans="6:15" x14ac:dyDescent="0.3">
      <c r="J44">
        <f>80/1.75</f>
        <v>45.714285714285715</v>
      </c>
    </row>
    <row r="46" spans="6:15" x14ac:dyDescent="0.3">
      <c r="J46" t="s">
        <v>25</v>
      </c>
      <c r="K46">
        <f>J44*0.15</f>
        <v>6.8571428571428568</v>
      </c>
    </row>
    <row r="48" spans="6:15" x14ac:dyDescent="0.3">
      <c r="J48" t="s">
        <v>27</v>
      </c>
    </row>
    <row r="49" spans="10:10" x14ac:dyDescent="0.3">
      <c r="J49">
        <f>$J$31-$K$46</f>
        <v>77.142857142857139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2345-DF0B-4633-8D80-64517917F269}">
  <dimension ref="A1:N49"/>
  <sheetViews>
    <sheetView topLeftCell="A13" workbookViewId="0">
      <selection activeCell="H12" sqref="H12"/>
    </sheetView>
  </sheetViews>
  <sheetFormatPr defaultRowHeight="14.4" x14ac:dyDescent="0.3"/>
  <cols>
    <col min="1" max="1" width="10.21875" customWidth="1"/>
    <col min="4" max="4" width="6.6640625" customWidth="1"/>
    <col min="5" max="5" width="10.6640625" customWidth="1"/>
    <col min="6" max="6" width="5.77734375" customWidth="1"/>
    <col min="7" max="7" width="15.21875" customWidth="1"/>
    <col min="8" max="8" width="17.109375" customWidth="1"/>
    <col min="9" max="9" width="20.6640625" customWidth="1"/>
    <col min="10" max="10" width="21.21875" customWidth="1"/>
    <col min="11" max="11" width="12.33203125" customWidth="1"/>
    <col min="12" max="12" width="13.5546875" customWidth="1"/>
    <col min="13" max="13" width="11.6640625" customWidth="1"/>
    <col min="14" max="14" width="12.21875" bestFit="1" customWidth="1"/>
  </cols>
  <sheetData>
    <row r="1" spans="1:14" ht="14.4" customHeight="1" x14ac:dyDescent="0.3">
      <c r="J1" s="2" t="s">
        <v>33</v>
      </c>
    </row>
    <row r="2" spans="1:14" x14ac:dyDescent="0.3">
      <c r="J2" t="s">
        <v>32</v>
      </c>
      <c r="L2" t="s">
        <v>38</v>
      </c>
      <c r="M2" t="s">
        <v>41</v>
      </c>
    </row>
    <row r="3" spans="1:14" x14ac:dyDescent="0.3">
      <c r="H3" t="s">
        <v>13</v>
      </c>
      <c r="I3" t="s">
        <v>29</v>
      </c>
      <c r="J3" t="s">
        <v>31</v>
      </c>
      <c r="K3" t="s">
        <v>35</v>
      </c>
      <c r="L3" t="s">
        <v>37</v>
      </c>
      <c r="M3" s="1" t="s">
        <v>40</v>
      </c>
      <c r="N3" t="s">
        <v>43</v>
      </c>
    </row>
    <row r="4" spans="1:14" x14ac:dyDescent="0.3">
      <c r="A4" t="s">
        <v>5</v>
      </c>
      <c r="B4" t="s">
        <v>6</v>
      </c>
      <c r="C4" t="s">
        <v>7</v>
      </c>
      <c r="F4" s="1" t="s">
        <v>8</v>
      </c>
      <c r="G4" s="1" t="s">
        <v>10</v>
      </c>
      <c r="H4" s="1" t="s">
        <v>12</v>
      </c>
      <c r="I4" s="1" t="s">
        <v>28</v>
      </c>
      <c r="J4" s="1" t="s">
        <v>30</v>
      </c>
      <c r="K4" s="1" t="s">
        <v>34</v>
      </c>
      <c r="L4" s="1" t="s">
        <v>36</v>
      </c>
      <c r="M4" s="1" t="s">
        <v>39</v>
      </c>
      <c r="N4" s="1" t="s">
        <v>42</v>
      </c>
    </row>
    <row r="5" spans="1:14" x14ac:dyDescent="0.3">
      <c r="A5" t="s">
        <v>0</v>
      </c>
      <c r="B5">
        <v>10</v>
      </c>
      <c r="C5" t="s">
        <v>1</v>
      </c>
      <c r="F5" s="1">
        <v>1</v>
      </c>
      <c r="G5" s="1">
        <f>-$B$8*0.25</f>
        <v>-20</v>
      </c>
      <c r="H5" s="1"/>
      <c r="I5" s="1">
        <f>G5-H5</f>
        <v>-20</v>
      </c>
      <c r="J5" s="1">
        <v>0</v>
      </c>
      <c r="K5" s="1">
        <f>I5-J5</f>
        <v>-20</v>
      </c>
      <c r="L5" s="3">
        <f>1/(1+$B$10)^F5</f>
        <v>0.7559088366511596</v>
      </c>
      <c r="M5" s="3">
        <f>K5*L5</f>
        <v>-15.118176733023192</v>
      </c>
      <c r="N5" s="4">
        <f>M5</f>
        <v>-15.118176733023192</v>
      </c>
    </row>
    <row r="6" spans="1:14" x14ac:dyDescent="0.3">
      <c r="A6" t="s">
        <v>2</v>
      </c>
      <c r="B6">
        <v>30</v>
      </c>
      <c r="C6" t="s">
        <v>1</v>
      </c>
      <c r="F6" s="1">
        <v>2</v>
      </c>
      <c r="G6" s="1">
        <v>-60</v>
      </c>
      <c r="H6" s="1"/>
      <c r="I6" s="1">
        <f t="shared" ref="I6:I26" si="0">G6-H6</f>
        <v>-60</v>
      </c>
      <c r="J6" s="1">
        <v>0</v>
      </c>
      <c r="K6" s="1">
        <f>I6-J6</f>
        <v>-60</v>
      </c>
      <c r="L6" s="3">
        <f t="shared" ref="L6:L26" si="1">1/(1+$B$10)^F6</f>
        <v>0.57139816932730958</v>
      </c>
      <c r="M6" s="3">
        <f>K6*L6</f>
        <v>-34.283890159638574</v>
      </c>
      <c r="N6" s="4">
        <f>N5+M6</f>
        <v>-49.402066892661765</v>
      </c>
    </row>
    <row r="7" spans="1:14" x14ac:dyDescent="0.3">
      <c r="A7" t="s">
        <v>3</v>
      </c>
      <c r="B7">
        <f>B5+B6</f>
        <v>40</v>
      </c>
      <c r="C7" t="s">
        <v>1</v>
      </c>
      <c r="E7" t="s">
        <v>11</v>
      </c>
      <c r="F7" s="1">
        <v>3</v>
      </c>
      <c r="G7" s="1">
        <f>(B8/2)-(B6/2)-B5</f>
        <v>15</v>
      </c>
      <c r="H7" s="3">
        <f t="shared" ref="H7:H12" si="2">TCCWC*(G31/100)</f>
        <v>14.628571428571428</v>
      </c>
      <c r="I7" s="3">
        <f>G7-H7</f>
        <v>0.37142857142857189</v>
      </c>
      <c r="J7" s="1">
        <v>0</v>
      </c>
      <c r="K7" s="3">
        <f>G7-J7</f>
        <v>15</v>
      </c>
      <c r="L7" s="3">
        <f t="shared" si="1"/>
        <v>0.4319249254408089</v>
      </c>
      <c r="M7" s="3">
        <f>K7*L7</f>
        <v>6.4788738816121336</v>
      </c>
      <c r="N7" s="4">
        <f t="shared" ref="N7:N26" si="3">N6+M7</f>
        <v>-42.923193011049634</v>
      </c>
    </row>
    <row r="8" spans="1:14" x14ac:dyDescent="0.3">
      <c r="A8" t="s">
        <v>4</v>
      </c>
      <c r="B8">
        <v>80</v>
      </c>
      <c r="C8" t="s">
        <v>1</v>
      </c>
      <c r="F8" s="1">
        <v>4</v>
      </c>
      <c r="G8" s="1">
        <f>$B$8-$B$7</f>
        <v>40</v>
      </c>
      <c r="H8" s="3">
        <f t="shared" si="2"/>
        <v>23.405714285714286</v>
      </c>
      <c r="I8" s="3">
        <f t="shared" si="0"/>
        <v>16.594285714285714</v>
      </c>
      <c r="J8" s="3">
        <f>I7*0.35</f>
        <v>0.13000000000000014</v>
      </c>
      <c r="K8" s="3">
        <f t="shared" ref="K8:K26" si="4">G8-J8</f>
        <v>39.869999999999997</v>
      </c>
      <c r="L8" s="3">
        <f t="shared" si="1"/>
        <v>0.3264958679106007</v>
      </c>
      <c r="M8" s="3">
        <f t="shared" ref="M8:M26" si="5">K8*L8</f>
        <v>13.017390253595648</v>
      </c>
      <c r="N8" s="4">
        <f t="shared" si="3"/>
        <v>-29.905802757453984</v>
      </c>
    </row>
    <row r="9" spans="1:14" x14ac:dyDescent="0.3">
      <c r="F9" s="1">
        <v>5</v>
      </c>
      <c r="G9" s="1">
        <f t="shared" ref="G9:G26" si="6">$B$8-$B$7</f>
        <v>40</v>
      </c>
      <c r="H9" s="3">
        <f t="shared" si="2"/>
        <v>14.043428571428571</v>
      </c>
      <c r="I9" s="3">
        <f t="shared" si="0"/>
        <v>25.956571428571429</v>
      </c>
      <c r="J9" s="3">
        <f t="shared" ref="J9:J26" si="7">I8*0.35</f>
        <v>5.8079999999999998</v>
      </c>
      <c r="K9" s="3">
        <f t="shared" si="4"/>
        <v>34.192</v>
      </c>
      <c r="L9" s="3">
        <f t="shared" si="1"/>
        <v>0.24680111168371285</v>
      </c>
      <c r="M9" s="3">
        <f t="shared" si="5"/>
        <v>8.4386236106895094</v>
      </c>
      <c r="N9" s="4">
        <f t="shared" si="3"/>
        <v>-21.467179146764472</v>
      </c>
    </row>
    <row r="10" spans="1:14" x14ac:dyDescent="0.3">
      <c r="A10" t="s">
        <v>9</v>
      </c>
      <c r="B10" s="1">
        <v>0.32291084786125446</v>
      </c>
      <c r="C10" t="s">
        <v>48</v>
      </c>
      <c r="F10" s="1">
        <v>6</v>
      </c>
      <c r="G10" s="1">
        <f t="shared" si="6"/>
        <v>40</v>
      </c>
      <c r="H10" s="3">
        <f t="shared" si="2"/>
        <v>8.4260571428571414</v>
      </c>
      <c r="I10" s="3">
        <f t="shared" si="0"/>
        <v>31.57394285714286</v>
      </c>
      <c r="J10" s="3">
        <f t="shared" si="7"/>
        <v>9.0847999999999995</v>
      </c>
      <c r="K10" s="3">
        <f t="shared" si="4"/>
        <v>30.915199999999999</v>
      </c>
      <c r="L10" s="3">
        <f t="shared" si="1"/>
        <v>0.18655914121704831</v>
      </c>
      <c r="M10" s="3">
        <f t="shared" si="5"/>
        <v>5.7675131625532918</v>
      </c>
      <c r="N10" s="4">
        <f t="shared" si="3"/>
        <v>-15.69966598421118</v>
      </c>
    </row>
    <row r="11" spans="1:14" x14ac:dyDescent="0.3">
      <c r="F11" s="1">
        <v>7</v>
      </c>
      <c r="G11" s="1">
        <f t="shared" si="6"/>
        <v>40</v>
      </c>
      <c r="H11" s="3">
        <f t="shared" si="2"/>
        <v>8.4260571428571414</v>
      </c>
      <c r="I11" s="3">
        <f t="shared" si="0"/>
        <v>31.57394285714286</v>
      </c>
      <c r="J11" s="3">
        <f t="shared" si="7"/>
        <v>11.050880000000001</v>
      </c>
      <c r="K11" s="3">
        <f t="shared" si="4"/>
        <v>28.949120000000001</v>
      </c>
      <c r="L11" s="3">
        <f t="shared" si="1"/>
        <v>0.1410217034040184</v>
      </c>
      <c r="M11" s="3">
        <f t="shared" si="5"/>
        <v>4.0824542144473375</v>
      </c>
      <c r="N11" s="4">
        <f t="shared" si="3"/>
        <v>-11.617211769763841</v>
      </c>
    </row>
    <row r="12" spans="1:14" x14ac:dyDescent="0.3">
      <c r="A12" t="s">
        <v>44</v>
      </c>
      <c r="F12" s="1">
        <v>8</v>
      </c>
      <c r="G12" s="1">
        <f t="shared" si="6"/>
        <v>40</v>
      </c>
      <c r="H12" s="3">
        <f t="shared" si="2"/>
        <v>4.2130285714285707</v>
      </c>
      <c r="I12" s="3">
        <f t="shared" si="0"/>
        <v>35.786971428571427</v>
      </c>
      <c r="J12" s="3">
        <f t="shared" si="7"/>
        <v>11.050880000000001</v>
      </c>
      <c r="K12" s="3">
        <f t="shared" si="4"/>
        <v>28.949120000000001</v>
      </c>
      <c r="L12" s="3">
        <f t="shared" si="1"/>
        <v>0.10659955176269643</v>
      </c>
      <c r="M12" s="3">
        <f t="shared" si="5"/>
        <v>3.0859632159245107</v>
      </c>
      <c r="N12" s="4">
        <f>N11+M12</f>
        <v>-8.5312485538393297</v>
      </c>
    </row>
    <row r="13" spans="1:14" x14ac:dyDescent="0.3">
      <c r="F13" s="1">
        <v>9</v>
      </c>
      <c r="G13" s="1">
        <f t="shared" si="6"/>
        <v>40</v>
      </c>
      <c r="H13" s="3">
        <v>0</v>
      </c>
      <c r="I13" s="3">
        <f t="shared" si="0"/>
        <v>40</v>
      </c>
      <c r="J13" s="3">
        <f t="shared" si="7"/>
        <v>12.525439999999998</v>
      </c>
      <c r="K13" s="3">
        <f t="shared" si="4"/>
        <v>27.474560000000004</v>
      </c>
      <c r="L13" s="3">
        <f t="shared" si="1"/>
        <v>8.0579543160474942E-2</v>
      </c>
      <c r="M13" s="3">
        <f t="shared" si="5"/>
        <v>2.2138874933350587</v>
      </c>
      <c r="N13" s="4">
        <f t="shared" si="3"/>
        <v>-6.3173610605042709</v>
      </c>
    </row>
    <row r="14" spans="1:14" x14ac:dyDescent="0.3">
      <c r="F14" s="7">
        <v>10</v>
      </c>
      <c r="G14" s="7">
        <f t="shared" si="6"/>
        <v>40</v>
      </c>
      <c r="H14" s="10">
        <v>0</v>
      </c>
      <c r="I14" s="10">
        <f t="shared" si="0"/>
        <v>40</v>
      </c>
      <c r="J14" s="10">
        <f t="shared" si="7"/>
        <v>14</v>
      </c>
      <c r="K14" s="10">
        <f t="shared" si="4"/>
        <v>26</v>
      </c>
      <c r="L14" s="10">
        <f t="shared" si="1"/>
        <v>6.0910788728316512E-2</v>
      </c>
      <c r="M14" s="10">
        <f t="shared" si="5"/>
        <v>1.5836805069362292</v>
      </c>
      <c r="N14" s="11">
        <f t="shared" si="3"/>
        <v>-4.7336805535680417</v>
      </c>
    </row>
    <row r="15" spans="1:14" x14ac:dyDescent="0.3">
      <c r="F15" s="1">
        <v>11</v>
      </c>
      <c r="G15" s="1">
        <f t="shared" si="6"/>
        <v>40</v>
      </c>
      <c r="H15" s="1">
        <v>0</v>
      </c>
      <c r="I15" s="1">
        <f t="shared" si="0"/>
        <v>40</v>
      </c>
      <c r="J15" s="3">
        <f t="shared" si="7"/>
        <v>14</v>
      </c>
      <c r="K15" s="3">
        <f t="shared" si="4"/>
        <v>26</v>
      </c>
      <c r="L15" s="3">
        <f t="shared" si="1"/>
        <v>4.6043003447126307E-2</v>
      </c>
      <c r="M15" s="3">
        <f t="shared" si="5"/>
        <v>1.197118089625284</v>
      </c>
      <c r="N15" s="4">
        <f t="shared" si="3"/>
        <v>-3.536562463942758</v>
      </c>
    </row>
    <row r="16" spans="1:14" x14ac:dyDescent="0.3">
      <c r="F16" s="1">
        <v>12</v>
      </c>
      <c r="G16" s="1">
        <f t="shared" si="6"/>
        <v>40</v>
      </c>
      <c r="H16" s="1">
        <v>0</v>
      </c>
      <c r="I16" s="1">
        <f t="shared" si="0"/>
        <v>40</v>
      </c>
      <c r="J16" s="1">
        <f t="shared" si="7"/>
        <v>14</v>
      </c>
      <c r="K16" s="3">
        <f t="shared" si="4"/>
        <v>26</v>
      </c>
      <c r="L16" s="3">
        <f t="shared" si="1"/>
        <v>3.4804313171642585E-2</v>
      </c>
      <c r="M16" s="3">
        <f t="shared" si="5"/>
        <v>0.90491214246270724</v>
      </c>
      <c r="N16" s="4">
        <f t="shared" si="3"/>
        <v>-2.6316503214800506</v>
      </c>
    </row>
    <row r="17" spans="6:14" x14ac:dyDescent="0.3">
      <c r="F17" s="1">
        <v>13</v>
      </c>
      <c r="G17" s="1">
        <f t="shared" si="6"/>
        <v>40</v>
      </c>
      <c r="H17" s="1">
        <v>0</v>
      </c>
      <c r="I17" s="1">
        <f t="shared" si="0"/>
        <v>40</v>
      </c>
      <c r="J17" s="1">
        <f t="shared" si="7"/>
        <v>14</v>
      </c>
      <c r="K17" s="3">
        <f t="shared" si="4"/>
        <v>26</v>
      </c>
      <c r="L17" s="3">
        <f t="shared" si="1"/>
        <v>2.6308887880018974E-2</v>
      </c>
      <c r="M17" s="3">
        <f t="shared" si="5"/>
        <v>0.68403108488049336</v>
      </c>
      <c r="N17" s="4">
        <f t="shared" si="3"/>
        <v>-1.9476192365995573</v>
      </c>
    </row>
    <row r="18" spans="6:14" x14ac:dyDescent="0.3">
      <c r="F18" s="1">
        <v>14</v>
      </c>
      <c r="G18" s="1">
        <f t="shared" si="6"/>
        <v>40</v>
      </c>
      <c r="H18" s="1">
        <v>0</v>
      </c>
      <c r="I18" s="1">
        <f t="shared" si="0"/>
        <v>40</v>
      </c>
      <c r="J18" s="1">
        <f t="shared" si="7"/>
        <v>14</v>
      </c>
      <c r="K18" s="3">
        <f t="shared" si="4"/>
        <v>26</v>
      </c>
      <c r="L18" s="3">
        <f t="shared" si="1"/>
        <v>1.9887120830970939E-2</v>
      </c>
      <c r="M18" s="3">
        <f t="shared" si="5"/>
        <v>0.51706514160524442</v>
      </c>
      <c r="N18" s="4">
        <f t="shared" si="3"/>
        <v>-1.4305540949943127</v>
      </c>
    </row>
    <row r="19" spans="6:14" x14ac:dyDescent="0.3">
      <c r="F19" s="7">
        <v>15</v>
      </c>
      <c r="G19" s="7">
        <f t="shared" si="6"/>
        <v>40</v>
      </c>
      <c r="H19" s="1">
        <v>0</v>
      </c>
      <c r="I19" s="7">
        <f t="shared" si="0"/>
        <v>40</v>
      </c>
      <c r="J19" s="7">
        <f t="shared" si="7"/>
        <v>14</v>
      </c>
      <c r="K19" s="10">
        <f t="shared" si="4"/>
        <v>26</v>
      </c>
      <c r="L19" s="10">
        <f t="shared" si="1"/>
        <v>1.5032850371680286E-2</v>
      </c>
      <c r="M19" s="10">
        <f t="shared" si="5"/>
        <v>0.39085410966368744</v>
      </c>
      <c r="N19" s="11">
        <f t="shared" si="3"/>
        <v>-1.0396999853306252</v>
      </c>
    </row>
    <row r="20" spans="6:14" x14ac:dyDescent="0.3">
      <c r="F20" s="1">
        <v>16</v>
      </c>
      <c r="G20" s="1">
        <f t="shared" si="6"/>
        <v>40</v>
      </c>
      <c r="H20" s="1">
        <v>0</v>
      </c>
      <c r="I20" s="1">
        <f t="shared" si="0"/>
        <v>40</v>
      </c>
      <c r="J20" s="1">
        <f t="shared" si="7"/>
        <v>14</v>
      </c>
      <c r="K20" s="3">
        <f t="shared" si="4"/>
        <v>26</v>
      </c>
      <c r="L20" s="3">
        <f t="shared" si="1"/>
        <v>1.1363464436007798E-2</v>
      </c>
      <c r="M20" s="3">
        <f t="shared" si="5"/>
        <v>0.29545007533620277</v>
      </c>
      <c r="N20" s="4">
        <f t="shared" si="3"/>
        <v>-0.74424990999442242</v>
      </c>
    </row>
    <row r="21" spans="6:14" x14ac:dyDescent="0.3">
      <c r="F21" s="1">
        <v>17</v>
      </c>
      <c r="G21" s="1">
        <f t="shared" si="6"/>
        <v>40</v>
      </c>
      <c r="H21" s="1">
        <v>0</v>
      </c>
      <c r="I21" s="1">
        <f t="shared" si="0"/>
        <v>40</v>
      </c>
      <c r="J21" s="1">
        <f t="shared" si="7"/>
        <v>14</v>
      </c>
      <c r="K21" s="3">
        <f t="shared" si="4"/>
        <v>26</v>
      </c>
      <c r="L21" s="3">
        <f t="shared" si="1"/>
        <v>8.5897431821494799E-3</v>
      </c>
      <c r="M21" s="3">
        <f t="shared" si="5"/>
        <v>0.22333332273588646</v>
      </c>
      <c r="N21" s="4">
        <f t="shared" si="3"/>
        <v>-0.52091658725853596</v>
      </c>
    </row>
    <row r="22" spans="6:14" x14ac:dyDescent="0.3">
      <c r="F22" s="1">
        <v>18</v>
      </c>
      <c r="G22" s="1">
        <f t="shared" si="6"/>
        <v>40</v>
      </c>
      <c r="H22" s="1">
        <v>0</v>
      </c>
      <c r="I22" s="1">
        <f t="shared" si="0"/>
        <v>40</v>
      </c>
      <c r="J22" s="1">
        <f t="shared" si="7"/>
        <v>14</v>
      </c>
      <c r="K22" s="3">
        <f t="shared" si="4"/>
        <v>26</v>
      </c>
      <c r="L22" s="3">
        <f t="shared" si="1"/>
        <v>6.4930627759508435E-3</v>
      </c>
      <c r="M22" s="3">
        <f t="shared" si="5"/>
        <v>0.16881963217472193</v>
      </c>
      <c r="N22" s="4">
        <f t="shared" si="3"/>
        <v>-0.352096955083814</v>
      </c>
    </row>
    <row r="23" spans="6:14" x14ac:dyDescent="0.3">
      <c r="F23" s="1">
        <v>19</v>
      </c>
      <c r="G23" s="1">
        <f t="shared" si="6"/>
        <v>40</v>
      </c>
      <c r="H23" s="1">
        <v>0</v>
      </c>
      <c r="I23" s="1">
        <f t="shared" si="0"/>
        <v>40</v>
      </c>
      <c r="J23" s="1">
        <f t="shared" si="7"/>
        <v>14</v>
      </c>
      <c r="K23" s="3">
        <f t="shared" si="4"/>
        <v>26</v>
      </c>
      <c r="L23" s="3">
        <f t="shared" si="1"/>
        <v>4.9081635292719519E-3</v>
      </c>
      <c r="M23" s="3">
        <f t="shared" si="5"/>
        <v>0.12761225176107074</v>
      </c>
      <c r="N23" s="4">
        <f t="shared" si="3"/>
        <v>-0.22448470332274326</v>
      </c>
    </row>
    <row r="24" spans="6:14" x14ac:dyDescent="0.3">
      <c r="F24" s="1">
        <v>20</v>
      </c>
      <c r="G24" s="1">
        <f t="shared" si="6"/>
        <v>40</v>
      </c>
      <c r="H24" s="1">
        <v>0</v>
      </c>
      <c r="I24" s="1">
        <f t="shared" si="0"/>
        <v>40</v>
      </c>
      <c r="J24" s="1">
        <f t="shared" si="7"/>
        <v>14</v>
      </c>
      <c r="K24" s="3">
        <f t="shared" si="4"/>
        <v>26</v>
      </c>
      <c r="L24" s="3">
        <f t="shared" si="1"/>
        <v>3.7101241835056109E-3</v>
      </c>
      <c r="M24" s="3">
        <f t="shared" si="5"/>
        <v>9.6463228771145881E-2</v>
      </c>
      <c r="N24" s="4">
        <f t="shared" si="3"/>
        <v>-0.12802147455159738</v>
      </c>
    </row>
    <row r="25" spans="6:14" x14ac:dyDescent="0.3">
      <c r="F25" s="1">
        <v>21</v>
      </c>
      <c r="G25" s="1">
        <f t="shared" si="6"/>
        <v>40</v>
      </c>
      <c r="H25" s="1">
        <v>0</v>
      </c>
      <c r="I25" s="1">
        <f t="shared" si="0"/>
        <v>40</v>
      </c>
      <c r="J25" s="1">
        <f t="shared" si="7"/>
        <v>14</v>
      </c>
      <c r="K25" s="3">
        <f t="shared" si="4"/>
        <v>26</v>
      </c>
      <c r="L25" s="3">
        <f t="shared" si="1"/>
        <v>2.8045156553850596E-3</v>
      </c>
      <c r="M25" s="3">
        <f t="shared" si="5"/>
        <v>7.2917407040011553E-2</v>
      </c>
      <c r="N25" s="4">
        <f t="shared" si="3"/>
        <v>-5.5104067511585822E-2</v>
      </c>
    </row>
    <row r="26" spans="6:14" x14ac:dyDescent="0.3">
      <c r="F26" s="1">
        <v>22</v>
      </c>
      <c r="G26" s="1">
        <f t="shared" si="6"/>
        <v>40</v>
      </c>
      <c r="H26" s="1">
        <v>0</v>
      </c>
      <c r="I26" s="1">
        <f t="shared" si="0"/>
        <v>40</v>
      </c>
      <c r="J26" s="1">
        <f t="shared" si="7"/>
        <v>14</v>
      </c>
      <c r="K26" s="3">
        <f t="shared" si="4"/>
        <v>26</v>
      </c>
      <c r="L26" s="3">
        <f t="shared" si="1"/>
        <v>2.119958166432085E-3</v>
      </c>
      <c r="M26" s="3">
        <f t="shared" si="5"/>
        <v>5.5118912327234211E-2</v>
      </c>
      <c r="N26" s="4">
        <f t="shared" si="3"/>
        <v>1.4844815648389076E-5</v>
      </c>
    </row>
    <row r="28" spans="6:14" x14ac:dyDescent="0.3">
      <c r="N28" t="s">
        <v>47</v>
      </c>
    </row>
    <row r="29" spans="6:14" x14ac:dyDescent="0.3">
      <c r="N29" t="s">
        <v>49</v>
      </c>
    </row>
    <row r="30" spans="6:14" x14ac:dyDescent="0.3">
      <c r="G30" t="s">
        <v>46</v>
      </c>
      <c r="J30" t="s">
        <v>16</v>
      </c>
    </row>
    <row r="31" spans="6:14" x14ac:dyDescent="0.3">
      <c r="G31">
        <v>20</v>
      </c>
      <c r="J31">
        <f>$B$5+$B$6+$B$7</f>
        <v>80</v>
      </c>
    </row>
    <row r="32" spans="6:14" x14ac:dyDescent="0.3">
      <c r="G32">
        <v>32</v>
      </c>
    </row>
    <row r="33" spans="6:11" x14ac:dyDescent="0.3">
      <c r="G33">
        <v>19.2</v>
      </c>
      <c r="J33" t="s">
        <v>17</v>
      </c>
    </row>
    <row r="34" spans="6:11" x14ac:dyDescent="0.3">
      <c r="G34">
        <v>11.52</v>
      </c>
      <c r="J34" t="s">
        <v>18</v>
      </c>
    </row>
    <row r="35" spans="6:11" x14ac:dyDescent="0.3">
      <c r="G35">
        <v>11.52</v>
      </c>
      <c r="J35" t="s">
        <v>19</v>
      </c>
    </row>
    <row r="36" spans="6:11" x14ac:dyDescent="0.3">
      <c r="G36">
        <v>5.76</v>
      </c>
      <c r="J36" t="s">
        <v>20</v>
      </c>
    </row>
    <row r="37" spans="6:11" x14ac:dyDescent="0.3">
      <c r="J37" t="s">
        <v>21</v>
      </c>
    </row>
    <row r="38" spans="6:11" x14ac:dyDescent="0.3">
      <c r="F38" t="s">
        <v>14</v>
      </c>
      <c r="G38">
        <f>SUM(G42:G49)</f>
        <v>0</v>
      </c>
      <c r="J38" t="s">
        <v>22</v>
      </c>
    </row>
    <row r="40" spans="6:11" x14ac:dyDescent="0.3">
      <c r="J40" t="s">
        <v>23</v>
      </c>
    </row>
    <row r="41" spans="6:11" x14ac:dyDescent="0.3">
      <c r="J41" t="s">
        <v>26</v>
      </c>
    </row>
    <row r="43" spans="6:11" x14ac:dyDescent="0.3">
      <c r="J43" t="s">
        <v>24</v>
      </c>
    </row>
    <row r="44" spans="6:11" x14ac:dyDescent="0.3">
      <c r="J44">
        <f>80/1.75</f>
        <v>45.714285714285715</v>
      </c>
    </row>
    <row r="46" spans="6:11" x14ac:dyDescent="0.3">
      <c r="J46" t="s">
        <v>25</v>
      </c>
      <c r="K46">
        <f>J44*0.15</f>
        <v>6.8571428571428568</v>
      </c>
    </row>
    <row r="48" spans="6:11" x14ac:dyDescent="0.3">
      <c r="J48" t="s">
        <v>27</v>
      </c>
    </row>
    <row r="49" spans="10:10" x14ac:dyDescent="0.3">
      <c r="J49">
        <f>$J$31-$K$46</f>
        <v>73.142857142857139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E1BE-B9B6-407B-9FF7-4E902E0C0233}">
  <dimension ref="A1:N49"/>
  <sheetViews>
    <sheetView topLeftCell="A18" workbookViewId="0">
      <selection activeCell="G43" sqref="G43"/>
    </sheetView>
  </sheetViews>
  <sheetFormatPr defaultRowHeight="14.4" x14ac:dyDescent="0.3"/>
  <cols>
    <col min="1" max="1" width="10.21875" customWidth="1"/>
    <col min="4" max="4" width="6.6640625" customWidth="1"/>
    <col min="5" max="5" width="12.77734375" customWidth="1"/>
    <col min="6" max="6" width="5.77734375" customWidth="1"/>
    <col min="7" max="7" width="15.21875" customWidth="1"/>
    <col min="8" max="8" width="16.21875" customWidth="1"/>
    <col min="9" max="9" width="20.6640625" customWidth="1"/>
    <col min="10" max="10" width="21.21875" customWidth="1"/>
    <col min="11" max="11" width="12.33203125" customWidth="1"/>
    <col min="12" max="12" width="12.77734375" customWidth="1"/>
    <col min="13" max="13" width="11.6640625" customWidth="1"/>
    <col min="14" max="14" width="12.21875" bestFit="1" customWidth="1"/>
  </cols>
  <sheetData>
    <row r="1" spans="1:14" ht="14.4" customHeight="1" x14ac:dyDescent="0.3">
      <c r="J1" s="2" t="s">
        <v>33</v>
      </c>
    </row>
    <row r="2" spans="1:14" x14ac:dyDescent="0.3">
      <c r="J2" t="s">
        <v>32</v>
      </c>
      <c r="L2" t="s">
        <v>38</v>
      </c>
      <c r="M2" t="s">
        <v>41</v>
      </c>
    </row>
    <row r="3" spans="1:14" x14ac:dyDescent="0.3">
      <c r="H3" t="s">
        <v>13</v>
      </c>
      <c r="I3" t="s">
        <v>29</v>
      </c>
      <c r="J3" t="s">
        <v>31</v>
      </c>
      <c r="K3" t="s">
        <v>35</v>
      </c>
      <c r="L3" t="s">
        <v>37</v>
      </c>
      <c r="M3" s="1" t="s">
        <v>40</v>
      </c>
      <c r="N3" t="s">
        <v>43</v>
      </c>
    </row>
    <row r="4" spans="1:14" x14ac:dyDescent="0.3">
      <c r="A4" t="s">
        <v>5</v>
      </c>
      <c r="B4" t="s">
        <v>6</v>
      </c>
      <c r="C4" t="s">
        <v>7</v>
      </c>
      <c r="F4" s="1" t="s">
        <v>8</v>
      </c>
      <c r="G4" s="1" t="s">
        <v>10</v>
      </c>
      <c r="H4" s="1" t="s">
        <v>12</v>
      </c>
      <c r="I4" s="1" t="s">
        <v>28</v>
      </c>
      <c r="J4" s="1" t="s">
        <v>30</v>
      </c>
      <c r="K4" s="1" t="s">
        <v>34</v>
      </c>
      <c r="L4" s="1" t="s">
        <v>36</v>
      </c>
      <c r="M4" s="1" t="s">
        <v>39</v>
      </c>
      <c r="N4" s="1" t="s">
        <v>42</v>
      </c>
    </row>
    <row r="5" spans="1:14" x14ac:dyDescent="0.3">
      <c r="A5" t="s">
        <v>0</v>
      </c>
      <c r="B5">
        <v>10</v>
      </c>
      <c r="C5" t="s">
        <v>1</v>
      </c>
      <c r="F5" s="1">
        <v>1</v>
      </c>
      <c r="G5" s="1">
        <f>-$B$8*0.25</f>
        <v>-20</v>
      </c>
      <c r="H5" s="1"/>
      <c r="I5" s="1">
        <f>G5-H5</f>
        <v>-20</v>
      </c>
      <c r="J5" s="1">
        <v>0</v>
      </c>
      <c r="K5" s="1">
        <f>G5-J5</f>
        <v>-20</v>
      </c>
      <c r="L5" s="3">
        <f>1/(1+$B$10)^F5</f>
        <v>0.86956521739130443</v>
      </c>
      <c r="M5" s="3">
        <f>K5*L5</f>
        <v>-17.39130434782609</v>
      </c>
      <c r="N5" s="4">
        <f>M5</f>
        <v>-17.39130434782609</v>
      </c>
    </row>
    <row r="6" spans="1:14" x14ac:dyDescent="0.3">
      <c r="A6" t="s">
        <v>2</v>
      </c>
      <c r="B6">
        <v>30</v>
      </c>
      <c r="C6" t="s">
        <v>1</v>
      </c>
      <c r="F6" s="1">
        <v>2</v>
      </c>
      <c r="G6" s="1">
        <v>-60</v>
      </c>
      <c r="H6" s="1"/>
      <c r="I6" s="1">
        <f t="shared" ref="I6:I26" si="0">G6-H6</f>
        <v>-60</v>
      </c>
      <c r="J6" s="1">
        <v>0</v>
      </c>
      <c r="K6" s="1">
        <f t="shared" ref="K6:K26" si="1">G6-J6</f>
        <v>-60</v>
      </c>
      <c r="L6" s="3">
        <f t="shared" ref="L6:L26" si="2">1/(1+$B$10)^F6</f>
        <v>0.7561436672967865</v>
      </c>
      <c r="M6" s="3">
        <f>K6*L6</f>
        <v>-45.36862003780719</v>
      </c>
      <c r="N6" s="4">
        <f>N5+M6</f>
        <v>-62.759924385633283</v>
      </c>
    </row>
    <row r="7" spans="1:14" x14ac:dyDescent="0.3">
      <c r="A7" t="s">
        <v>3</v>
      </c>
      <c r="B7">
        <f>B5+B6</f>
        <v>40</v>
      </c>
      <c r="C7" t="s">
        <v>1</v>
      </c>
      <c r="E7" t="s">
        <v>11</v>
      </c>
      <c r="F7" s="1">
        <v>3</v>
      </c>
      <c r="G7" s="1">
        <f>(B8/2)-(B6/2)-B5</f>
        <v>15</v>
      </c>
      <c r="H7" s="6">
        <f t="shared" ref="H7:H26" si="3">$J$49/20</f>
        <v>3.657142857142857</v>
      </c>
      <c r="I7" s="6">
        <f>G7-H7</f>
        <v>11.342857142857143</v>
      </c>
      <c r="J7" s="5">
        <v>0</v>
      </c>
      <c r="K7" s="1">
        <f t="shared" si="1"/>
        <v>15</v>
      </c>
      <c r="L7" s="3">
        <f t="shared" si="2"/>
        <v>0.65751623243198831</v>
      </c>
      <c r="M7" s="3">
        <f>K7*L7</f>
        <v>9.8627434864798253</v>
      </c>
      <c r="N7" s="4">
        <f t="shared" ref="N7:N26" si="4">N6+M7</f>
        <v>-52.897180899153454</v>
      </c>
    </row>
    <row r="8" spans="1:14" x14ac:dyDescent="0.3">
      <c r="A8" t="s">
        <v>4</v>
      </c>
      <c r="B8">
        <v>80</v>
      </c>
      <c r="C8" t="s">
        <v>1</v>
      </c>
      <c r="F8" s="1">
        <v>4</v>
      </c>
      <c r="G8" s="1">
        <f>$B$8-$B$7</f>
        <v>40</v>
      </c>
      <c r="H8" s="6">
        <f t="shared" si="3"/>
        <v>3.657142857142857</v>
      </c>
      <c r="I8" s="6">
        <f t="shared" si="0"/>
        <v>36.342857142857142</v>
      </c>
      <c r="J8" s="5">
        <f>I7*0.35</f>
        <v>3.9699999999999998</v>
      </c>
      <c r="K8" s="5">
        <f>G8-J8</f>
        <v>36.03</v>
      </c>
      <c r="L8" s="3">
        <f t="shared" si="2"/>
        <v>0.57175324559303342</v>
      </c>
      <c r="M8" s="3">
        <f t="shared" ref="M8:M26" si="5">K8*L8</f>
        <v>20.600269438716996</v>
      </c>
      <c r="N8" s="4">
        <f t="shared" si="4"/>
        <v>-32.296911460436462</v>
      </c>
    </row>
    <row r="9" spans="1:14" x14ac:dyDescent="0.3">
      <c r="F9" s="1">
        <v>5</v>
      </c>
      <c r="G9" s="1">
        <f t="shared" ref="G9:G26" si="6">$B$8-$B$7</f>
        <v>40</v>
      </c>
      <c r="H9" s="6">
        <f t="shared" si="3"/>
        <v>3.657142857142857</v>
      </c>
      <c r="I9" s="6">
        <f t="shared" si="0"/>
        <v>36.342857142857142</v>
      </c>
      <c r="J9" s="5">
        <f t="shared" ref="J9:J26" si="7">I8*0.35</f>
        <v>12.719999999999999</v>
      </c>
      <c r="K9" s="5">
        <f>G9-J9</f>
        <v>27.28</v>
      </c>
      <c r="L9" s="3">
        <f t="shared" si="2"/>
        <v>0.49717673529828987</v>
      </c>
      <c r="M9" s="3">
        <f t="shared" si="5"/>
        <v>13.562981338937348</v>
      </c>
      <c r="N9" s="4">
        <f t="shared" si="4"/>
        <v>-18.733930121499114</v>
      </c>
    </row>
    <row r="10" spans="1:14" x14ac:dyDescent="0.3">
      <c r="A10" t="s">
        <v>9</v>
      </c>
      <c r="B10" s="1">
        <v>0.15</v>
      </c>
      <c r="F10" s="1">
        <v>6</v>
      </c>
      <c r="G10" s="1">
        <f t="shared" si="6"/>
        <v>40</v>
      </c>
      <c r="H10" s="6">
        <f t="shared" si="3"/>
        <v>3.657142857142857</v>
      </c>
      <c r="I10" s="6">
        <f t="shared" si="0"/>
        <v>36.342857142857142</v>
      </c>
      <c r="J10" s="5">
        <f t="shared" si="7"/>
        <v>12.719999999999999</v>
      </c>
      <c r="K10" s="5">
        <f>G10-J10</f>
        <v>27.28</v>
      </c>
      <c r="L10" s="3">
        <f t="shared" si="2"/>
        <v>0.43232759591155645</v>
      </c>
      <c r="M10" s="3">
        <f t="shared" si="5"/>
        <v>11.79389681646726</v>
      </c>
      <c r="N10" s="4">
        <f t="shared" si="4"/>
        <v>-6.9400333050318537</v>
      </c>
    </row>
    <row r="11" spans="1:14" x14ac:dyDescent="0.3">
      <c r="F11" s="1">
        <v>7</v>
      </c>
      <c r="G11" s="1">
        <f t="shared" si="6"/>
        <v>40</v>
      </c>
      <c r="H11" s="6">
        <f t="shared" si="3"/>
        <v>3.657142857142857</v>
      </c>
      <c r="I11" s="6">
        <f t="shared" si="0"/>
        <v>36.342857142857142</v>
      </c>
      <c r="J11" s="5">
        <f t="shared" si="7"/>
        <v>12.719999999999999</v>
      </c>
      <c r="K11" s="5">
        <f>G11-J11</f>
        <v>27.28</v>
      </c>
      <c r="L11" s="3">
        <f t="shared" si="2"/>
        <v>0.37593703992309269</v>
      </c>
      <c r="M11" s="3">
        <f t="shared" si="5"/>
        <v>10.255562449101969</v>
      </c>
      <c r="N11" s="4">
        <f t="shared" si="4"/>
        <v>3.3155291440701156</v>
      </c>
    </row>
    <row r="12" spans="1:14" x14ac:dyDescent="0.3">
      <c r="A12" t="s">
        <v>44</v>
      </c>
      <c r="F12" s="1">
        <v>8</v>
      </c>
      <c r="G12" s="1">
        <f t="shared" si="6"/>
        <v>40</v>
      </c>
      <c r="H12" s="6">
        <f t="shared" si="3"/>
        <v>3.657142857142857</v>
      </c>
      <c r="I12" s="6">
        <f t="shared" si="0"/>
        <v>36.342857142857142</v>
      </c>
      <c r="J12" s="5">
        <f t="shared" si="7"/>
        <v>12.719999999999999</v>
      </c>
      <c r="K12" s="1">
        <f t="shared" si="1"/>
        <v>27.28</v>
      </c>
      <c r="L12" s="3">
        <f t="shared" si="2"/>
        <v>0.32690177384616753</v>
      </c>
      <c r="M12" s="3">
        <f t="shared" si="5"/>
        <v>8.9178803905234503</v>
      </c>
      <c r="N12" s="4">
        <f>N11+M12</f>
        <v>12.233409534593566</v>
      </c>
    </row>
    <row r="13" spans="1:14" x14ac:dyDescent="0.3">
      <c r="F13" s="1">
        <v>9</v>
      </c>
      <c r="G13" s="1">
        <f t="shared" si="6"/>
        <v>40</v>
      </c>
      <c r="H13" s="6">
        <f t="shared" si="3"/>
        <v>3.657142857142857</v>
      </c>
      <c r="I13" s="6">
        <f t="shared" si="0"/>
        <v>36.342857142857142</v>
      </c>
      <c r="J13" s="5">
        <f t="shared" si="7"/>
        <v>12.719999999999999</v>
      </c>
      <c r="K13" s="1">
        <f t="shared" si="1"/>
        <v>27.28</v>
      </c>
      <c r="L13" s="3">
        <f t="shared" si="2"/>
        <v>0.28426241204014574</v>
      </c>
      <c r="M13" s="3">
        <f t="shared" si="5"/>
        <v>7.7546786004551764</v>
      </c>
      <c r="N13" s="4">
        <f t="shared" si="4"/>
        <v>19.988088135048741</v>
      </c>
    </row>
    <row r="14" spans="1:14" x14ac:dyDescent="0.3">
      <c r="F14" s="7">
        <v>10</v>
      </c>
      <c r="G14" s="7">
        <f t="shared" si="6"/>
        <v>40</v>
      </c>
      <c r="H14" s="8">
        <f t="shared" si="3"/>
        <v>3.657142857142857</v>
      </c>
      <c r="I14" s="8">
        <f t="shared" si="0"/>
        <v>36.342857142857142</v>
      </c>
      <c r="J14" s="9">
        <f t="shared" si="7"/>
        <v>12.719999999999999</v>
      </c>
      <c r="K14" s="7">
        <f t="shared" si="1"/>
        <v>27.28</v>
      </c>
      <c r="L14" s="10">
        <f t="shared" si="2"/>
        <v>0.24718470612186585</v>
      </c>
      <c r="M14" s="10">
        <f t="shared" si="5"/>
        <v>6.7431987830045008</v>
      </c>
      <c r="N14" s="11">
        <f t="shared" si="4"/>
        <v>26.731286918053243</v>
      </c>
    </row>
    <row r="15" spans="1:14" x14ac:dyDescent="0.3">
      <c r="F15" s="1">
        <v>11</v>
      </c>
      <c r="G15" s="1">
        <f t="shared" si="6"/>
        <v>40</v>
      </c>
      <c r="H15" s="6">
        <f t="shared" si="3"/>
        <v>3.657142857142857</v>
      </c>
      <c r="I15" s="6">
        <f t="shared" si="0"/>
        <v>36.342857142857142</v>
      </c>
      <c r="J15" s="5">
        <f t="shared" si="7"/>
        <v>12.719999999999999</v>
      </c>
      <c r="K15" s="1">
        <f t="shared" si="1"/>
        <v>27.28</v>
      </c>
      <c r="L15" s="3">
        <f t="shared" si="2"/>
        <v>0.21494322271466598</v>
      </c>
      <c r="M15" s="3">
        <f t="shared" si="5"/>
        <v>5.8636511156560882</v>
      </c>
      <c r="N15" s="4">
        <f t="shared" si="4"/>
        <v>32.594938033709333</v>
      </c>
    </row>
    <row r="16" spans="1:14" x14ac:dyDescent="0.3">
      <c r="F16" s="1">
        <v>12</v>
      </c>
      <c r="G16" s="1">
        <f t="shared" si="6"/>
        <v>40</v>
      </c>
      <c r="H16" s="6">
        <f t="shared" si="3"/>
        <v>3.657142857142857</v>
      </c>
      <c r="I16" s="6">
        <f t="shared" si="0"/>
        <v>36.342857142857142</v>
      </c>
      <c r="J16" s="5">
        <f t="shared" si="7"/>
        <v>12.719999999999999</v>
      </c>
      <c r="K16" s="1">
        <f t="shared" si="1"/>
        <v>27.28</v>
      </c>
      <c r="L16" s="3">
        <f t="shared" si="2"/>
        <v>0.18690715018666609</v>
      </c>
      <c r="M16" s="3">
        <f t="shared" si="5"/>
        <v>5.0988270570922509</v>
      </c>
      <c r="N16" s="4">
        <f t="shared" si="4"/>
        <v>37.693765090801584</v>
      </c>
    </row>
    <row r="17" spans="6:14" x14ac:dyDescent="0.3">
      <c r="F17" s="1">
        <v>13</v>
      </c>
      <c r="G17" s="1">
        <f t="shared" si="6"/>
        <v>40</v>
      </c>
      <c r="H17" s="6">
        <f t="shared" si="3"/>
        <v>3.657142857142857</v>
      </c>
      <c r="I17" s="6">
        <f t="shared" si="0"/>
        <v>36.342857142857142</v>
      </c>
      <c r="J17" s="5">
        <f t="shared" si="7"/>
        <v>12.719999999999999</v>
      </c>
      <c r="K17" s="1">
        <f t="shared" si="1"/>
        <v>27.28</v>
      </c>
      <c r="L17" s="3">
        <f t="shared" si="2"/>
        <v>0.16252795668405748</v>
      </c>
      <c r="M17" s="3">
        <f t="shared" si="5"/>
        <v>4.4337626583410881</v>
      </c>
      <c r="N17" s="4">
        <f t="shared" si="4"/>
        <v>42.127527749142672</v>
      </c>
    </row>
    <row r="18" spans="6:14" x14ac:dyDescent="0.3">
      <c r="F18" s="1">
        <v>14</v>
      </c>
      <c r="G18" s="1">
        <f t="shared" si="6"/>
        <v>40</v>
      </c>
      <c r="H18" s="6">
        <f t="shared" si="3"/>
        <v>3.657142857142857</v>
      </c>
      <c r="I18" s="6">
        <f t="shared" si="0"/>
        <v>36.342857142857142</v>
      </c>
      <c r="J18" s="5">
        <f t="shared" si="7"/>
        <v>12.719999999999999</v>
      </c>
      <c r="K18" s="1">
        <f t="shared" si="1"/>
        <v>27.28</v>
      </c>
      <c r="L18" s="3">
        <f t="shared" si="2"/>
        <v>0.14132865798613695</v>
      </c>
      <c r="M18" s="3">
        <f t="shared" si="5"/>
        <v>3.855445789861816</v>
      </c>
      <c r="N18" s="4">
        <f t="shared" si="4"/>
        <v>45.98297353900449</v>
      </c>
    </row>
    <row r="19" spans="6:14" x14ac:dyDescent="0.3">
      <c r="F19" s="7">
        <v>15</v>
      </c>
      <c r="G19" s="7">
        <f t="shared" si="6"/>
        <v>40</v>
      </c>
      <c r="H19" s="8">
        <f t="shared" si="3"/>
        <v>3.657142857142857</v>
      </c>
      <c r="I19" s="8">
        <f t="shared" si="0"/>
        <v>36.342857142857142</v>
      </c>
      <c r="J19" s="9">
        <f t="shared" si="7"/>
        <v>12.719999999999999</v>
      </c>
      <c r="K19" s="7">
        <f t="shared" si="1"/>
        <v>27.28</v>
      </c>
      <c r="L19" s="10">
        <f t="shared" si="2"/>
        <v>0.1228944852053365</v>
      </c>
      <c r="M19" s="10">
        <f t="shared" si="5"/>
        <v>3.3525615564015796</v>
      </c>
      <c r="N19" s="11">
        <f t="shared" si="4"/>
        <v>49.335535095406073</v>
      </c>
    </row>
    <row r="20" spans="6:14" x14ac:dyDescent="0.3">
      <c r="F20" s="1">
        <v>16</v>
      </c>
      <c r="G20" s="1">
        <f t="shared" si="6"/>
        <v>40</v>
      </c>
      <c r="H20" s="6">
        <f t="shared" si="3"/>
        <v>3.657142857142857</v>
      </c>
      <c r="I20" s="6">
        <f t="shared" si="0"/>
        <v>36.342857142857142</v>
      </c>
      <c r="J20" s="5">
        <f t="shared" si="7"/>
        <v>12.719999999999999</v>
      </c>
      <c r="K20" s="1">
        <f t="shared" si="1"/>
        <v>27.28</v>
      </c>
      <c r="L20" s="3">
        <f t="shared" si="2"/>
        <v>0.10686476974377089</v>
      </c>
      <c r="M20" s="3">
        <f t="shared" si="5"/>
        <v>2.9152709186100698</v>
      </c>
      <c r="N20" s="4">
        <f t="shared" si="4"/>
        <v>52.250806014016142</v>
      </c>
    </row>
    <row r="21" spans="6:14" x14ac:dyDescent="0.3">
      <c r="F21" s="1">
        <v>17</v>
      </c>
      <c r="G21" s="1">
        <f t="shared" si="6"/>
        <v>40</v>
      </c>
      <c r="H21" s="6">
        <f t="shared" si="3"/>
        <v>3.657142857142857</v>
      </c>
      <c r="I21" s="6">
        <f t="shared" si="0"/>
        <v>36.342857142857142</v>
      </c>
      <c r="J21" s="5">
        <f t="shared" si="7"/>
        <v>12.719999999999999</v>
      </c>
      <c r="K21" s="1">
        <f t="shared" si="1"/>
        <v>27.28</v>
      </c>
      <c r="L21" s="3">
        <f t="shared" si="2"/>
        <v>9.2925886733713825E-2</v>
      </c>
      <c r="M21" s="3">
        <f t="shared" si="5"/>
        <v>2.5350181900957134</v>
      </c>
      <c r="N21" s="4">
        <f t="shared" si="4"/>
        <v>54.785824204111854</v>
      </c>
    </row>
    <row r="22" spans="6:14" x14ac:dyDescent="0.3">
      <c r="F22" s="1">
        <v>18</v>
      </c>
      <c r="G22" s="1">
        <f t="shared" si="6"/>
        <v>40</v>
      </c>
      <c r="H22" s="6">
        <f t="shared" si="3"/>
        <v>3.657142857142857</v>
      </c>
      <c r="I22" s="6">
        <f t="shared" si="0"/>
        <v>36.342857142857142</v>
      </c>
      <c r="J22" s="5">
        <f t="shared" si="7"/>
        <v>12.719999999999999</v>
      </c>
      <c r="K22" s="1">
        <f t="shared" si="1"/>
        <v>27.28</v>
      </c>
      <c r="L22" s="3">
        <f t="shared" si="2"/>
        <v>8.0805118898881603E-2</v>
      </c>
      <c r="M22" s="3">
        <f t="shared" si="5"/>
        <v>2.2043636435614902</v>
      </c>
      <c r="N22" s="4">
        <f t="shared" si="4"/>
        <v>56.990187847673347</v>
      </c>
    </row>
    <row r="23" spans="6:14" x14ac:dyDescent="0.3">
      <c r="F23" s="1">
        <v>19</v>
      </c>
      <c r="G23" s="1">
        <f t="shared" si="6"/>
        <v>40</v>
      </c>
      <c r="H23" s="6">
        <f t="shared" si="3"/>
        <v>3.657142857142857</v>
      </c>
      <c r="I23" s="6">
        <f t="shared" si="0"/>
        <v>36.342857142857142</v>
      </c>
      <c r="J23" s="5">
        <f t="shared" si="7"/>
        <v>12.719999999999999</v>
      </c>
      <c r="K23" s="1">
        <f t="shared" si="1"/>
        <v>27.28</v>
      </c>
      <c r="L23" s="3">
        <f t="shared" si="2"/>
        <v>7.0265320781636179E-2</v>
      </c>
      <c r="M23" s="3">
        <f t="shared" si="5"/>
        <v>1.9168379509230351</v>
      </c>
      <c r="N23" s="4">
        <f t="shared" si="4"/>
        <v>58.907025798596379</v>
      </c>
    </row>
    <row r="24" spans="6:14" x14ac:dyDescent="0.3">
      <c r="F24" s="1">
        <v>20</v>
      </c>
      <c r="G24" s="1">
        <f t="shared" si="6"/>
        <v>40</v>
      </c>
      <c r="H24" s="6">
        <f t="shared" si="3"/>
        <v>3.657142857142857</v>
      </c>
      <c r="I24" s="6">
        <f t="shared" si="0"/>
        <v>36.342857142857142</v>
      </c>
      <c r="J24" s="5">
        <f t="shared" si="7"/>
        <v>12.719999999999999</v>
      </c>
      <c r="K24" s="1">
        <f t="shared" si="1"/>
        <v>27.28</v>
      </c>
      <c r="L24" s="3">
        <f t="shared" si="2"/>
        <v>6.1100278940553199E-2</v>
      </c>
      <c r="M24" s="3">
        <f t="shared" si="5"/>
        <v>1.6668156094982913</v>
      </c>
      <c r="N24" s="4">
        <f t="shared" si="4"/>
        <v>60.573841408094673</v>
      </c>
    </row>
    <row r="25" spans="6:14" x14ac:dyDescent="0.3">
      <c r="F25" s="1">
        <v>21</v>
      </c>
      <c r="G25" s="1">
        <f t="shared" si="6"/>
        <v>40</v>
      </c>
      <c r="H25" s="6">
        <f t="shared" si="3"/>
        <v>3.657142857142857</v>
      </c>
      <c r="I25" s="6">
        <f t="shared" si="0"/>
        <v>36.342857142857142</v>
      </c>
      <c r="J25" s="5">
        <f t="shared" si="7"/>
        <v>12.719999999999999</v>
      </c>
      <c r="K25" s="1">
        <f t="shared" si="1"/>
        <v>27.28</v>
      </c>
      <c r="L25" s="3">
        <f t="shared" si="2"/>
        <v>5.3130677339611479E-2</v>
      </c>
      <c r="M25" s="3">
        <f t="shared" si="5"/>
        <v>1.4494048778246011</v>
      </c>
      <c r="N25" s="4">
        <f t="shared" si="4"/>
        <v>62.023246285919271</v>
      </c>
    </row>
    <row r="26" spans="6:14" x14ac:dyDescent="0.3">
      <c r="F26" s="1">
        <v>22</v>
      </c>
      <c r="G26" s="1">
        <f t="shared" si="6"/>
        <v>40</v>
      </c>
      <c r="H26" s="6">
        <f t="shared" si="3"/>
        <v>3.657142857142857</v>
      </c>
      <c r="I26" s="6">
        <f t="shared" si="0"/>
        <v>36.342857142857142</v>
      </c>
      <c r="J26" s="5">
        <f t="shared" si="7"/>
        <v>12.719999999999999</v>
      </c>
      <c r="K26" s="1">
        <f t="shared" si="1"/>
        <v>27.28</v>
      </c>
      <c r="L26" s="3">
        <f t="shared" si="2"/>
        <v>4.6200588990966504E-2</v>
      </c>
      <c r="M26" s="3">
        <f t="shared" si="5"/>
        <v>1.2603520676735662</v>
      </c>
      <c r="N26" s="4">
        <f t="shared" si="4"/>
        <v>63.283598353592836</v>
      </c>
    </row>
    <row r="30" spans="6:14" x14ac:dyDescent="0.3">
      <c r="G30" t="s">
        <v>15</v>
      </c>
      <c r="I30" s="1"/>
      <c r="J30" s="1" t="s">
        <v>16</v>
      </c>
    </row>
    <row r="31" spans="6:14" x14ac:dyDescent="0.3">
      <c r="G31">
        <v>14.29</v>
      </c>
      <c r="I31" s="1"/>
      <c r="J31" s="1">
        <f>$B$5+$B$6+$B$7</f>
        <v>80</v>
      </c>
    </row>
    <row r="32" spans="6:14" x14ac:dyDescent="0.3">
      <c r="G32">
        <v>24.49</v>
      </c>
      <c r="I32" s="1"/>
      <c r="J32" s="1"/>
    </row>
    <row r="33" spans="6:11" x14ac:dyDescent="0.3">
      <c r="G33">
        <v>17.489999999999998</v>
      </c>
      <c r="I33" s="1"/>
      <c r="J33" t="s">
        <v>17</v>
      </c>
    </row>
    <row r="34" spans="6:11" x14ac:dyDescent="0.3">
      <c r="G34">
        <v>12.49</v>
      </c>
      <c r="J34" t="s">
        <v>18</v>
      </c>
    </row>
    <row r="35" spans="6:11" x14ac:dyDescent="0.3">
      <c r="G35">
        <v>8.93</v>
      </c>
      <c r="J35" t="s">
        <v>19</v>
      </c>
    </row>
    <row r="36" spans="6:11" x14ac:dyDescent="0.3">
      <c r="G36">
        <v>8.92</v>
      </c>
      <c r="J36" t="s">
        <v>20</v>
      </c>
    </row>
    <row r="37" spans="6:11" x14ac:dyDescent="0.3">
      <c r="G37">
        <v>8.93</v>
      </c>
      <c r="J37" t="s">
        <v>21</v>
      </c>
    </row>
    <row r="38" spans="6:11" x14ac:dyDescent="0.3">
      <c r="G38">
        <v>4.46</v>
      </c>
      <c r="J38" t="s">
        <v>22</v>
      </c>
    </row>
    <row r="40" spans="6:11" x14ac:dyDescent="0.3">
      <c r="F40" t="s">
        <v>14</v>
      </c>
      <c r="G40">
        <f>SUM(G31:G38)</f>
        <v>99.999999999999986</v>
      </c>
      <c r="J40" t="s">
        <v>23</v>
      </c>
    </row>
    <row r="41" spans="6:11" x14ac:dyDescent="0.3">
      <c r="J41" t="s">
        <v>26</v>
      </c>
    </row>
    <row r="43" spans="6:11" x14ac:dyDescent="0.3">
      <c r="J43" t="s">
        <v>24</v>
      </c>
    </row>
    <row r="44" spans="6:11" x14ac:dyDescent="0.3">
      <c r="J44">
        <f>80/1.75</f>
        <v>45.714285714285715</v>
      </c>
    </row>
    <row r="46" spans="6:11" x14ac:dyDescent="0.3">
      <c r="J46" t="s">
        <v>25</v>
      </c>
      <c r="K46">
        <f>J44*0.15</f>
        <v>6.8571428571428568</v>
      </c>
    </row>
    <row r="48" spans="6:11" x14ac:dyDescent="0.3">
      <c r="J48" t="s">
        <v>27</v>
      </c>
    </row>
    <row r="49" spans="10:10" x14ac:dyDescent="0.3">
      <c r="J49">
        <f>$J$31-$K$46</f>
        <v>73.142857142857139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0042e0-bc9f-43b7-ada3-1b351bed2e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D4DB9680548741AF142E25CD163C89" ma:contentTypeVersion="13" ma:contentTypeDescription="Create a new document." ma:contentTypeScope="" ma:versionID="9ba498e175684ea91d55eafe43e998c1">
  <xsd:schema xmlns:xsd="http://www.w3.org/2001/XMLSchema" xmlns:xs="http://www.w3.org/2001/XMLSchema" xmlns:p="http://schemas.microsoft.com/office/2006/metadata/properties" xmlns:ns3="ce0042e0-bc9f-43b7-ada3-1b351bed2e77" xmlns:ns4="d41bf40f-5717-4d64-bbdf-fab2410a53d4" targetNamespace="http://schemas.microsoft.com/office/2006/metadata/properties" ma:root="true" ma:fieldsID="a081e4d60c675e40e7f49c4d11442203" ns3:_="" ns4:_="">
    <xsd:import namespace="ce0042e0-bc9f-43b7-ada3-1b351bed2e77"/>
    <xsd:import namespace="d41bf40f-5717-4d64-bbdf-fab2410a53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042e0-bc9f-43b7-ada3-1b351bed2e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bf40f-5717-4d64-bbdf-fab2410a53d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403B7C-F7C8-4C18-9332-508A3491253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41bf40f-5717-4d64-bbdf-fab2410a53d4"/>
    <ds:schemaRef ds:uri="http://purl.org/dc/elements/1.1/"/>
    <ds:schemaRef ds:uri="http://schemas.microsoft.com/office/2006/metadata/properties"/>
    <ds:schemaRef ds:uri="http://schemas.microsoft.com/office/infopath/2007/PartnerControls"/>
    <ds:schemaRef ds:uri="ce0042e0-bc9f-43b7-ada3-1b351bed2e7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CE0C77-68A4-4100-B01E-BBD0A8859C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CBC09A-69C6-47A1-AE52-9A23DDCBCD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042e0-bc9f-43b7-ada3-1b351bed2e77"/>
    <ds:schemaRef ds:uri="d41bf40f-5717-4d64-bbdf-fab2410a53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normal (7 year)</vt:lpstr>
      <vt:lpstr>5 year MACRS</vt:lpstr>
      <vt:lpstr>Constant Depreciation</vt:lpstr>
      <vt:lpstr>'5 year MACRS'!TCCWC</vt:lpstr>
      <vt:lpstr>'Constant Depreciation'!TCCWC</vt:lpstr>
      <vt:lpstr>TCCWC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Suleiman, Qussay</dc:creator>
  <cp:lastModifiedBy>Suleiman, Qussay</cp:lastModifiedBy>
  <dcterms:created xsi:type="dcterms:W3CDTF">2025-10-22T16:16:57Z</dcterms:created>
  <dcterms:modified xsi:type="dcterms:W3CDTF">2025-10-27T17:24:26Z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0x0101007BD4DB9680548741AF142E25CD163C89</vt:lpwstr>
  </property>
</Properties>
</file>