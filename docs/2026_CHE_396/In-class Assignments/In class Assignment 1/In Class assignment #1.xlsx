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ic365-my.sharepoint.com/personal/acai9_uic_edu/Documents/"/>
    </mc:Choice>
  </mc:AlternateContent>
  <xr:revisionPtr revIDLastSave="0" documentId="14_{8DBDB2D8-38EA-4CD0-AB5A-19308C685B5D}" xr6:coauthVersionLast="47" xr6:coauthVersionMax="47" xr10:uidLastSave="{00000000-0000-0000-0000-000000000000}"/>
  <bookViews>
    <workbookView xWindow="348" yWindow="420" windowWidth="21576" windowHeight="11532" xr2:uid="{08876FFB-C804-49B6-AC10-1573A4E5FF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B11" i="1"/>
  <c r="B10" i="1"/>
  <c r="B9" i="1"/>
  <c r="B8" i="1"/>
  <c r="E3" i="1"/>
  <c r="E4" i="1"/>
  <c r="E5" i="1"/>
  <c r="E6" i="1"/>
  <c r="E2" i="1"/>
  <c r="C3" i="1"/>
  <c r="C4" i="1"/>
  <c r="C5" i="1"/>
  <c r="C6" i="1"/>
</calcChain>
</file>

<file path=xl/sharedStrings.xml><?xml version="1.0" encoding="utf-8"?>
<sst xmlns="http://schemas.openxmlformats.org/spreadsheetml/2006/main" count="13" uniqueCount="13">
  <si>
    <t>C2H4</t>
  </si>
  <si>
    <t>C2H2</t>
  </si>
  <si>
    <t>CL2</t>
  </si>
  <si>
    <t>VC</t>
  </si>
  <si>
    <t>HCl</t>
  </si>
  <si>
    <t>cents/lb</t>
  </si>
  <si>
    <t>MM (g/mol)</t>
  </si>
  <si>
    <t>lb/mol</t>
  </si>
  <si>
    <t>RXN 1</t>
  </si>
  <si>
    <t>cents/mol</t>
  </si>
  <si>
    <t>RXN 2</t>
  </si>
  <si>
    <t>RXN 3</t>
  </si>
  <si>
    <t>RXN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</si>
</sst>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92E05-4491-4743-877F-C57708753E89}">
  <dimension ref="A1:E11"/>
  <sheetViews>
    <sheetView tabSelected="1" workbookViewId="0">
      <selection activeCell="D15" sqref="D15"/>
    </sheetView>
  </sheetViews>
  <sheetFormatPr defaultRowHeight="14.4" x14ac:dyDescent="0.3"/>
  <cols>
    <col min="2" max="2" width="10.33203125" customWidth="1"/>
  </cols>
  <sheetData>
    <row r="1" spans="1:5" x14ac:dyDescent="0.3">
      <c r="B1" t="s">
        <v>6</v>
      </c>
      <c r="C1" t="s">
        <v>7</v>
      </c>
      <c r="D1" t="s">
        <v>5</v>
      </c>
      <c r="E1" t="s">
        <v>9</v>
      </c>
    </row>
    <row r="2" spans="1:5" x14ac:dyDescent="0.3">
      <c r="A2" t="s">
        <v>0</v>
      </c>
      <c r="B2">
        <v>28.05</v>
      </c>
      <c r="C2">
        <f>B2/453.592</f>
        <v>6.183971498615496E-2</v>
      </c>
      <c r="D2">
        <v>30</v>
      </c>
      <c r="E2">
        <f>C2*D2</f>
        <v>1.8551914495846489</v>
      </c>
    </row>
    <row r="3" spans="1:5" x14ac:dyDescent="0.3">
      <c r="A3" t="s">
        <v>1</v>
      </c>
      <c r="B3">
        <v>26.04</v>
      </c>
      <c r="C3">
        <f t="shared" ref="C3:C6" si="0">B3/453.592</f>
        <v>5.7408419901585565E-2</v>
      </c>
      <c r="D3">
        <v>80</v>
      </c>
      <c r="E3">
        <f t="shared" ref="E3:E6" si="1">C3*D3</f>
        <v>4.5926735921268449</v>
      </c>
    </row>
    <row r="4" spans="1:5" x14ac:dyDescent="0.3">
      <c r="A4" t="s">
        <v>2</v>
      </c>
      <c r="B4">
        <v>70.900000000000006</v>
      </c>
      <c r="C4">
        <f t="shared" si="0"/>
        <v>0.15630787139102983</v>
      </c>
      <c r="D4">
        <v>18</v>
      </c>
      <c r="E4">
        <f t="shared" si="1"/>
        <v>2.8135416850385369</v>
      </c>
    </row>
    <row r="5" spans="1:5" x14ac:dyDescent="0.3">
      <c r="A5" t="s">
        <v>3</v>
      </c>
      <c r="B5">
        <v>62.5</v>
      </c>
      <c r="C5">
        <f t="shared" si="0"/>
        <v>0.13778902626148609</v>
      </c>
      <c r="D5">
        <v>35</v>
      </c>
      <c r="E5">
        <f t="shared" si="1"/>
        <v>4.822615919152013</v>
      </c>
    </row>
    <row r="6" spans="1:5" x14ac:dyDescent="0.3">
      <c r="A6" t="s">
        <v>4</v>
      </c>
      <c r="B6">
        <v>36.46</v>
      </c>
      <c r="C6">
        <f t="shared" si="0"/>
        <v>8.0380606359900533E-2</v>
      </c>
      <c r="D6">
        <v>25</v>
      </c>
      <c r="E6">
        <f t="shared" si="1"/>
        <v>2.0095151589975133</v>
      </c>
    </row>
    <row r="8" spans="1:5" x14ac:dyDescent="0.3">
      <c r="A8" t="s">
        <v>8</v>
      </c>
      <c r="B8">
        <f>E5+E6-E2-E4</f>
        <v>2.1633979435263404</v>
      </c>
    </row>
    <row r="9" spans="1:5" x14ac:dyDescent="0.3">
      <c r="A9" t="s">
        <v>10</v>
      </c>
      <c r="B9">
        <f>E5-E6-E3</f>
        <v>-1.7795728319723452</v>
      </c>
    </row>
    <row r="10" spans="1:5" x14ac:dyDescent="0.3">
      <c r="A10" t="s">
        <v>11</v>
      </c>
      <c r="B10">
        <f>E5+E6-E2-E4</f>
        <v>2.1633979435263404</v>
      </c>
    </row>
    <row r="11" spans="1:5" x14ac:dyDescent="0.3">
      <c r="A11" t="s">
        <v>12</v>
      </c>
      <c r="B11">
        <f>E5-E6-E2</f>
        <v>0.95790931056985085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4C1CC3E32C5B4788553A114EA95C1F" ma:contentTypeVersion="9" ma:contentTypeDescription="Create a new document." ma:contentTypeScope="" ma:versionID="b43d59022465fd4c0b9d6ac8c14e7ec0">
  <xsd:schema xmlns:xsd="http://www.w3.org/2001/XMLSchema" xmlns:xs="http://www.w3.org/2001/XMLSchema" xmlns:p="http://schemas.microsoft.com/office/2006/metadata/properties" xmlns:ns3="4bcb4ba3-7a78-4871-8884-8c62c0d20077" xmlns:ns4="67299442-5f7c-49a5-a40f-85e76bdcdf04" targetNamespace="http://schemas.microsoft.com/office/2006/metadata/properties" ma:root="true" ma:fieldsID="52c2a20d2037cc816f63ab4e716aad77" ns3:_="" ns4:_="">
    <xsd:import namespace="4bcb4ba3-7a78-4871-8884-8c62c0d20077"/>
    <xsd:import namespace="67299442-5f7c-49a5-a40f-85e76bdcdf0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cb4ba3-7a78-4871-8884-8c62c0d200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99442-5f7c-49a5-a40f-85e76bdcdf0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bcb4ba3-7a78-4871-8884-8c62c0d2007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1BB909-EBA8-418A-BB02-D91E0852C7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cb4ba3-7a78-4871-8884-8c62c0d20077"/>
    <ds:schemaRef ds:uri="67299442-5f7c-49a5-a40f-85e76bdcdf0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0C0F40-2C41-4E4B-9422-D305996D12AF}">
  <ds:schemaRefs>
    <ds:schemaRef ds:uri="4bcb4ba3-7a78-4871-8884-8c62c0d20077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7299442-5f7c-49a5-a40f-85e76bdcdf04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72A1C69-D351-4193-8B28-35FC7283BD2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Cai, Anna</dc:creator>
  <cp:lastModifiedBy>Cai, Anna</cp:lastModifiedBy>
  <dcterms:created xsi:type="dcterms:W3CDTF">2025-09-03T16:57:01Z</dcterms:created>
  <dcterms:modified xsi:type="dcterms:W3CDTF">2025-09-03T17:17:20Z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0x010100444C1CC3E32C5B4788553A114EA95C1F</vt:lpwstr>
  </property>
</Properties>
</file>