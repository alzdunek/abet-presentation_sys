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ABET_2026_InProgress\2026 Self-Study Report\Criterion4-ContinuousImprovement\Course Assessments\CHE300-Level Assessment\CHE381-382 Assessment\"/>
    </mc:Choice>
  </mc:AlternateContent>
  <xr:revisionPtr revIDLastSave="0" documentId="13_ncr:1_{F7C8EEB5-1218-4B85-9FA1-638DE601089E}" xr6:coauthVersionLast="47" xr6:coauthVersionMax="47" xr10:uidLastSave="{00000000-0000-0000-0000-000000000000}"/>
  <bookViews>
    <workbookView xWindow="48480" yWindow="-120" windowWidth="29040" windowHeight="1522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Sheet1!$J$1:$X$13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" i="1" l="1"/>
  <c r="AK80" i="1"/>
  <c r="AK79" i="1"/>
  <c r="AK78" i="1"/>
  <c r="AK70" i="1"/>
  <c r="AK69" i="1"/>
  <c r="AK68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AK81" i="1" l="1"/>
  <c r="AK71" i="1"/>
  <c r="C62" i="1" l="1"/>
  <c r="Q71" i="1"/>
  <c r="R86" i="1"/>
  <c r="R79" i="1"/>
  <c r="R78" i="1"/>
  <c r="R77" i="1"/>
  <c r="R80" i="1" s="1"/>
  <c r="R68" i="1"/>
  <c r="AC24" i="1"/>
  <c r="AC23" i="1"/>
  <c r="AC22" i="1"/>
  <c r="AC21" i="1"/>
  <c r="AC20" i="1"/>
  <c r="AC19" i="1"/>
  <c r="AB24" i="1"/>
  <c r="AB23" i="1"/>
  <c r="AB22" i="1"/>
  <c r="AB21" i="1"/>
  <c r="AB20" i="1"/>
  <c r="AB19" i="1"/>
  <c r="AA24" i="1"/>
  <c r="AA23" i="1"/>
  <c r="AA22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R88" i="1"/>
  <c r="R87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R70" i="1"/>
  <c r="R69" i="1"/>
  <c r="Y57" i="1"/>
  <c r="X57" i="1"/>
  <c r="W57" i="1"/>
  <c r="Z56" i="1"/>
  <c r="Z55" i="1"/>
  <c r="Z54" i="1"/>
  <c r="S52" i="1"/>
  <c r="S51" i="1"/>
  <c r="R52" i="1"/>
  <c r="R51" i="1"/>
  <c r="P52" i="1"/>
  <c r="P51" i="1"/>
  <c r="C51" i="1"/>
  <c r="B51" i="1"/>
  <c r="X52" i="1"/>
  <c r="X51" i="1"/>
  <c r="W52" i="1"/>
  <c r="W51" i="1"/>
  <c r="Q52" i="1"/>
  <c r="Q51" i="1"/>
  <c r="AA21" i="1"/>
  <c r="AA20" i="1"/>
  <c r="AA19" i="1"/>
  <c r="AB39" i="1" l="1"/>
  <c r="AA39" i="1"/>
  <c r="AC39" i="1"/>
  <c r="R89" i="1"/>
  <c r="R71" i="1"/>
  <c r="Z57" i="1"/>
  <c r="AC40" i="1"/>
  <c r="AA40" i="1"/>
  <c r="AB40" i="1"/>
  <c r="M52" i="1"/>
  <c r="M51" i="1"/>
  <c r="AD39" i="1" l="1"/>
  <c r="AD40" i="1"/>
  <c r="V20" i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9" i="1" l="1"/>
  <c r="V40" i="1" s="1"/>
  <c r="V41" i="1" s="1"/>
  <c r="V42" i="1" s="1"/>
  <c r="V43" i="1" s="1"/>
  <c r="V44" i="1" s="1"/>
  <c r="V45" i="1" s="1"/>
  <c r="V38" i="1"/>
  <c r="O20" i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L52" i="1"/>
  <c r="K52" i="1"/>
  <c r="J52" i="1"/>
  <c r="I52" i="1"/>
  <c r="H52" i="1"/>
  <c r="G52" i="1"/>
  <c r="F52" i="1"/>
  <c r="L51" i="1"/>
  <c r="K51" i="1"/>
  <c r="J51" i="1"/>
  <c r="I51" i="1"/>
  <c r="H51" i="1"/>
  <c r="G51" i="1"/>
  <c r="F51" i="1"/>
  <c r="E52" i="1"/>
  <c r="E51" i="1"/>
  <c r="D52" i="1" l="1"/>
  <c r="C52" i="1"/>
  <c r="B52" i="1"/>
  <c r="D51" i="1"/>
  <c r="B54" i="1" l="1"/>
  <c r="B61" i="1"/>
  <c r="B62" i="1"/>
  <c r="G61" i="1"/>
  <c r="G62" i="1"/>
  <c r="H62" i="1"/>
  <c r="E62" i="1"/>
  <c r="E61" i="1"/>
  <c r="H61" i="1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F62" i="1" l="1"/>
  <c r="F61" i="1"/>
</calcChain>
</file>

<file path=xl/sharedStrings.xml><?xml version="1.0" encoding="utf-8"?>
<sst xmlns="http://schemas.openxmlformats.org/spreadsheetml/2006/main" count="251" uniqueCount="85">
  <si>
    <t>Rubric item</t>
  </si>
  <si>
    <t>Unsatisfactory</t>
  </si>
  <si>
    <t>Developing</t>
  </si>
  <si>
    <t>Satisfactory</t>
  </si>
  <si>
    <t>Average</t>
  </si>
  <si>
    <t>Std Dev</t>
  </si>
  <si>
    <t>Student</t>
  </si>
  <si>
    <t>Average Score</t>
  </si>
  <si>
    <t>Standard dev.</t>
  </si>
  <si>
    <t>Rubric Item (PI)</t>
  </si>
  <si>
    <t>RATINGS</t>
  </si>
  <si>
    <t>Prepared by A.D. Zdunek</t>
  </si>
  <si>
    <t>1,3,6</t>
  </si>
  <si>
    <t>Mapped SLO</t>
  </si>
  <si>
    <t>Assessment of student learning outcomes (SLO)</t>
  </si>
  <si>
    <t>3,6</t>
  </si>
  <si>
    <t>1,3</t>
  </si>
  <si>
    <t>3,7</t>
  </si>
  <si>
    <t>Oral Presentation</t>
  </si>
  <si>
    <t>Safety</t>
  </si>
  <si>
    <t>Assessment rubric for pre-lab/final lab report, oral presentation, team skills, safety</t>
  </si>
  <si>
    <t>SACHE</t>
  </si>
  <si>
    <t>Quiz</t>
  </si>
  <si>
    <t>Tutorial</t>
  </si>
  <si>
    <t>CHP</t>
  </si>
  <si>
    <t>Organization</t>
  </si>
  <si>
    <t>Delivery</t>
  </si>
  <si>
    <t>Visual Aids</t>
  </si>
  <si>
    <t>Content</t>
  </si>
  <si>
    <t>RESULTS BY STUDENT OUTCOME ALL ASSESSMENTS</t>
  </si>
  <si>
    <t>Rubric item (PI)</t>
  </si>
  <si>
    <t>RESULTS BY PERFORMANCE INDICATOR: Prelab, Final Lab Reports</t>
  </si>
  <si>
    <t>RESULTS BY PERFORMANCE INDICATOR: Oral Presentation</t>
  </si>
  <si>
    <t>RESULTS BY PERFORMANCE INDICATOR: Safety</t>
  </si>
  <si>
    <t>3,4,7</t>
  </si>
  <si>
    <t>1,7</t>
  </si>
  <si>
    <t>Rubric:</t>
  </si>
  <si>
    <t>Rubric</t>
  </si>
  <si>
    <t>Completed = 3</t>
  </si>
  <si>
    <t>&gt;90 = 3</t>
  </si>
  <si>
    <t>Did not hand in = 1</t>
  </si>
  <si>
    <t>80-90 = 2</t>
  </si>
  <si>
    <t>&lt;80 = 1</t>
  </si>
  <si>
    <t>Team Assessments</t>
  </si>
  <si>
    <t>Prelab</t>
  </si>
  <si>
    <t xml:space="preserve">Final </t>
  </si>
  <si>
    <t>Presentation</t>
  </si>
  <si>
    <t>Team 1</t>
  </si>
  <si>
    <t>Team 2</t>
  </si>
  <si>
    <t>Team 3</t>
  </si>
  <si>
    <t xml:space="preserve"> Team 4</t>
  </si>
  <si>
    <t>Team 5</t>
  </si>
  <si>
    <t xml:space="preserve"> Team 6</t>
  </si>
  <si>
    <t>Team 7</t>
  </si>
  <si>
    <t>RESULTS BY PERFORMANCE INDICATOR: Teamwork</t>
  </si>
  <si>
    <t>Rating</t>
  </si>
  <si>
    <t>Score</t>
  </si>
  <si>
    <t>&gt;4</t>
  </si>
  <si>
    <t>&gt;16</t>
  </si>
  <si>
    <t>&gt;8</t>
  </si>
  <si>
    <t>&gt;12</t>
  </si>
  <si>
    <t>&gt;2.5</t>
  </si>
  <si>
    <t>&gt;6</t>
  </si>
  <si>
    <t>&gt;9</t>
  </si>
  <si>
    <t>&lt;2.5</t>
  </si>
  <si>
    <t>&lt;12</t>
  </si>
  <si>
    <t>&lt;6</t>
  </si>
  <si>
    <t>&lt;9</t>
  </si>
  <si>
    <t>&gt;40</t>
  </si>
  <si>
    <t>&gt;30</t>
  </si>
  <si>
    <t>&lt;30</t>
  </si>
  <si>
    <t>Performance Indicator Ratings Mapped to Assignment Score --&gt;</t>
  </si>
  <si>
    <t>Prelab reports and Final Lab reports: Lab X</t>
  </si>
  <si>
    <t>S</t>
  </si>
  <si>
    <t>D</t>
  </si>
  <si>
    <t>U</t>
  </si>
  <si>
    <t>Total</t>
  </si>
  <si>
    <t>Student Learning Outcome 5 Calculations</t>
  </si>
  <si>
    <t>Overall Average</t>
  </si>
  <si>
    <t>Student Learning Outcome 6 Calculations</t>
  </si>
  <si>
    <t>Student Learning Outcome 7 Calculations</t>
  </si>
  <si>
    <t>ChE 382 Rubric Assessment Spring 2026</t>
  </si>
  <si>
    <t>Chemical Engineering Laboratory II</t>
  </si>
  <si>
    <t>Student Learning Outcome 1 Calculations</t>
  </si>
  <si>
    <t>Student Learning Outcome 3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</si>
</sst>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63377788628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4" borderId="0" xfId="0" applyFont="1" applyFill="1"/>
    <xf numFmtId="0" fontId="2" fillId="0" borderId="0" xfId="0" applyFont="1"/>
    <xf numFmtId="0" fontId="0" fillId="6" borderId="0" xfId="0" applyFill="1"/>
    <xf numFmtId="0" fontId="0" fillId="0" borderId="1" xfId="0" applyBorder="1"/>
    <xf numFmtId="2" fontId="0" fillId="6" borderId="0" xfId="0" applyNumberFormat="1" applyFill="1"/>
    <xf numFmtId="0" fontId="0" fillId="3" borderId="1" xfId="0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0" fillId="4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1" fillId="3" borderId="0" xfId="0" applyFont="1" applyFill="1"/>
    <xf numFmtId="0" fontId="0" fillId="3" borderId="4" xfId="0" applyFill="1" applyBorder="1"/>
    <xf numFmtId="0" fontId="0" fillId="3" borderId="4" xfId="0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right"/>
    </xf>
    <xf numFmtId="2" fontId="0" fillId="3" borderId="4" xfId="0" applyNumberFormat="1" applyFill="1" applyBorder="1"/>
    <xf numFmtId="0" fontId="0" fillId="0" borderId="1" xfId="0" applyBorder="1" applyAlignment="1">
      <alignment horizontal="right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0" borderId="0" xfId="0" applyNumberFormat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2" xfId="0" applyBorder="1"/>
    <xf numFmtId="0" fontId="0" fillId="0" borderId="3" xfId="0" applyBorder="1" applyAlignment="1">
      <alignment horizontal="center"/>
    </xf>
    <xf numFmtId="0" fontId="3" fillId="0" borderId="0" xfId="0" applyFont="1" applyAlignment="1">
      <alignment vertical="center" wrapText="1"/>
    </xf>
    <xf numFmtId="164" fontId="0" fillId="0" borderId="0" xfId="0" applyNumberFormat="1"/>
    <xf numFmtId="0" fontId="0" fillId="5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145"/>
  <sheetViews>
    <sheetView tabSelected="1" topLeftCell="B1" zoomScale="80" zoomScaleNormal="80" workbookViewId="0">
      <selection activeCell="R86" sqref="R86:R88"/>
    </sheetView>
  </sheetViews>
  <sheetFormatPr defaultRowHeight="14.75" x14ac:dyDescent="0.75"/>
  <cols>
    <col min="1" max="1" width="20.1328125" customWidth="1"/>
    <col min="2" max="2" width="11.54296875" customWidth="1"/>
    <col min="7" max="7" width="9.54296875" bestFit="1" customWidth="1"/>
    <col min="15" max="15" width="17.86328125" customWidth="1"/>
    <col min="16" max="16" width="13.1328125" customWidth="1"/>
    <col min="18" max="18" width="11.26953125" customWidth="1"/>
    <col min="22" max="22" width="15.1328125" customWidth="1"/>
    <col min="23" max="23" width="25.86328125" customWidth="1"/>
    <col min="26" max="26" width="17.86328125" customWidth="1"/>
    <col min="27" max="27" width="9.1328125" customWidth="1"/>
  </cols>
  <sheetData>
    <row r="1" spans="1:29" x14ac:dyDescent="0.75">
      <c r="A1" s="1" t="s">
        <v>81</v>
      </c>
      <c r="D1" t="s">
        <v>71</v>
      </c>
      <c r="J1" s="40"/>
      <c r="K1" s="11" t="s">
        <v>56</v>
      </c>
      <c r="L1" s="40" t="s">
        <v>55</v>
      </c>
      <c r="M1" s="11" t="s">
        <v>56</v>
      </c>
      <c r="N1" s="40" t="s">
        <v>55</v>
      </c>
      <c r="O1" s="11" t="s">
        <v>56</v>
      </c>
      <c r="P1" s="40" t="s">
        <v>55</v>
      </c>
      <c r="R1" s="38"/>
      <c r="S1" s="11" t="s">
        <v>56</v>
      </c>
      <c r="T1" s="40" t="s">
        <v>55</v>
      </c>
      <c r="U1" s="11" t="s">
        <v>56</v>
      </c>
      <c r="V1" s="40" t="s">
        <v>55</v>
      </c>
      <c r="W1" s="11" t="s">
        <v>56</v>
      </c>
      <c r="X1" s="40" t="s">
        <v>55</v>
      </c>
    </row>
    <row r="2" spans="1:29" x14ac:dyDescent="0.75">
      <c r="A2" s="1" t="s">
        <v>82</v>
      </c>
      <c r="J2" s="38">
        <v>1</v>
      </c>
      <c r="K2" s="22" t="s">
        <v>57</v>
      </c>
      <c r="L2" s="39">
        <v>3</v>
      </c>
      <c r="M2" s="22" t="s">
        <v>61</v>
      </c>
      <c r="N2" s="39">
        <v>2</v>
      </c>
      <c r="O2" s="22" t="s">
        <v>64</v>
      </c>
      <c r="P2" s="39">
        <v>1</v>
      </c>
      <c r="R2" s="38">
        <v>13</v>
      </c>
      <c r="S2" s="22" t="s">
        <v>59</v>
      </c>
      <c r="T2" s="39">
        <v>3</v>
      </c>
      <c r="U2" s="22" t="s">
        <v>62</v>
      </c>
      <c r="V2" s="41">
        <v>2</v>
      </c>
      <c r="W2" s="22" t="s">
        <v>66</v>
      </c>
      <c r="X2" s="39">
        <v>1</v>
      </c>
    </row>
    <row r="3" spans="1:29" x14ac:dyDescent="0.75">
      <c r="A3" s="1" t="s">
        <v>14</v>
      </c>
      <c r="J3" s="38">
        <v>2</v>
      </c>
      <c r="K3" s="22" t="s">
        <v>58</v>
      </c>
      <c r="L3" s="39">
        <v>3</v>
      </c>
      <c r="M3" s="22" t="s">
        <v>60</v>
      </c>
      <c r="N3" s="39">
        <v>2</v>
      </c>
      <c r="O3" s="22" t="s">
        <v>65</v>
      </c>
      <c r="P3" s="39">
        <v>1</v>
      </c>
      <c r="R3" s="38">
        <v>14</v>
      </c>
      <c r="S3" s="22" t="s">
        <v>58</v>
      </c>
      <c r="T3" s="39">
        <v>3</v>
      </c>
      <c r="U3" s="22" t="s">
        <v>60</v>
      </c>
      <c r="V3" s="41">
        <v>2</v>
      </c>
      <c r="W3" s="22" t="s">
        <v>65</v>
      </c>
      <c r="X3" s="39">
        <v>1</v>
      </c>
    </row>
    <row r="4" spans="1:29" x14ac:dyDescent="0.75">
      <c r="A4" t="s">
        <v>20</v>
      </c>
      <c r="J4" s="38">
        <v>3</v>
      </c>
      <c r="K4" s="22" t="s">
        <v>59</v>
      </c>
      <c r="L4" s="39">
        <v>3</v>
      </c>
      <c r="M4" s="22" t="s">
        <v>62</v>
      </c>
      <c r="N4" s="39">
        <v>2</v>
      </c>
      <c r="O4" s="22" t="s">
        <v>66</v>
      </c>
      <c r="P4" s="39">
        <v>1</v>
      </c>
      <c r="R4" s="38">
        <v>15</v>
      </c>
      <c r="S4" s="22" t="s">
        <v>58</v>
      </c>
      <c r="T4" s="39">
        <v>3</v>
      </c>
      <c r="U4" s="22" t="s">
        <v>60</v>
      </c>
      <c r="V4" s="41">
        <v>2</v>
      </c>
      <c r="W4" s="22" t="s">
        <v>65</v>
      </c>
      <c r="X4" s="39">
        <v>1</v>
      </c>
    </row>
    <row r="5" spans="1:29" x14ac:dyDescent="0.75">
      <c r="A5" t="s">
        <v>11</v>
      </c>
      <c r="J5" s="38">
        <v>4</v>
      </c>
      <c r="K5" s="22" t="s">
        <v>59</v>
      </c>
      <c r="L5" s="39">
        <v>3</v>
      </c>
      <c r="M5" s="22" t="s">
        <v>62</v>
      </c>
      <c r="N5" s="39">
        <v>2</v>
      </c>
      <c r="O5" s="22" t="s">
        <v>66</v>
      </c>
      <c r="P5" s="39">
        <v>1</v>
      </c>
      <c r="R5" s="38">
        <v>16</v>
      </c>
      <c r="S5" s="22" t="s">
        <v>68</v>
      </c>
      <c r="T5" s="39">
        <v>3</v>
      </c>
      <c r="U5" s="22" t="s">
        <v>69</v>
      </c>
      <c r="V5" s="41">
        <v>2</v>
      </c>
      <c r="W5" s="22" t="s">
        <v>70</v>
      </c>
      <c r="X5" s="39">
        <v>1</v>
      </c>
    </row>
    <row r="6" spans="1:29" x14ac:dyDescent="0.75">
      <c r="J6" s="38">
        <v>5</v>
      </c>
      <c r="K6" s="22" t="s">
        <v>59</v>
      </c>
      <c r="L6" s="39">
        <v>3</v>
      </c>
      <c r="M6" s="22" t="s">
        <v>62</v>
      </c>
      <c r="N6" s="39">
        <v>2</v>
      </c>
      <c r="O6" s="22" t="s">
        <v>66</v>
      </c>
      <c r="P6" s="39">
        <v>1</v>
      </c>
    </row>
    <row r="7" spans="1:29" x14ac:dyDescent="0.75">
      <c r="J7" s="38">
        <v>6</v>
      </c>
      <c r="K7" s="22" t="s">
        <v>59</v>
      </c>
      <c r="L7" s="39">
        <v>3</v>
      </c>
      <c r="M7" s="22" t="s">
        <v>62</v>
      </c>
      <c r="N7" s="39">
        <v>2</v>
      </c>
      <c r="O7" s="22" t="s">
        <v>66</v>
      </c>
      <c r="P7" s="39">
        <v>1</v>
      </c>
    </row>
    <row r="8" spans="1:29" x14ac:dyDescent="0.75">
      <c r="J8" s="38">
        <v>7</v>
      </c>
      <c r="K8" s="22" t="s">
        <v>60</v>
      </c>
      <c r="L8" s="39">
        <v>3</v>
      </c>
      <c r="M8" s="22" t="s">
        <v>63</v>
      </c>
      <c r="N8" s="39">
        <v>2</v>
      </c>
      <c r="O8" s="22" t="s">
        <v>67</v>
      </c>
      <c r="P8" s="39">
        <v>1</v>
      </c>
    </row>
    <row r="9" spans="1:29" x14ac:dyDescent="0.75">
      <c r="A9" s="3" t="s">
        <v>10</v>
      </c>
      <c r="B9" s="3"/>
      <c r="C9" s="3"/>
      <c r="J9" s="38">
        <v>8</v>
      </c>
      <c r="K9" s="22" t="s">
        <v>60</v>
      </c>
      <c r="L9" s="39">
        <v>3</v>
      </c>
      <c r="M9" s="22" t="s">
        <v>63</v>
      </c>
      <c r="N9" s="39">
        <v>2</v>
      </c>
      <c r="O9" s="22" t="s">
        <v>67</v>
      </c>
      <c r="P9" s="39">
        <v>1</v>
      </c>
      <c r="X9" t="s">
        <v>36</v>
      </c>
    </row>
    <row r="10" spans="1:29" x14ac:dyDescent="0.75">
      <c r="A10" s="3">
        <v>1</v>
      </c>
      <c r="B10" s="3" t="s">
        <v>1</v>
      </c>
      <c r="C10" s="3"/>
      <c r="J10" s="38">
        <v>9</v>
      </c>
      <c r="K10" s="22" t="s">
        <v>59</v>
      </c>
      <c r="L10" s="39">
        <v>3</v>
      </c>
      <c r="M10" s="22" t="s">
        <v>62</v>
      </c>
      <c r="N10" s="39">
        <v>2</v>
      </c>
      <c r="O10" s="22" t="s">
        <v>66</v>
      </c>
      <c r="P10" s="39">
        <v>1</v>
      </c>
      <c r="W10" t="s">
        <v>37</v>
      </c>
      <c r="X10" t="s">
        <v>39</v>
      </c>
    </row>
    <row r="11" spans="1:29" x14ac:dyDescent="0.75">
      <c r="A11" s="3">
        <v>2</v>
      </c>
      <c r="B11" s="3" t="s">
        <v>2</v>
      </c>
      <c r="C11" s="3"/>
      <c r="J11" s="38">
        <v>10</v>
      </c>
      <c r="K11" s="22" t="s">
        <v>59</v>
      </c>
      <c r="L11" s="39">
        <v>3</v>
      </c>
      <c r="M11" s="22" t="s">
        <v>62</v>
      </c>
      <c r="N11" s="39">
        <v>2</v>
      </c>
      <c r="O11" s="22" t="s">
        <v>66</v>
      </c>
      <c r="P11" s="39">
        <v>1</v>
      </c>
      <c r="W11" t="s">
        <v>38</v>
      </c>
      <c r="X11" t="s">
        <v>41</v>
      </c>
    </row>
    <row r="12" spans="1:29" x14ac:dyDescent="0.75">
      <c r="A12" s="3">
        <v>3</v>
      </c>
      <c r="B12" s="3" t="s">
        <v>3</v>
      </c>
      <c r="C12" s="3"/>
      <c r="J12" s="38">
        <v>11</v>
      </c>
      <c r="K12" s="22" t="s">
        <v>59</v>
      </c>
      <c r="L12" s="39">
        <v>3</v>
      </c>
      <c r="M12" s="22" t="s">
        <v>62</v>
      </c>
      <c r="N12" s="39">
        <v>2</v>
      </c>
      <c r="O12" s="22" t="s">
        <v>66</v>
      </c>
      <c r="P12" s="39">
        <v>1</v>
      </c>
      <c r="W12" s="11" t="s">
        <v>40</v>
      </c>
      <c r="X12" s="11" t="s">
        <v>42</v>
      </c>
    </row>
    <row r="13" spans="1:29" x14ac:dyDescent="0.75">
      <c r="A13" s="3"/>
      <c r="B13" s="3"/>
      <c r="C13" s="3"/>
      <c r="J13" s="38">
        <v>12</v>
      </c>
      <c r="K13" s="22" t="s">
        <v>59</v>
      </c>
      <c r="L13" s="39">
        <v>3</v>
      </c>
      <c r="M13" s="22" t="s">
        <v>62</v>
      </c>
      <c r="N13" s="39">
        <v>2</v>
      </c>
      <c r="O13" s="22" t="s">
        <v>66</v>
      </c>
      <c r="P13" s="39">
        <v>1</v>
      </c>
      <c r="W13" t="s">
        <v>21</v>
      </c>
      <c r="X13" t="s">
        <v>24</v>
      </c>
      <c r="AA13" t="s">
        <v>43</v>
      </c>
    </row>
    <row r="14" spans="1:29" x14ac:dyDescent="0.75">
      <c r="A14" t="s">
        <v>72</v>
      </c>
      <c r="O14" t="s">
        <v>18</v>
      </c>
      <c r="P14" t="s">
        <v>25</v>
      </c>
      <c r="Q14" t="s">
        <v>26</v>
      </c>
      <c r="R14" t="s">
        <v>27</v>
      </c>
      <c r="S14" t="s">
        <v>28</v>
      </c>
      <c r="V14" t="s">
        <v>19</v>
      </c>
      <c r="W14" t="s">
        <v>23</v>
      </c>
      <c r="X14" t="s">
        <v>22</v>
      </c>
      <c r="AA14" t="s">
        <v>44</v>
      </c>
      <c r="AB14" t="s">
        <v>45</v>
      </c>
      <c r="AC14" t="s">
        <v>46</v>
      </c>
    </row>
    <row r="15" spans="1:29" x14ac:dyDescent="0.75">
      <c r="A15" s="17" t="s">
        <v>9</v>
      </c>
      <c r="B15" s="17">
        <v>1</v>
      </c>
      <c r="C15" s="17">
        <v>2</v>
      </c>
      <c r="D15" s="44">
        <v>3</v>
      </c>
      <c r="E15" s="17">
        <v>4</v>
      </c>
      <c r="F15" s="17">
        <v>5</v>
      </c>
      <c r="G15" s="17">
        <v>6</v>
      </c>
      <c r="H15" s="17">
        <v>7</v>
      </c>
      <c r="I15" s="17">
        <v>8</v>
      </c>
      <c r="J15" s="17">
        <v>9</v>
      </c>
      <c r="K15" s="17">
        <v>10</v>
      </c>
      <c r="L15" s="17">
        <v>11</v>
      </c>
      <c r="M15" s="17">
        <v>12</v>
      </c>
      <c r="N15" s="17"/>
      <c r="O15" s="19" t="s">
        <v>9</v>
      </c>
      <c r="P15" s="17">
        <v>13</v>
      </c>
      <c r="Q15" s="17">
        <v>14</v>
      </c>
      <c r="R15" s="17">
        <v>15</v>
      </c>
      <c r="S15" s="17">
        <v>16</v>
      </c>
      <c r="T15" s="17"/>
      <c r="V15" s="19" t="s">
        <v>9</v>
      </c>
      <c r="W15" s="17">
        <v>17</v>
      </c>
      <c r="X15" s="17">
        <v>18</v>
      </c>
      <c r="Z15" s="19" t="s">
        <v>9</v>
      </c>
      <c r="AA15" s="17">
        <v>19</v>
      </c>
      <c r="AB15" s="17">
        <v>20</v>
      </c>
      <c r="AC15" s="17">
        <v>21</v>
      </c>
    </row>
    <row r="16" spans="1:29" x14ac:dyDescent="0.75">
      <c r="A16" s="17" t="s">
        <v>13</v>
      </c>
      <c r="B16" s="17" t="s">
        <v>16</v>
      </c>
      <c r="C16" s="17" t="s">
        <v>15</v>
      </c>
      <c r="D16" s="44" t="s">
        <v>34</v>
      </c>
      <c r="E16" s="17">
        <v>3</v>
      </c>
      <c r="F16" s="18" t="s">
        <v>16</v>
      </c>
      <c r="G16" s="18" t="s">
        <v>35</v>
      </c>
      <c r="H16" s="18" t="s">
        <v>12</v>
      </c>
      <c r="I16" s="18" t="s">
        <v>12</v>
      </c>
      <c r="J16" s="18" t="s">
        <v>17</v>
      </c>
      <c r="K16" s="18" t="s">
        <v>12</v>
      </c>
      <c r="L16" s="18" t="s">
        <v>12</v>
      </c>
      <c r="M16" s="18" t="s">
        <v>12</v>
      </c>
      <c r="N16" s="18"/>
      <c r="O16" s="19" t="s">
        <v>13</v>
      </c>
      <c r="P16" s="17">
        <v>3</v>
      </c>
      <c r="Q16" s="17">
        <v>3</v>
      </c>
      <c r="R16" s="17">
        <v>3</v>
      </c>
      <c r="S16" s="17">
        <v>3</v>
      </c>
      <c r="T16" s="17"/>
      <c r="V16" s="19" t="s">
        <v>13</v>
      </c>
      <c r="W16" s="17">
        <v>4</v>
      </c>
      <c r="X16" s="17">
        <v>4</v>
      </c>
      <c r="Z16" s="19" t="s">
        <v>13</v>
      </c>
      <c r="AA16" s="17">
        <v>5</v>
      </c>
      <c r="AB16" s="17">
        <v>5</v>
      </c>
      <c r="AC16" s="17">
        <v>5</v>
      </c>
    </row>
    <row r="17" spans="1:29" x14ac:dyDescent="0.75">
      <c r="B17" s="2"/>
      <c r="D17" s="38"/>
    </row>
    <row r="18" spans="1:29" x14ac:dyDescent="0.75">
      <c r="A18" s="11" t="s">
        <v>6</v>
      </c>
      <c r="B18" s="34"/>
      <c r="C18" s="11"/>
      <c r="D18" s="40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 t="s">
        <v>6</v>
      </c>
      <c r="P18" s="11"/>
      <c r="Q18" s="11"/>
      <c r="R18" s="11"/>
      <c r="S18" s="11"/>
      <c r="T18" s="11"/>
      <c r="U18" s="11"/>
      <c r="V18" s="11" t="s">
        <v>6</v>
      </c>
      <c r="W18" s="11"/>
      <c r="X18" s="11"/>
      <c r="Z18" s="11"/>
      <c r="AA18" s="11"/>
      <c r="AB18" s="11"/>
      <c r="AC18" s="11"/>
    </row>
    <row r="19" spans="1:29" x14ac:dyDescent="0.75">
      <c r="A19" s="20">
        <v>1</v>
      </c>
      <c r="B19" s="22">
        <v>3</v>
      </c>
      <c r="C19" s="22">
        <v>3</v>
      </c>
      <c r="D19" s="41">
        <v>3</v>
      </c>
      <c r="E19" s="22">
        <v>3</v>
      </c>
      <c r="F19" s="22">
        <v>3</v>
      </c>
      <c r="G19" s="22">
        <v>3</v>
      </c>
      <c r="H19" s="22">
        <v>3</v>
      </c>
      <c r="I19" s="22">
        <v>3</v>
      </c>
      <c r="J19" s="22">
        <v>3</v>
      </c>
      <c r="K19" s="22">
        <v>3</v>
      </c>
      <c r="L19" s="22">
        <v>3</v>
      </c>
      <c r="M19" s="22">
        <v>3</v>
      </c>
      <c r="N19" s="22"/>
      <c r="O19" s="20">
        <v>1</v>
      </c>
      <c r="P19" s="22">
        <v>3</v>
      </c>
      <c r="Q19" s="22">
        <v>3</v>
      </c>
      <c r="R19" s="22">
        <v>3</v>
      </c>
      <c r="S19" s="22">
        <v>3</v>
      </c>
      <c r="V19" s="20">
        <v>1</v>
      </c>
      <c r="W19" s="22">
        <v>3</v>
      </c>
      <c r="X19">
        <v>3</v>
      </c>
      <c r="Z19" t="s">
        <v>47</v>
      </c>
      <c r="AA19" s="37">
        <f>AVERAGE(B19:D22)</f>
        <v>3</v>
      </c>
      <c r="AB19" s="37">
        <f>AVERAGE(E19:M22)</f>
        <v>3</v>
      </c>
      <c r="AC19" s="37">
        <f>AVERAGE(P19:S22)</f>
        <v>3</v>
      </c>
    </row>
    <row r="20" spans="1:29" x14ac:dyDescent="0.75">
      <c r="A20" s="20">
        <f>A19+1</f>
        <v>2</v>
      </c>
      <c r="B20" s="22">
        <v>3</v>
      </c>
      <c r="C20" s="22">
        <v>3</v>
      </c>
      <c r="D20" s="41">
        <v>3</v>
      </c>
      <c r="E20" s="22">
        <v>3</v>
      </c>
      <c r="F20" s="22">
        <v>3</v>
      </c>
      <c r="G20" s="22">
        <v>3</v>
      </c>
      <c r="H20" s="22">
        <v>3</v>
      </c>
      <c r="I20" s="22">
        <v>3</v>
      </c>
      <c r="J20" s="22">
        <v>3</v>
      </c>
      <c r="K20" s="22">
        <v>3</v>
      </c>
      <c r="L20" s="22">
        <v>3</v>
      </c>
      <c r="M20" s="22">
        <v>3</v>
      </c>
      <c r="N20" s="22"/>
      <c r="O20" s="20">
        <f>O19+1</f>
        <v>2</v>
      </c>
      <c r="P20" s="22">
        <v>3</v>
      </c>
      <c r="Q20" s="22">
        <v>3</v>
      </c>
      <c r="R20" s="22">
        <v>3</v>
      </c>
      <c r="S20" s="22">
        <v>3</v>
      </c>
      <c r="V20" s="20">
        <f>V19+1</f>
        <v>2</v>
      </c>
      <c r="W20" s="22">
        <v>3</v>
      </c>
      <c r="X20">
        <v>3</v>
      </c>
      <c r="Z20" t="s">
        <v>48</v>
      </c>
      <c r="AA20" s="37">
        <f>AVERAGE(B23:D26)</f>
        <v>3</v>
      </c>
      <c r="AB20" s="37">
        <f>AVERAGE(E23:M26)</f>
        <v>3</v>
      </c>
      <c r="AC20" s="37">
        <f>AVERAGE(P23:S26)</f>
        <v>3</v>
      </c>
    </row>
    <row r="21" spans="1:29" x14ac:dyDescent="0.75">
      <c r="A21" s="20">
        <f t="shared" ref="A21:A45" si="0">A20+1</f>
        <v>3</v>
      </c>
      <c r="B21" s="22">
        <v>3</v>
      </c>
      <c r="C21" s="22">
        <v>3</v>
      </c>
      <c r="D21" s="41">
        <v>3</v>
      </c>
      <c r="E21" s="22">
        <v>3</v>
      </c>
      <c r="F21" s="22">
        <v>3</v>
      </c>
      <c r="G21" s="22">
        <v>3</v>
      </c>
      <c r="H21" s="22">
        <v>3</v>
      </c>
      <c r="I21" s="22">
        <v>3</v>
      </c>
      <c r="J21" s="22">
        <v>3</v>
      </c>
      <c r="K21" s="22">
        <v>3</v>
      </c>
      <c r="L21" s="22">
        <v>3</v>
      </c>
      <c r="M21" s="22">
        <v>3</v>
      </c>
      <c r="N21" s="22"/>
      <c r="O21" s="20">
        <f t="shared" ref="O21:O45" si="1">O20+1</f>
        <v>3</v>
      </c>
      <c r="P21" s="22">
        <v>3</v>
      </c>
      <c r="Q21" s="22">
        <v>3</v>
      </c>
      <c r="R21" s="22">
        <v>3</v>
      </c>
      <c r="S21" s="22">
        <v>3</v>
      </c>
      <c r="V21" s="20">
        <f t="shared" ref="V21:V45" si="2">V20+1</f>
        <v>3</v>
      </c>
      <c r="W21" s="22">
        <v>3</v>
      </c>
      <c r="X21">
        <v>3</v>
      </c>
      <c r="Z21" t="s">
        <v>49</v>
      </c>
      <c r="AA21" s="37">
        <f>AVERAGE(B27:D30)</f>
        <v>3</v>
      </c>
      <c r="AB21" s="37">
        <f>AVERAGE(E27:M30)</f>
        <v>3</v>
      </c>
      <c r="AC21" s="37">
        <f>AVERAGE(P27:S30)</f>
        <v>3</v>
      </c>
    </row>
    <row r="22" spans="1:29" x14ac:dyDescent="0.75">
      <c r="A22" s="21">
        <f t="shared" si="0"/>
        <v>4</v>
      </c>
      <c r="B22" s="23">
        <v>3</v>
      </c>
      <c r="C22" s="23">
        <v>3</v>
      </c>
      <c r="D22" s="45">
        <v>3</v>
      </c>
      <c r="E22" s="23">
        <v>3</v>
      </c>
      <c r="F22" s="23">
        <v>3</v>
      </c>
      <c r="G22" s="23">
        <v>3</v>
      </c>
      <c r="H22" s="23">
        <v>3</v>
      </c>
      <c r="I22" s="23">
        <v>3</v>
      </c>
      <c r="J22" s="23">
        <v>3</v>
      </c>
      <c r="K22" s="23">
        <v>3</v>
      </c>
      <c r="L22" s="23">
        <v>3</v>
      </c>
      <c r="M22" s="23">
        <v>3</v>
      </c>
      <c r="N22" s="22"/>
      <c r="O22" s="21">
        <f t="shared" si="1"/>
        <v>4</v>
      </c>
      <c r="P22" s="23">
        <v>3</v>
      </c>
      <c r="Q22" s="23">
        <v>3</v>
      </c>
      <c r="R22" s="23">
        <v>3</v>
      </c>
      <c r="S22" s="23">
        <v>3</v>
      </c>
      <c r="V22" s="20">
        <f t="shared" si="2"/>
        <v>4</v>
      </c>
      <c r="W22" s="22">
        <v>3</v>
      </c>
      <c r="X22">
        <v>3</v>
      </c>
      <c r="Z22" t="s">
        <v>50</v>
      </c>
      <c r="AA22" s="37">
        <f>AVERAGE(B31:D34)</f>
        <v>3</v>
      </c>
      <c r="AB22" s="37">
        <f>AVERAGE(E31:M34)</f>
        <v>2.9444444444444446</v>
      </c>
      <c r="AC22" s="37">
        <f>AVERAGE(P31:S34)</f>
        <v>2.6875</v>
      </c>
    </row>
    <row r="23" spans="1:29" x14ac:dyDescent="0.75">
      <c r="A23" s="20">
        <f t="shared" si="0"/>
        <v>5</v>
      </c>
      <c r="B23" s="22">
        <v>3</v>
      </c>
      <c r="C23" s="22">
        <v>3</v>
      </c>
      <c r="D23" s="41">
        <v>3</v>
      </c>
      <c r="E23" s="22">
        <v>3</v>
      </c>
      <c r="F23" s="22">
        <v>3</v>
      </c>
      <c r="G23" s="22">
        <v>3</v>
      </c>
      <c r="H23" s="22">
        <v>3</v>
      </c>
      <c r="I23" s="22">
        <v>3</v>
      </c>
      <c r="J23" s="22">
        <v>3</v>
      </c>
      <c r="K23" s="22">
        <v>3</v>
      </c>
      <c r="L23" s="22">
        <v>3</v>
      </c>
      <c r="M23" s="22">
        <v>3</v>
      </c>
      <c r="N23" s="22"/>
      <c r="O23" s="20">
        <f t="shared" si="1"/>
        <v>5</v>
      </c>
      <c r="P23" s="22">
        <v>3</v>
      </c>
      <c r="Q23" s="22">
        <v>3</v>
      </c>
      <c r="R23" s="22">
        <v>3</v>
      </c>
      <c r="S23" s="22">
        <v>3</v>
      </c>
      <c r="V23" s="20">
        <f t="shared" si="2"/>
        <v>5</v>
      </c>
      <c r="W23" s="22">
        <v>3</v>
      </c>
      <c r="X23">
        <v>3</v>
      </c>
      <c r="Z23" t="s">
        <v>51</v>
      </c>
      <c r="AA23" s="37">
        <f>AVERAGE(B35:D39)</f>
        <v>3</v>
      </c>
      <c r="AB23" s="37">
        <f>AVERAGE(E35:M39)</f>
        <v>2.7222222222222223</v>
      </c>
      <c r="AC23" s="37">
        <f>AVERAGE(P35:S39)</f>
        <v>2.6375000000000002</v>
      </c>
    </row>
    <row r="24" spans="1:29" x14ac:dyDescent="0.75">
      <c r="A24" s="20">
        <f t="shared" si="0"/>
        <v>6</v>
      </c>
      <c r="B24" s="22">
        <v>3</v>
      </c>
      <c r="C24" s="22">
        <v>3</v>
      </c>
      <c r="D24" s="41">
        <v>3</v>
      </c>
      <c r="E24" s="22">
        <v>3</v>
      </c>
      <c r="F24" s="22">
        <v>3</v>
      </c>
      <c r="G24" s="22">
        <v>3</v>
      </c>
      <c r="H24" s="22">
        <v>3</v>
      </c>
      <c r="I24" s="22">
        <v>3</v>
      </c>
      <c r="J24" s="22">
        <v>3</v>
      </c>
      <c r="K24" s="22">
        <v>3</v>
      </c>
      <c r="L24" s="22">
        <v>3</v>
      </c>
      <c r="M24" s="22">
        <v>3</v>
      </c>
      <c r="N24" s="22"/>
      <c r="O24" s="20">
        <f t="shared" si="1"/>
        <v>6</v>
      </c>
      <c r="P24" s="22">
        <v>3</v>
      </c>
      <c r="Q24" s="22">
        <v>3</v>
      </c>
      <c r="R24" s="22">
        <v>3</v>
      </c>
      <c r="S24" s="22">
        <v>3</v>
      </c>
      <c r="V24" s="20">
        <f t="shared" si="2"/>
        <v>6</v>
      </c>
      <c r="W24" s="22">
        <v>3</v>
      </c>
      <c r="X24">
        <v>3</v>
      </c>
      <c r="Z24" t="s">
        <v>52</v>
      </c>
      <c r="AA24" s="37">
        <f>AVERAGE(B40:D44)</f>
        <v>2.4666666666666668</v>
      </c>
      <c r="AB24" s="37">
        <f>AVERAGE(E40:M44)</f>
        <v>2.3333333333333335</v>
      </c>
      <c r="AC24" s="37">
        <f>AVERAGE(P40:S44)</f>
        <v>2.4750000000000001</v>
      </c>
    </row>
    <row r="25" spans="1:29" x14ac:dyDescent="0.75">
      <c r="A25" s="20">
        <f t="shared" si="0"/>
        <v>7</v>
      </c>
      <c r="B25" s="22">
        <v>3</v>
      </c>
      <c r="C25" s="22">
        <v>3</v>
      </c>
      <c r="D25" s="41">
        <v>3</v>
      </c>
      <c r="E25" s="22">
        <v>3</v>
      </c>
      <c r="F25" s="22">
        <v>3</v>
      </c>
      <c r="G25" s="22">
        <v>3</v>
      </c>
      <c r="H25" s="22">
        <v>3</v>
      </c>
      <c r="I25" s="22">
        <v>3</v>
      </c>
      <c r="J25" s="22">
        <v>3</v>
      </c>
      <c r="K25" s="22">
        <v>3</v>
      </c>
      <c r="L25" s="22">
        <v>3</v>
      </c>
      <c r="M25" s="22">
        <v>3</v>
      </c>
      <c r="N25" s="22"/>
      <c r="O25" s="20">
        <f t="shared" si="1"/>
        <v>7</v>
      </c>
      <c r="P25" s="22">
        <v>3</v>
      </c>
      <c r="Q25" s="22">
        <v>3</v>
      </c>
      <c r="R25" s="22">
        <v>3</v>
      </c>
      <c r="S25" s="22">
        <v>3</v>
      </c>
      <c r="V25" s="20">
        <f t="shared" si="2"/>
        <v>7</v>
      </c>
      <c r="W25" s="22">
        <v>3</v>
      </c>
      <c r="X25">
        <v>3</v>
      </c>
      <c r="Z25" t="s">
        <v>53</v>
      </c>
      <c r="AA25" s="37"/>
      <c r="AB25" s="37"/>
      <c r="AC25" s="37"/>
    </row>
    <row r="26" spans="1:29" x14ac:dyDescent="0.75">
      <c r="A26" s="21">
        <f t="shared" si="0"/>
        <v>8</v>
      </c>
      <c r="B26" s="23">
        <v>3</v>
      </c>
      <c r="C26" s="23">
        <v>3</v>
      </c>
      <c r="D26" s="45">
        <v>3</v>
      </c>
      <c r="E26" s="23">
        <v>3</v>
      </c>
      <c r="F26" s="23">
        <v>3</v>
      </c>
      <c r="G26" s="23">
        <v>3</v>
      </c>
      <c r="H26" s="23">
        <v>3</v>
      </c>
      <c r="I26" s="23">
        <v>3</v>
      </c>
      <c r="J26" s="23">
        <v>3</v>
      </c>
      <c r="K26" s="23">
        <v>3</v>
      </c>
      <c r="L26" s="23">
        <v>3</v>
      </c>
      <c r="M26" s="23">
        <v>3</v>
      </c>
      <c r="N26" s="22"/>
      <c r="O26" s="21">
        <f t="shared" si="1"/>
        <v>8</v>
      </c>
      <c r="P26" s="23">
        <v>3</v>
      </c>
      <c r="Q26" s="23">
        <v>3</v>
      </c>
      <c r="R26" s="23">
        <v>3</v>
      </c>
      <c r="S26" s="23">
        <v>3</v>
      </c>
      <c r="V26" s="20">
        <f t="shared" si="2"/>
        <v>8</v>
      </c>
      <c r="W26" s="22">
        <v>3</v>
      </c>
      <c r="X26">
        <v>3</v>
      </c>
      <c r="AA26" s="37"/>
      <c r="AB26" s="37"/>
      <c r="AC26" s="37"/>
    </row>
    <row r="27" spans="1:29" x14ac:dyDescent="0.75">
      <c r="A27" s="20">
        <f t="shared" si="0"/>
        <v>9</v>
      </c>
      <c r="B27" s="22">
        <v>3</v>
      </c>
      <c r="C27" s="22">
        <v>3</v>
      </c>
      <c r="D27" s="41">
        <v>3</v>
      </c>
      <c r="E27" s="22">
        <v>3</v>
      </c>
      <c r="F27" s="22">
        <v>3</v>
      </c>
      <c r="G27" s="22">
        <v>3</v>
      </c>
      <c r="H27" s="22">
        <v>3</v>
      </c>
      <c r="I27" s="22">
        <v>3</v>
      </c>
      <c r="J27" s="22">
        <v>3</v>
      </c>
      <c r="K27" s="22">
        <v>3</v>
      </c>
      <c r="L27" s="22">
        <v>3</v>
      </c>
      <c r="M27" s="22">
        <v>3</v>
      </c>
      <c r="N27" s="22"/>
      <c r="O27" s="20">
        <f t="shared" si="1"/>
        <v>9</v>
      </c>
      <c r="P27" s="22">
        <v>3</v>
      </c>
      <c r="Q27" s="22">
        <v>3</v>
      </c>
      <c r="R27" s="22">
        <v>3</v>
      </c>
      <c r="S27" s="22">
        <v>3</v>
      </c>
      <c r="V27" s="20">
        <f t="shared" si="2"/>
        <v>9</v>
      </c>
      <c r="W27" s="22">
        <v>3</v>
      </c>
      <c r="X27">
        <v>3</v>
      </c>
      <c r="AA27" s="37"/>
      <c r="AB27" s="37"/>
      <c r="AC27" s="37"/>
    </row>
    <row r="28" spans="1:29" x14ac:dyDescent="0.75">
      <c r="A28" s="20">
        <f t="shared" si="0"/>
        <v>10</v>
      </c>
      <c r="B28" s="22">
        <v>3</v>
      </c>
      <c r="C28" s="22">
        <v>3</v>
      </c>
      <c r="D28" s="41">
        <v>3</v>
      </c>
      <c r="E28" s="22">
        <v>3</v>
      </c>
      <c r="F28" s="22">
        <v>3</v>
      </c>
      <c r="G28" s="22">
        <v>3</v>
      </c>
      <c r="H28" s="22">
        <v>3</v>
      </c>
      <c r="I28" s="22">
        <v>3</v>
      </c>
      <c r="J28" s="22">
        <v>3</v>
      </c>
      <c r="K28" s="22">
        <v>3</v>
      </c>
      <c r="L28" s="22">
        <v>3</v>
      </c>
      <c r="M28" s="22">
        <v>3</v>
      </c>
      <c r="N28" s="22"/>
      <c r="O28" s="20">
        <f t="shared" si="1"/>
        <v>10</v>
      </c>
      <c r="P28" s="22">
        <v>3</v>
      </c>
      <c r="Q28" s="22">
        <v>3</v>
      </c>
      <c r="R28" s="22">
        <v>3</v>
      </c>
      <c r="S28" s="22">
        <v>3</v>
      </c>
      <c r="V28" s="20">
        <f t="shared" si="2"/>
        <v>10</v>
      </c>
      <c r="W28" s="22">
        <v>3</v>
      </c>
      <c r="X28">
        <v>3</v>
      </c>
      <c r="AA28" s="37"/>
      <c r="AB28" s="37"/>
      <c r="AC28" s="37"/>
    </row>
    <row r="29" spans="1:29" x14ac:dyDescent="0.75">
      <c r="A29" s="20">
        <f t="shared" si="0"/>
        <v>11</v>
      </c>
      <c r="B29" s="22">
        <v>3</v>
      </c>
      <c r="C29" s="22">
        <v>3</v>
      </c>
      <c r="D29" s="41">
        <v>3</v>
      </c>
      <c r="E29" s="22">
        <v>3</v>
      </c>
      <c r="F29" s="22">
        <v>3</v>
      </c>
      <c r="G29" s="22">
        <v>3</v>
      </c>
      <c r="H29" s="22">
        <v>3</v>
      </c>
      <c r="I29" s="22">
        <v>3</v>
      </c>
      <c r="J29" s="22">
        <v>3</v>
      </c>
      <c r="K29" s="22">
        <v>3</v>
      </c>
      <c r="L29" s="22">
        <v>3</v>
      </c>
      <c r="M29" s="22">
        <v>3</v>
      </c>
      <c r="N29" s="22"/>
      <c r="O29" s="20">
        <f t="shared" si="1"/>
        <v>11</v>
      </c>
      <c r="P29" s="22">
        <v>3</v>
      </c>
      <c r="Q29" s="22">
        <v>3</v>
      </c>
      <c r="R29" s="22">
        <v>3</v>
      </c>
      <c r="S29" s="22">
        <v>3</v>
      </c>
      <c r="V29" s="20">
        <f t="shared" si="2"/>
        <v>11</v>
      </c>
      <c r="W29" s="22">
        <v>3</v>
      </c>
      <c r="X29">
        <v>3</v>
      </c>
      <c r="AA29" s="37"/>
      <c r="AB29" s="37"/>
      <c r="AC29" s="37"/>
    </row>
    <row r="30" spans="1:29" x14ac:dyDescent="0.75">
      <c r="A30" s="21">
        <f t="shared" si="0"/>
        <v>12</v>
      </c>
      <c r="B30" s="23">
        <v>3</v>
      </c>
      <c r="C30" s="23">
        <v>3</v>
      </c>
      <c r="D30" s="45">
        <v>3</v>
      </c>
      <c r="E30" s="23">
        <v>3</v>
      </c>
      <c r="F30" s="23">
        <v>3</v>
      </c>
      <c r="G30" s="23">
        <v>3</v>
      </c>
      <c r="H30" s="23">
        <v>3</v>
      </c>
      <c r="I30" s="23">
        <v>3</v>
      </c>
      <c r="J30" s="23">
        <v>3</v>
      </c>
      <c r="K30" s="23">
        <v>3</v>
      </c>
      <c r="L30" s="23">
        <v>3</v>
      </c>
      <c r="M30" s="23">
        <v>3</v>
      </c>
      <c r="N30" s="22"/>
      <c r="O30" s="21">
        <f t="shared" si="1"/>
        <v>12</v>
      </c>
      <c r="P30" s="23">
        <v>3</v>
      </c>
      <c r="Q30" s="23">
        <v>3</v>
      </c>
      <c r="R30" s="23">
        <v>3</v>
      </c>
      <c r="S30" s="23">
        <v>3</v>
      </c>
      <c r="V30" s="20">
        <f t="shared" si="2"/>
        <v>12</v>
      </c>
      <c r="W30" s="22">
        <v>3</v>
      </c>
      <c r="X30">
        <v>3</v>
      </c>
      <c r="AA30" s="37"/>
      <c r="AB30" s="37"/>
      <c r="AC30" s="37"/>
    </row>
    <row r="31" spans="1:29" x14ac:dyDescent="0.75">
      <c r="A31" s="20">
        <f t="shared" si="0"/>
        <v>13</v>
      </c>
      <c r="B31" s="22">
        <v>3</v>
      </c>
      <c r="C31" s="22">
        <v>3</v>
      </c>
      <c r="D31" s="41">
        <v>3</v>
      </c>
      <c r="E31" s="46">
        <v>3</v>
      </c>
      <c r="F31" s="22">
        <v>3</v>
      </c>
      <c r="G31" s="22">
        <v>3</v>
      </c>
      <c r="H31" s="22">
        <v>3</v>
      </c>
      <c r="I31" s="22">
        <v>3</v>
      </c>
      <c r="J31" s="22">
        <v>3</v>
      </c>
      <c r="K31" s="22">
        <v>3</v>
      </c>
      <c r="L31" s="22">
        <v>3</v>
      </c>
      <c r="M31" s="22">
        <v>2.5</v>
      </c>
      <c r="N31" s="22"/>
      <c r="O31" s="20">
        <f t="shared" si="1"/>
        <v>13</v>
      </c>
      <c r="P31" s="22">
        <v>2</v>
      </c>
      <c r="Q31" s="22">
        <v>3</v>
      </c>
      <c r="R31" s="22">
        <v>3</v>
      </c>
      <c r="S31" s="22">
        <v>2.75</v>
      </c>
      <c r="V31" s="20">
        <f t="shared" si="2"/>
        <v>13</v>
      </c>
      <c r="W31" s="22">
        <v>3</v>
      </c>
      <c r="X31">
        <v>3</v>
      </c>
      <c r="AA31" s="37"/>
      <c r="AB31" s="37"/>
      <c r="AC31" s="37"/>
    </row>
    <row r="32" spans="1:29" x14ac:dyDescent="0.75">
      <c r="A32" s="20">
        <f t="shared" si="0"/>
        <v>14</v>
      </c>
      <c r="B32" s="22">
        <v>3</v>
      </c>
      <c r="C32" s="22">
        <v>3</v>
      </c>
      <c r="D32" s="41">
        <v>3</v>
      </c>
      <c r="E32" s="22">
        <v>3</v>
      </c>
      <c r="F32" s="22">
        <v>3</v>
      </c>
      <c r="G32" s="22">
        <v>3</v>
      </c>
      <c r="H32" s="22">
        <v>3</v>
      </c>
      <c r="I32" s="22">
        <v>3</v>
      </c>
      <c r="J32" s="22">
        <v>3</v>
      </c>
      <c r="K32" s="22">
        <v>3</v>
      </c>
      <c r="L32" s="22">
        <v>3</v>
      </c>
      <c r="M32" s="22">
        <v>2.5</v>
      </c>
      <c r="N32" s="22"/>
      <c r="O32" s="20">
        <f t="shared" si="1"/>
        <v>14</v>
      </c>
      <c r="P32" s="22">
        <v>2</v>
      </c>
      <c r="Q32" s="22">
        <v>3</v>
      </c>
      <c r="R32" s="22">
        <v>3</v>
      </c>
      <c r="S32" s="22">
        <v>2.75</v>
      </c>
      <c r="V32" s="20">
        <f t="shared" si="2"/>
        <v>14</v>
      </c>
      <c r="W32" s="22">
        <v>3</v>
      </c>
      <c r="X32">
        <v>3</v>
      </c>
      <c r="AA32" s="37"/>
      <c r="AB32" s="37"/>
      <c r="AC32" s="37"/>
    </row>
    <row r="33" spans="1:30" x14ac:dyDescent="0.75">
      <c r="A33" s="20">
        <f t="shared" si="0"/>
        <v>15</v>
      </c>
      <c r="B33" s="22">
        <v>3</v>
      </c>
      <c r="C33" s="22">
        <v>3</v>
      </c>
      <c r="D33" s="41">
        <v>3</v>
      </c>
      <c r="E33" s="22">
        <v>3</v>
      </c>
      <c r="F33" s="22">
        <v>3</v>
      </c>
      <c r="G33" s="22">
        <v>3</v>
      </c>
      <c r="H33" s="22">
        <v>3</v>
      </c>
      <c r="I33" s="22">
        <v>3</v>
      </c>
      <c r="J33" s="22">
        <v>3</v>
      </c>
      <c r="K33" s="22">
        <v>3</v>
      </c>
      <c r="L33" s="22">
        <v>3</v>
      </c>
      <c r="M33" s="22">
        <v>2.5</v>
      </c>
      <c r="N33" s="22"/>
      <c r="O33" s="20">
        <f t="shared" si="1"/>
        <v>15</v>
      </c>
      <c r="P33" s="22">
        <v>2</v>
      </c>
      <c r="Q33" s="22">
        <v>3</v>
      </c>
      <c r="R33" s="22">
        <v>3</v>
      </c>
      <c r="S33" s="22">
        <v>2.75</v>
      </c>
      <c r="V33" s="20">
        <f t="shared" si="2"/>
        <v>15</v>
      </c>
      <c r="W33" s="22">
        <v>3</v>
      </c>
      <c r="X33">
        <v>3</v>
      </c>
      <c r="AA33" s="37"/>
      <c r="AB33" s="37"/>
      <c r="AC33" s="37"/>
    </row>
    <row r="34" spans="1:30" x14ac:dyDescent="0.75">
      <c r="A34" s="21">
        <f t="shared" si="0"/>
        <v>16</v>
      </c>
      <c r="B34" s="23">
        <v>3</v>
      </c>
      <c r="C34" s="23">
        <v>3</v>
      </c>
      <c r="D34" s="45">
        <v>3</v>
      </c>
      <c r="E34" s="23">
        <v>3</v>
      </c>
      <c r="F34" s="23">
        <v>3</v>
      </c>
      <c r="G34" s="23">
        <v>3</v>
      </c>
      <c r="H34" s="23">
        <v>3</v>
      </c>
      <c r="I34" s="23">
        <v>3</v>
      </c>
      <c r="J34" s="23">
        <v>3</v>
      </c>
      <c r="K34" s="23">
        <v>3</v>
      </c>
      <c r="L34" s="23">
        <v>3</v>
      </c>
      <c r="M34" s="23">
        <v>2.5</v>
      </c>
      <c r="N34" s="22"/>
      <c r="O34" s="21">
        <f t="shared" si="1"/>
        <v>16</v>
      </c>
      <c r="P34" s="23">
        <v>2</v>
      </c>
      <c r="Q34" s="23">
        <v>3</v>
      </c>
      <c r="R34" s="23">
        <v>3</v>
      </c>
      <c r="S34" s="23">
        <v>2.75</v>
      </c>
      <c r="V34" s="21">
        <f t="shared" si="2"/>
        <v>16</v>
      </c>
      <c r="W34" s="23">
        <v>3</v>
      </c>
      <c r="X34" s="11">
        <v>3</v>
      </c>
      <c r="AA34" s="37"/>
      <c r="AB34" s="37"/>
      <c r="AC34" s="37"/>
    </row>
    <row r="35" spans="1:30" x14ac:dyDescent="0.75">
      <c r="A35" s="20">
        <f t="shared" si="0"/>
        <v>17</v>
      </c>
      <c r="B35" s="46">
        <v>3</v>
      </c>
      <c r="C35" s="22">
        <v>3</v>
      </c>
      <c r="D35" s="41">
        <v>3</v>
      </c>
      <c r="E35" s="22">
        <v>3</v>
      </c>
      <c r="F35" s="22">
        <v>3</v>
      </c>
      <c r="G35" s="22">
        <v>3</v>
      </c>
      <c r="H35" s="46">
        <v>3</v>
      </c>
      <c r="I35" s="46">
        <v>3</v>
      </c>
      <c r="J35" s="46">
        <v>3</v>
      </c>
      <c r="K35" s="22">
        <v>3</v>
      </c>
      <c r="L35" s="46">
        <v>3</v>
      </c>
      <c r="M35" s="46">
        <v>2.5</v>
      </c>
      <c r="N35" s="22"/>
      <c r="O35" s="20">
        <f t="shared" si="1"/>
        <v>17</v>
      </c>
      <c r="P35" s="22">
        <v>2</v>
      </c>
      <c r="Q35" s="22">
        <v>3</v>
      </c>
      <c r="R35" s="22">
        <v>3</v>
      </c>
      <c r="S35" s="22">
        <v>2.75</v>
      </c>
      <c r="V35" s="20">
        <f t="shared" si="2"/>
        <v>17</v>
      </c>
      <c r="W35" s="22">
        <v>3</v>
      </c>
      <c r="X35">
        <v>3</v>
      </c>
      <c r="AA35" s="37"/>
    </row>
    <row r="36" spans="1:30" x14ac:dyDescent="0.75">
      <c r="A36" s="20">
        <f t="shared" si="0"/>
        <v>18</v>
      </c>
      <c r="B36" s="22">
        <v>3</v>
      </c>
      <c r="C36" s="22">
        <v>3</v>
      </c>
      <c r="D36" s="41">
        <v>3</v>
      </c>
      <c r="E36" s="46">
        <v>3</v>
      </c>
      <c r="F36" s="22">
        <v>3</v>
      </c>
      <c r="G36" s="22">
        <v>3</v>
      </c>
      <c r="H36" s="22">
        <v>2</v>
      </c>
      <c r="I36" s="22">
        <v>3</v>
      </c>
      <c r="J36" s="22">
        <v>3</v>
      </c>
      <c r="K36" s="22">
        <v>3</v>
      </c>
      <c r="L36" s="22">
        <v>2.75</v>
      </c>
      <c r="M36" s="22">
        <v>2</v>
      </c>
      <c r="N36" s="22"/>
      <c r="O36" s="20">
        <f t="shared" si="1"/>
        <v>18</v>
      </c>
      <c r="P36" s="22">
        <v>2</v>
      </c>
      <c r="Q36" s="22">
        <v>3</v>
      </c>
      <c r="R36" s="22">
        <v>2.75</v>
      </c>
      <c r="S36" s="22">
        <v>2.75</v>
      </c>
      <c r="V36" s="20">
        <f t="shared" si="2"/>
        <v>18</v>
      </c>
      <c r="W36" s="22">
        <v>3</v>
      </c>
      <c r="X36">
        <v>3</v>
      </c>
      <c r="Z36" s="28" t="s">
        <v>54</v>
      </c>
      <c r="AA36" s="4"/>
      <c r="AB36" s="4"/>
      <c r="AC36" s="4"/>
      <c r="AD36" t="s">
        <v>78</v>
      </c>
    </row>
    <row r="37" spans="1:30" x14ac:dyDescent="0.75">
      <c r="A37" s="20">
        <f t="shared" si="0"/>
        <v>19</v>
      </c>
      <c r="B37" s="22">
        <v>3</v>
      </c>
      <c r="C37" s="22">
        <v>3</v>
      </c>
      <c r="D37" s="41">
        <v>3</v>
      </c>
      <c r="E37" s="22">
        <v>2</v>
      </c>
      <c r="F37" s="22">
        <v>3</v>
      </c>
      <c r="G37" s="22">
        <v>3</v>
      </c>
      <c r="H37" s="22">
        <v>2</v>
      </c>
      <c r="I37" s="22">
        <v>3</v>
      </c>
      <c r="J37" s="22">
        <v>3</v>
      </c>
      <c r="K37" s="22">
        <v>3</v>
      </c>
      <c r="L37" s="22">
        <v>2.75</v>
      </c>
      <c r="M37" s="22">
        <v>2</v>
      </c>
      <c r="N37" s="22"/>
      <c r="O37" s="20">
        <f t="shared" si="1"/>
        <v>19</v>
      </c>
      <c r="P37" s="22">
        <v>2</v>
      </c>
      <c r="Q37" s="22">
        <v>3</v>
      </c>
      <c r="R37" s="22">
        <v>2.75</v>
      </c>
      <c r="S37" s="22">
        <v>2.75</v>
      </c>
      <c r="V37" s="20">
        <f t="shared" si="2"/>
        <v>19</v>
      </c>
      <c r="W37" s="22">
        <v>3</v>
      </c>
      <c r="X37">
        <v>3</v>
      </c>
      <c r="Z37" s="29" t="s">
        <v>0</v>
      </c>
      <c r="AA37" s="32">
        <v>19</v>
      </c>
      <c r="AB37" s="29">
        <v>20</v>
      </c>
      <c r="AC37" s="29">
        <v>21</v>
      </c>
    </row>
    <row r="38" spans="1:30" x14ac:dyDescent="0.75">
      <c r="A38" s="20">
        <f t="shared" si="0"/>
        <v>20</v>
      </c>
      <c r="B38" s="22">
        <v>3</v>
      </c>
      <c r="C38" s="22">
        <v>3</v>
      </c>
      <c r="D38" s="41">
        <v>3</v>
      </c>
      <c r="E38" s="22">
        <v>2</v>
      </c>
      <c r="F38" s="22">
        <v>3</v>
      </c>
      <c r="G38" s="22">
        <v>3</v>
      </c>
      <c r="H38" s="22">
        <v>2</v>
      </c>
      <c r="I38" s="22">
        <v>3</v>
      </c>
      <c r="J38" s="22">
        <v>3</v>
      </c>
      <c r="K38" s="22">
        <v>3</v>
      </c>
      <c r="L38" s="22">
        <v>2.75</v>
      </c>
      <c r="M38" s="22">
        <v>2</v>
      </c>
      <c r="N38" s="22"/>
      <c r="O38" s="20">
        <f t="shared" si="1"/>
        <v>20</v>
      </c>
      <c r="P38" s="22">
        <v>2</v>
      </c>
      <c r="Q38" s="22">
        <v>3</v>
      </c>
      <c r="R38" s="22">
        <v>2.75</v>
      </c>
      <c r="S38" s="22">
        <v>2.75</v>
      </c>
      <c r="V38" s="20">
        <f>V37+1</f>
        <v>20</v>
      </c>
      <c r="W38" s="22">
        <v>3</v>
      </c>
      <c r="X38">
        <v>3</v>
      </c>
      <c r="Z38" s="29" t="s">
        <v>13</v>
      </c>
      <c r="AA38" s="32">
        <v>5</v>
      </c>
      <c r="AB38" s="32">
        <v>5</v>
      </c>
      <c r="AC38" s="32">
        <v>5</v>
      </c>
    </row>
    <row r="39" spans="1:30" x14ac:dyDescent="0.75">
      <c r="A39" s="21">
        <f t="shared" si="0"/>
        <v>21</v>
      </c>
      <c r="B39" s="23">
        <v>3</v>
      </c>
      <c r="C39" s="23">
        <v>3</v>
      </c>
      <c r="D39" s="45">
        <v>3</v>
      </c>
      <c r="E39" s="23">
        <v>2</v>
      </c>
      <c r="F39" s="23">
        <v>3</v>
      </c>
      <c r="G39" s="23">
        <v>3</v>
      </c>
      <c r="H39" s="23">
        <v>2</v>
      </c>
      <c r="I39" s="23">
        <v>3</v>
      </c>
      <c r="J39" s="23">
        <v>3</v>
      </c>
      <c r="K39" s="23">
        <v>3</v>
      </c>
      <c r="L39" s="23">
        <v>2.75</v>
      </c>
      <c r="M39" s="23">
        <v>2</v>
      </c>
      <c r="N39" s="23"/>
      <c r="O39" s="21">
        <f t="shared" si="1"/>
        <v>21</v>
      </c>
      <c r="P39" s="23">
        <v>2</v>
      </c>
      <c r="Q39" s="23">
        <v>3</v>
      </c>
      <c r="R39" s="23">
        <v>2.75</v>
      </c>
      <c r="S39" s="23">
        <v>2.75</v>
      </c>
      <c r="V39" s="20">
        <f t="shared" si="2"/>
        <v>21</v>
      </c>
      <c r="W39" s="22">
        <v>2</v>
      </c>
      <c r="X39">
        <v>2</v>
      </c>
      <c r="Z39" s="29" t="s">
        <v>4</v>
      </c>
      <c r="AA39" s="33">
        <f>AVERAGE(AA19:AA24)</f>
        <v>2.9111111111111114</v>
      </c>
      <c r="AB39" s="33">
        <f>AVERAGE(AB19:AB24)</f>
        <v>2.8333333333333335</v>
      </c>
      <c r="AC39" s="33">
        <f>AVERAGE(AC19:AC24)</f>
        <v>2.8000000000000003</v>
      </c>
      <c r="AD39" s="24">
        <f>AVERAGE(AA39:AC39)</f>
        <v>2.8481481481481485</v>
      </c>
    </row>
    <row r="40" spans="1:30" x14ac:dyDescent="0.75">
      <c r="A40" s="20">
        <f t="shared" si="0"/>
        <v>22</v>
      </c>
      <c r="B40" s="46">
        <v>3</v>
      </c>
      <c r="C40" s="22">
        <v>3</v>
      </c>
      <c r="D40" s="41">
        <v>3</v>
      </c>
      <c r="E40" s="46">
        <v>2</v>
      </c>
      <c r="F40" s="22">
        <v>3</v>
      </c>
      <c r="G40" s="22">
        <v>3</v>
      </c>
      <c r="H40" s="22">
        <v>2</v>
      </c>
      <c r="I40" s="46">
        <v>3</v>
      </c>
      <c r="J40" s="46">
        <v>3</v>
      </c>
      <c r="K40" s="22">
        <v>2</v>
      </c>
      <c r="L40" s="22">
        <v>2</v>
      </c>
      <c r="M40" s="22">
        <v>2</v>
      </c>
      <c r="N40" s="22"/>
      <c r="O40" s="20">
        <f t="shared" si="1"/>
        <v>22</v>
      </c>
      <c r="P40" s="22">
        <v>2</v>
      </c>
      <c r="Q40" s="22">
        <v>3</v>
      </c>
      <c r="R40" s="22">
        <v>2.75</v>
      </c>
      <c r="S40" s="22">
        <v>2.75</v>
      </c>
      <c r="V40" s="20">
        <f t="shared" si="2"/>
        <v>22</v>
      </c>
      <c r="W40" s="22">
        <v>2</v>
      </c>
      <c r="X40">
        <v>2</v>
      </c>
      <c r="Z40" s="29" t="s">
        <v>5</v>
      </c>
      <c r="AA40" s="33">
        <f>STDEV(AA19:AA33)</f>
        <v>0.21773242158072689</v>
      </c>
      <c r="AB40" s="33">
        <f>STDEV(AB19:AB33)</f>
        <v>0.26759099063982872</v>
      </c>
      <c r="AC40" s="33">
        <f>STDEV(AC19:AC33)</f>
        <v>0.23008150729687074</v>
      </c>
      <c r="AD40" s="24">
        <f>AVERAGE(AA40:AC40)</f>
        <v>0.23846830650580877</v>
      </c>
    </row>
    <row r="41" spans="1:30" x14ac:dyDescent="0.75">
      <c r="A41" s="20">
        <f t="shared" si="0"/>
        <v>23</v>
      </c>
      <c r="B41" s="22">
        <v>2</v>
      </c>
      <c r="C41" s="22">
        <v>3</v>
      </c>
      <c r="D41" s="41">
        <v>2</v>
      </c>
      <c r="E41" s="22">
        <v>2</v>
      </c>
      <c r="F41" s="22">
        <v>3</v>
      </c>
      <c r="G41" s="22">
        <v>3</v>
      </c>
      <c r="H41" s="22">
        <v>2</v>
      </c>
      <c r="I41" s="22">
        <v>2</v>
      </c>
      <c r="J41" s="22">
        <v>2.75</v>
      </c>
      <c r="K41" s="22">
        <v>2</v>
      </c>
      <c r="L41" s="22">
        <v>2</v>
      </c>
      <c r="M41" s="22">
        <v>2</v>
      </c>
      <c r="N41" s="22"/>
      <c r="O41" s="20">
        <f t="shared" si="1"/>
        <v>23</v>
      </c>
      <c r="P41" s="22">
        <v>2</v>
      </c>
      <c r="Q41" s="22">
        <v>3</v>
      </c>
      <c r="R41" s="22">
        <v>2.75</v>
      </c>
      <c r="S41" s="22">
        <v>2</v>
      </c>
      <c r="V41" s="20">
        <f t="shared" si="2"/>
        <v>23</v>
      </c>
      <c r="W41" s="22">
        <v>1</v>
      </c>
      <c r="X41">
        <v>2</v>
      </c>
    </row>
    <row r="42" spans="1:30" x14ac:dyDescent="0.75">
      <c r="A42" s="20">
        <f t="shared" si="0"/>
        <v>24</v>
      </c>
      <c r="B42" s="22">
        <v>2</v>
      </c>
      <c r="C42" s="22">
        <v>3</v>
      </c>
      <c r="D42" s="41">
        <v>2</v>
      </c>
      <c r="E42" s="22">
        <v>2</v>
      </c>
      <c r="F42" s="22">
        <v>3</v>
      </c>
      <c r="G42" s="22">
        <v>3</v>
      </c>
      <c r="H42" s="22">
        <v>2</v>
      </c>
      <c r="I42" s="22">
        <v>2</v>
      </c>
      <c r="J42" s="22">
        <v>2.75</v>
      </c>
      <c r="K42" s="22">
        <v>2</v>
      </c>
      <c r="L42" s="22">
        <v>2</v>
      </c>
      <c r="M42" s="22">
        <v>2</v>
      </c>
      <c r="N42" s="22"/>
      <c r="O42" s="20">
        <f t="shared" si="1"/>
        <v>24</v>
      </c>
      <c r="P42" s="22">
        <v>2</v>
      </c>
      <c r="Q42" s="22">
        <v>3</v>
      </c>
      <c r="R42" s="22">
        <v>2.75</v>
      </c>
      <c r="S42" s="22">
        <v>2</v>
      </c>
      <c r="V42" s="20">
        <f t="shared" si="2"/>
        <v>24</v>
      </c>
      <c r="W42" s="22">
        <v>1</v>
      </c>
      <c r="X42">
        <v>1</v>
      </c>
    </row>
    <row r="43" spans="1:30" x14ac:dyDescent="0.75">
      <c r="A43" s="20">
        <f t="shared" si="0"/>
        <v>25</v>
      </c>
      <c r="B43" s="22">
        <v>2</v>
      </c>
      <c r="C43" s="22">
        <v>3</v>
      </c>
      <c r="D43" s="41">
        <v>2</v>
      </c>
      <c r="E43" s="22">
        <v>2</v>
      </c>
      <c r="F43" s="22">
        <v>3</v>
      </c>
      <c r="G43" s="22">
        <v>3</v>
      </c>
      <c r="H43" s="22">
        <v>2</v>
      </c>
      <c r="I43" s="22">
        <v>2</v>
      </c>
      <c r="J43" s="22">
        <v>2.75</v>
      </c>
      <c r="K43" s="22">
        <v>2</v>
      </c>
      <c r="L43" s="22">
        <v>2</v>
      </c>
      <c r="M43" s="22">
        <v>2</v>
      </c>
      <c r="N43" s="22"/>
      <c r="O43" s="20">
        <f t="shared" si="1"/>
        <v>25</v>
      </c>
      <c r="P43" s="22">
        <v>2</v>
      </c>
      <c r="Q43" s="22">
        <v>3</v>
      </c>
      <c r="R43" s="22">
        <v>2.75</v>
      </c>
      <c r="S43" s="22">
        <v>2</v>
      </c>
      <c r="V43" s="20">
        <f t="shared" si="2"/>
        <v>25</v>
      </c>
      <c r="W43" s="22">
        <v>1</v>
      </c>
      <c r="X43">
        <v>1</v>
      </c>
    </row>
    <row r="44" spans="1:30" x14ac:dyDescent="0.75">
      <c r="A44" s="21">
        <f t="shared" si="0"/>
        <v>26</v>
      </c>
      <c r="B44" s="23">
        <v>2</v>
      </c>
      <c r="C44" s="23">
        <v>3</v>
      </c>
      <c r="D44" s="45">
        <v>2</v>
      </c>
      <c r="E44" s="23">
        <v>2</v>
      </c>
      <c r="F44" s="23">
        <v>3</v>
      </c>
      <c r="G44" s="23">
        <v>3</v>
      </c>
      <c r="H44" s="23">
        <v>2</v>
      </c>
      <c r="I44" s="23">
        <v>2</v>
      </c>
      <c r="J44" s="23">
        <v>2.75</v>
      </c>
      <c r="K44" s="23">
        <v>2</v>
      </c>
      <c r="L44" s="23">
        <v>2</v>
      </c>
      <c r="M44" s="23">
        <v>2</v>
      </c>
      <c r="N44" s="23"/>
      <c r="O44" s="21">
        <f t="shared" si="1"/>
        <v>26</v>
      </c>
      <c r="P44" s="23">
        <v>2</v>
      </c>
      <c r="Q44" s="23">
        <v>3</v>
      </c>
      <c r="R44" s="23">
        <v>2.75</v>
      </c>
      <c r="S44" s="23">
        <v>2</v>
      </c>
      <c r="V44" s="21">
        <f t="shared" si="2"/>
        <v>26</v>
      </c>
      <c r="W44" s="23">
        <v>1</v>
      </c>
      <c r="X44" s="11">
        <v>1</v>
      </c>
    </row>
    <row r="45" spans="1:30" x14ac:dyDescent="0.75">
      <c r="A45" s="20">
        <f t="shared" si="0"/>
        <v>27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0">
        <f t="shared" si="1"/>
        <v>27</v>
      </c>
      <c r="P45" s="22"/>
      <c r="Q45" s="22"/>
      <c r="R45" s="22"/>
      <c r="S45" s="22"/>
      <c r="V45" s="20">
        <f t="shared" si="2"/>
        <v>27</v>
      </c>
      <c r="W45" s="22"/>
    </row>
    <row r="46" spans="1:30" x14ac:dyDescent="0.75">
      <c r="A46" s="42"/>
    </row>
    <row r="48" spans="1:30" x14ac:dyDescent="0.75">
      <c r="A48" s="28" t="s">
        <v>31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14" t="s">
        <v>32</v>
      </c>
      <c r="P48" s="13"/>
      <c r="Q48" s="13"/>
      <c r="R48" s="13"/>
      <c r="S48" s="13"/>
      <c r="V48" s="28" t="s">
        <v>33</v>
      </c>
      <c r="W48" s="4"/>
    </row>
    <row r="49" spans="1:26" x14ac:dyDescent="0.75">
      <c r="A49" s="29" t="s">
        <v>30</v>
      </c>
      <c r="B49" s="30">
        <v>1</v>
      </c>
      <c r="C49" s="30">
        <v>2</v>
      </c>
      <c r="D49" s="30">
        <v>3</v>
      </c>
      <c r="E49" s="30">
        <v>4</v>
      </c>
      <c r="F49" s="30">
        <v>5</v>
      </c>
      <c r="G49" s="30">
        <v>6</v>
      </c>
      <c r="H49" s="30">
        <v>7</v>
      </c>
      <c r="I49" s="30">
        <v>8</v>
      </c>
      <c r="J49" s="30">
        <v>9</v>
      </c>
      <c r="K49" s="30">
        <v>10</v>
      </c>
      <c r="L49" s="30">
        <v>11</v>
      </c>
      <c r="M49" s="30">
        <v>12</v>
      </c>
      <c r="N49" s="35"/>
      <c r="O49" s="29" t="s">
        <v>0</v>
      </c>
      <c r="P49" s="32">
        <v>13</v>
      </c>
      <c r="Q49" s="29">
        <v>14</v>
      </c>
      <c r="R49" s="29">
        <v>15</v>
      </c>
      <c r="S49" s="29">
        <v>16</v>
      </c>
      <c r="V49" s="29" t="s">
        <v>0</v>
      </c>
      <c r="W49" s="32">
        <v>17</v>
      </c>
      <c r="X49" s="29">
        <v>18</v>
      </c>
    </row>
    <row r="50" spans="1:26" x14ac:dyDescent="0.75">
      <c r="A50" s="29" t="s">
        <v>13</v>
      </c>
      <c r="B50" s="30" t="s">
        <v>16</v>
      </c>
      <c r="C50" s="30" t="s">
        <v>15</v>
      </c>
      <c r="D50" s="30" t="s">
        <v>34</v>
      </c>
      <c r="E50" s="30">
        <v>3</v>
      </c>
      <c r="F50" s="30" t="s">
        <v>16</v>
      </c>
      <c r="G50" s="30" t="s">
        <v>35</v>
      </c>
      <c r="H50" s="30" t="s">
        <v>12</v>
      </c>
      <c r="I50" s="30" t="s">
        <v>12</v>
      </c>
      <c r="J50" s="30" t="s">
        <v>17</v>
      </c>
      <c r="K50" s="30" t="s">
        <v>12</v>
      </c>
      <c r="L50" s="30" t="s">
        <v>12</v>
      </c>
      <c r="M50" s="30" t="s">
        <v>12</v>
      </c>
      <c r="N50" s="35"/>
      <c r="O50" s="29" t="s">
        <v>13</v>
      </c>
      <c r="P50" s="32">
        <v>3</v>
      </c>
      <c r="Q50" s="32">
        <v>3</v>
      </c>
      <c r="R50" s="32">
        <v>3</v>
      </c>
      <c r="S50" s="32">
        <v>3</v>
      </c>
      <c r="V50" s="29" t="s">
        <v>13</v>
      </c>
      <c r="W50" s="32">
        <v>4</v>
      </c>
      <c r="X50" s="32">
        <v>4</v>
      </c>
    </row>
    <row r="51" spans="1:26" x14ac:dyDescent="0.75">
      <c r="A51" s="29" t="s">
        <v>4</v>
      </c>
      <c r="B51" s="31">
        <f>AVERAGE(B19:B44)</f>
        <v>2.8461538461538463</v>
      </c>
      <c r="C51" s="31">
        <f>AVERAGE(C19:C44)</f>
        <v>3</v>
      </c>
      <c r="D51" s="31">
        <f>AVERAGE(D19:D45)</f>
        <v>2.8461538461538463</v>
      </c>
      <c r="E51" s="31">
        <f>AVERAGE(E19:E45)</f>
        <v>2.6923076923076925</v>
      </c>
      <c r="F51" s="31">
        <f>AVERAGE(F19:F45)</f>
        <v>3</v>
      </c>
      <c r="G51" s="31">
        <f>AVERAGE(G19:G45)</f>
        <v>3</v>
      </c>
      <c r="H51" s="31">
        <f>AVERAGE(H19:H45)</f>
        <v>2.6538461538461537</v>
      </c>
      <c r="I51" s="31">
        <f>AVERAGE(I19:I45)</f>
        <v>2.8461538461538463</v>
      </c>
      <c r="J51" s="31">
        <f>AVERAGE(J19:J45)</f>
        <v>2.9615384615384617</v>
      </c>
      <c r="K51" s="31">
        <f>AVERAGE(K19:K45)</f>
        <v>2.8076923076923075</v>
      </c>
      <c r="L51" s="31">
        <f>AVERAGE(L19:L45)</f>
        <v>2.7692307692307692</v>
      </c>
      <c r="M51" s="31">
        <f>AVERAGE(M19:M45)</f>
        <v>2.5576923076923075</v>
      </c>
      <c r="N51" s="36"/>
      <c r="O51" s="29" t="s">
        <v>4</v>
      </c>
      <c r="P51" s="33">
        <f>AVERAGE(P19:P44)</f>
        <v>2.4615384615384617</v>
      </c>
      <c r="Q51" s="33">
        <f>AVERAGE(Q19:Q45)</f>
        <v>3</v>
      </c>
      <c r="R51" s="33">
        <f>AVERAGE(R19:R44)</f>
        <v>2.9134615384615383</v>
      </c>
      <c r="S51" s="33">
        <f>AVERAGE(S19:S44)</f>
        <v>2.75</v>
      </c>
      <c r="V51" s="29" t="s">
        <v>4</v>
      </c>
      <c r="W51" s="33">
        <f>AVERAGE(W19:W45)</f>
        <v>2.6153846153846154</v>
      </c>
      <c r="X51" s="33">
        <f>AVERAGE(X19:X45)</f>
        <v>2.6538461538461537</v>
      </c>
    </row>
    <row r="52" spans="1:26" x14ac:dyDescent="0.75">
      <c r="A52" s="29" t="s">
        <v>5</v>
      </c>
      <c r="B52" s="31">
        <f>STDEV(B19:B45)</f>
        <v>0.36794648440312006</v>
      </c>
      <c r="C52" s="31">
        <f>STDEV(C19:C45)</f>
        <v>0</v>
      </c>
      <c r="D52" s="31">
        <f>STDEV(D19:D45)</f>
        <v>0.36794648440312006</v>
      </c>
      <c r="E52" s="31">
        <f>STDEV(E19:E45)</f>
        <v>0.47067872433164204</v>
      </c>
      <c r="F52" s="31">
        <f>STDEV(F19:F45)</f>
        <v>0</v>
      </c>
      <c r="G52" s="31">
        <f>STDEV(G19:G45)</f>
        <v>0</v>
      </c>
      <c r="H52" s="31">
        <f>STDEV(H19:H45)</f>
        <v>0.48516452403758403</v>
      </c>
      <c r="I52" s="31">
        <f>STDEV(I19:I45)</f>
        <v>0.36794648440312006</v>
      </c>
      <c r="J52" s="31">
        <f>STDEV(J19:J45)</f>
        <v>9.1986621100779972E-2</v>
      </c>
      <c r="K52" s="31">
        <f>STDEV(K19:K45)</f>
        <v>0.40191847623425064</v>
      </c>
      <c r="L52" s="31">
        <f>STDEV(L19:L45)</f>
        <v>0.39321162828098627</v>
      </c>
      <c r="M52" s="31">
        <f>STDEV(M19:M45)</f>
        <v>0.45446502784973664</v>
      </c>
      <c r="N52" s="36"/>
      <c r="O52" s="29" t="s">
        <v>5</v>
      </c>
      <c r="P52" s="33">
        <f>STDEV(P19:P44)</f>
        <v>0.50839112744179371</v>
      </c>
      <c r="Q52" s="33">
        <f>STDEV(Q19:Q45)</f>
        <v>0</v>
      </c>
      <c r="R52" s="33">
        <f>STDEV(R19:R44)</f>
        <v>0.12129113100939601</v>
      </c>
      <c r="S52" s="33">
        <f>STDEV(S19:S44)</f>
        <v>0.34641016151377546</v>
      </c>
      <c r="V52" s="29" t="s">
        <v>5</v>
      </c>
      <c r="W52" s="33">
        <f>STDEV(W19:W45)</f>
        <v>0.75243195450076839</v>
      </c>
      <c r="X52" s="33">
        <f>STDEV(X19:X45)</f>
        <v>0.68948141047066347</v>
      </c>
    </row>
    <row r="53" spans="1:26" x14ac:dyDescent="0.75">
      <c r="A53" s="16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26" x14ac:dyDescent="0.75">
      <c r="A54" s="16" t="s">
        <v>4</v>
      </c>
      <c r="B54" s="7">
        <f>AVERAGE(B51:M51,P51:S51,W51:X51)</f>
        <v>2.7986111111111112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V54" t="s">
        <v>73</v>
      </c>
      <c r="W54">
        <v>20</v>
      </c>
      <c r="X54">
        <v>20</v>
      </c>
      <c r="Y54">
        <v>22</v>
      </c>
      <c r="Z54" s="43">
        <f>AVERAGE(W54:Y54)</f>
        <v>20.666666666666668</v>
      </c>
    </row>
    <row r="55" spans="1:26" x14ac:dyDescent="0.75">
      <c r="A55" s="15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4"/>
      <c r="N55" s="4"/>
      <c r="V55" t="s">
        <v>74</v>
      </c>
      <c r="W55">
        <v>2</v>
      </c>
      <c r="X55">
        <v>3</v>
      </c>
      <c r="Y55">
        <v>4</v>
      </c>
      <c r="Z55" s="43">
        <f t="shared" ref="Z55:Z56" si="3">AVERAGE(W55:Y55)</f>
        <v>3</v>
      </c>
    </row>
    <row r="56" spans="1:26" x14ac:dyDescent="0.75">
      <c r="A56" s="16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V56" t="s">
        <v>75</v>
      </c>
      <c r="W56">
        <v>4</v>
      </c>
      <c r="X56">
        <v>3</v>
      </c>
      <c r="Y56">
        <v>0</v>
      </c>
      <c r="Z56" s="43">
        <f t="shared" si="3"/>
        <v>2.3333333333333335</v>
      </c>
    </row>
    <row r="57" spans="1:26" x14ac:dyDescent="0.75">
      <c r="V57" t="s">
        <v>76</v>
      </c>
      <c r="W57">
        <f>SUM(W54:W56)</f>
        <v>26</v>
      </c>
      <c r="X57">
        <f t="shared" ref="X57:Z57" si="4">SUM(X54:X56)</f>
        <v>26</v>
      </c>
      <c r="Y57">
        <f t="shared" si="4"/>
        <v>26</v>
      </c>
      <c r="Z57">
        <f t="shared" si="4"/>
        <v>26</v>
      </c>
    </row>
    <row r="58" spans="1:26" x14ac:dyDescent="0.75">
      <c r="A58" s="8" t="s">
        <v>29</v>
      </c>
      <c r="B58" s="5"/>
      <c r="C58" s="5"/>
      <c r="D58" s="5"/>
      <c r="E58" s="5"/>
      <c r="F58" s="5"/>
      <c r="G58" s="10"/>
      <c r="H58" s="10"/>
      <c r="I58" s="10"/>
    </row>
    <row r="59" spans="1:26" x14ac:dyDescent="0.75">
      <c r="A59" s="8"/>
      <c r="B59" s="25">
        <v>1</v>
      </c>
      <c r="C59" s="25">
        <v>3</v>
      </c>
      <c r="D59" s="25"/>
      <c r="E59" s="25">
        <v>4</v>
      </c>
      <c r="F59" s="25">
        <v>5</v>
      </c>
      <c r="G59" s="18">
        <v>6</v>
      </c>
      <c r="H59" s="18">
        <v>7</v>
      </c>
      <c r="I59" s="10"/>
    </row>
    <row r="60" spans="1:26" x14ac:dyDescent="0.75">
      <c r="A60" s="8"/>
      <c r="B60" s="25"/>
      <c r="C60" s="25"/>
      <c r="D60" s="25"/>
      <c r="E60" s="25"/>
      <c r="F60" s="25"/>
      <c r="G60" s="18"/>
      <c r="H60" s="18"/>
      <c r="I60" s="10"/>
    </row>
    <row r="61" spans="1:26" x14ac:dyDescent="0.75">
      <c r="A61" s="5" t="s">
        <v>7</v>
      </c>
      <c r="B61" s="26">
        <f>AVERAGE(B51,F51,G51,H51,I51,K51,L51,M51)</f>
        <v>2.8100961538461537</v>
      </c>
      <c r="C61" s="26">
        <f>AVERAGE(B51,C51,D51,E51,F51,H51,I51,J51,K51,L51,M51,P51,Q51,R51,S51)</f>
        <v>2.8070512820512823</v>
      </c>
      <c r="D61" s="26"/>
      <c r="E61" s="26">
        <f>AVERAGE(D51,W51,X51)</f>
        <v>2.7051282051282048</v>
      </c>
      <c r="F61" s="26">
        <f>AVERAGE(AA39:AC39)</f>
        <v>2.8481481481481485</v>
      </c>
      <c r="G61" s="26">
        <f>AVERAGE(C51,H51,I51,K51,L51,M51)</f>
        <v>2.7724358974358974</v>
      </c>
      <c r="H61" s="26">
        <f>AVERAGE(D51,G51,J51)</f>
        <v>2.9358974358974361</v>
      </c>
      <c r="I61" s="6"/>
    </row>
    <row r="62" spans="1:26" x14ac:dyDescent="0.75">
      <c r="A62" s="5" t="s">
        <v>8</v>
      </c>
      <c r="B62" s="26">
        <f>STDEV(B51,F51,G51,H51,I51,K51,L51,M51)</f>
        <v>0.1533086420574564</v>
      </c>
      <c r="C62" s="26">
        <f>STDEV(B51,C51,D51,E51,F51,H51,I51,J51,K51,L51,M51)</f>
        <v>0.14219424697592389</v>
      </c>
      <c r="D62" s="26"/>
      <c r="E62" s="26">
        <f>STDEV(D51,W51,X51)</f>
        <v>0.12363654821785847</v>
      </c>
      <c r="F62" s="26">
        <f>STDEV(AA40:AC40)</f>
        <v>2.596580497276349E-2</v>
      </c>
      <c r="G62" s="27">
        <f>STDEV(C51,H51,I51,K51,L51,M51)</f>
        <v>0.15404634411151183</v>
      </c>
      <c r="H62" s="27">
        <f>STDEV(D51,G51,J51)</f>
        <v>8.0064076902543538E-2</v>
      </c>
      <c r="I62" s="12"/>
    </row>
    <row r="64" spans="1:26" x14ac:dyDescent="0.75">
      <c r="B64" s="24"/>
    </row>
    <row r="65" spans="1:37" x14ac:dyDescent="0.75">
      <c r="A65" t="s">
        <v>77</v>
      </c>
      <c r="T65" t="s">
        <v>83</v>
      </c>
    </row>
    <row r="66" spans="1:37" x14ac:dyDescent="0.75">
      <c r="A66" s="17" t="s">
        <v>9</v>
      </c>
      <c r="B66" s="17">
        <v>1</v>
      </c>
      <c r="C66" s="17">
        <v>2</v>
      </c>
      <c r="D66" s="17">
        <v>3</v>
      </c>
      <c r="E66" s="17">
        <v>4</v>
      </c>
      <c r="F66" s="17">
        <v>5</v>
      </c>
      <c r="G66" s="17">
        <v>7</v>
      </c>
      <c r="H66" s="17">
        <v>8</v>
      </c>
      <c r="I66" s="17">
        <v>9</v>
      </c>
      <c r="J66" s="17">
        <v>10</v>
      </c>
      <c r="K66" s="17">
        <v>11</v>
      </c>
      <c r="L66" s="17">
        <v>12</v>
      </c>
      <c r="M66" s="17">
        <v>13</v>
      </c>
      <c r="N66" s="17">
        <v>14</v>
      </c>
      <c r="O66" s="17">
        <v>15</v>
      </c>
      <c r="P66" s="17">
        <v>16</v>
      </c>
      <c r="Q66" s="17">
        <v>6</v>
      </c>
      <c r="T66" s="17" t="s">
        <v>9</v>
      </c>
      <c r="U66" s="17">
        <v>1</v>
      </c>
      <c r="V66" s="17">
        <v>2</v>
      </c>
      <c r="W66" s="17">
        <v>3</v>
      </c>
      <c r="X66" s="17">
        <v>4</v>
      </c>
      <c r="Y66" s="17">
        <v>5</v>
      </c>
      <c r="Z66" s="17">
        <v>7</v>
      </c>
      <c r="AA66" s="17">
        <v>8</v>
      </c>
      <c r="AB66" s="17">
        <v>9</v>
      </c>
      <c r="AC66" s="17">
        <v>10</v>
      </c>
      <c r="AD66" s="17">
        <v>11</v>
      </c>
      <c r="AE66" s="17">
        <v>12</v>
      </c>
      <c r="AF66" s="17">
        <v>13</v>
      </c>
      <c r="AG66" s="17">
        <v>14</v>
      </c>
      <c r="AH66" s="17">
        <v>15</v>
      </c>
      <c r="AI66" s="17">
        <v>16</v>
      </c>
      <c r="AJ66" s="17">
        <v>6</v>
      </c>
    </row>
    <row r="67" spans="1:37" x14ac:dyDescent="0.75">
      <c r="A67" s="17" t="s">
        <v>13</v>
      </c>
      <c r="B67" s="17" t="s">
        <v>16</v>
      </c>
      <c r="C67" s="17" t="s">
        <v>15</v>
      </c>
      <c r="D67" s="17" t="s">
        <v>34</v>
      </c>
      <c r="E67" s="17">
        <v>3</v>
      </c>
      <c r="F67" s="18" t="s">
        <v>16</v>
      </c>
      <c r="G67" s="18" t="s">
        <v>12</v>
      </c>
      <c r="H67" s="18" t="s">
        <v>12</v>
      </c>
      <c r="I67" s="18" t="s">
        <v>17</v>
      </c>
      <c r="J67" s="18" t="s">
        <v>12</v>
      </c>
      <c r="K67" s="18" t="s">
        <v>12</v>
      </c>
      <c r="L67" s="18" t="s">
        <v>12</v>
      </c>
      <c r="M67" s="17">
        <v>3</v>
      </c>
      <c r="N67" s="17">
        <v>3</v>
      </c>
      <c r="O67" s="17">
        <v>3</v>
      </c>
      <c r="P67" s="17">
        <v>3</v>
      </c>
      <c r="Q67" s="18" t="s">
        <v>35</v>
      </c>
      <c r="T67" s="17" t="s">
        <v>13</v>
      </c>
      <c r="U67" s="17" t="s">
        <v>16</v>
      </c>
      <c r="V67" s="17" t="s">
        <v>15</v>
      </c>
      <c r="W67" s="17" t="s">
        <v>34</v>
      </c>
      <c r="X67" s="17">
        <v>3</v>
      </c>
      <c r="Y67" s="18" t="s">
        <v>16</v>
      </c>
      <c r="Z67" s="18" t="s">
        <v>12</v>
      </c>
      <c r="AA67" s="18" t="s">
        <v>12</v>
      </c>
      <c r="AB67" s="18" t="s">
        <v>17</v>
      </c>
      <c r="AC67" s="18" t="s">
        <v>12</v>
      </c>
      <c r="AD67" s="18" t="s">
        <v>12</v>
      </c>
      <c r="AE67" s="18" t="s">
        <v>12</v>
      </c>
      <c r="AF67" s="17">
        <v>3</v>
      </c>
      <c r="AG67" s="17">
        <v>3</v>
      </c>
      <c r="AH67" s="17">
        <v>3</v>
      </c>
      <c r="AI67" s="17">
        <v>3</v>
      </c>
      <c r="AJ67" s="18" t="s">
        <v>35</v>
      </c>
    </row>
    <row r="68" spans="1:37" x14ac:dyDescent="0.75">
      <c r="A68" s="2" t="s">
        <v>73</v>
      </c>
      <c r="B68" s="22">
        <v>22</v>
      </c>
      <c r="C68" s="22">
        <v>26</v>
      </c>
      <c r="D68" s="22">
        <v>22</v>
      </c>
      <c r="E68" s="22">
        <v>18</v>
      </c>
      <c r="F68" s="22">
        <v>26</v>
      </c>
      <c r="G68" s="22">
        <v>22</v>
      </c>
      <c r="H68" s="22">
        <v>22</v>
      </c>
      <c r="I68" s="22">
        <v>22</v>
      </c>
      <c r="J68" s="22">
        <v>21</v>
      </c>
      <c r="K68" s="22">
        <v>17</v>
      </c>
      <c r="L68" s="22">
        <v>12</v>
      </c>
      <c r="M68" s="22">
        <v>12</v>
      </c>
      <c r="N68" s="22">
        <v>26</v>
      </c>
      <c r="O68" s="22">
        <v>26</v>
      </c>
      <c r="P68" s="22">
        <v>22</v>
      </c>
      <c r="Q68" s="22">
        <v>17</v>
      </c>
      <c r="R68" s="43">
        <f>AVERAGE(B68:Q68)</f>
        <v>20.8125</v>
      </c>
      <c r="T68" s="2" t="s">
        <v>73</v>
      </c>
      <c r="U68" s="22">
        <v>22</v>
      </c>
      <c r="V68" s="22">
        <v>26</v>
      </c>
      <c r="W68" s="22">
        <v>22</v>
      </c>
      <c r="X68" s="22">
        <v>18</v>
      </c>
      <c r="Y68" s="22">
        <v>26</v>
      </c>
      <c r="Z68" s="22">
        <v>22</v>
      </c>
      <c r="AA68" s="22">
        <v>22</v>
      </c>
      <c r="AB68" s="22">
        <v>22</v>
      </c>
      <c r="AC68" s="22">
        <v>21</v>
      </c>
      <c r="AD68" s="22">
        <v>17</v>
      </c>
      <c r="AE68" s="22">
        <v>12</v>
      </c>
      <c r="AF68" s="22">
        <v>12</v>
      </c>
      <c r="AG68" s="22">
        <v>26</v>
      </c>
      <c r="AH68" s="22">
        <v>26</v>
      </c>
      <c r="AI68" s="22">
        <v>22</v>
      </c>
      <c r="AJ68" s="22">
        <v>17</v>
      </c>
      <c r="AK68" s="43">
        <f>AVERAGE(U68,Y68,Z68,AA68,AC68,AD68,AE68,AJ68)</f>
        <v>19.875</v>
      </c>
    </row>
    <row r="69" spans="1:37" x14ac:dyDescent="0.75">
      <c r="A69" s="2" t="s">
        <v>74</v>
      </c>
      <c r="B69" s="22">
        <v>4</v>
      </c>
      <c r="C69" s="22">
        <v>0</v>
      </c>
      <c r="D69" s="22">
        <v>4</v>
      </c>
      <c r="E69" s="22">
        <v>8</v>
      </c>
      <c r="F69" s="22">
        <v>0</v>
      </c>
      <c r="G69" s="22">
        <v>4</v>
      </c>
      <c r="H69" s="22">
        <v>4</v>
      </c>
      <c r="I69" s="22">
        <v>4</v>
      </c>
      <c r="J69" s="22">
        <v>5</v>
      </c>
      <c r="K69" s="22">
        <v>9</v>
      </c>
      <c r="L69" s="22">
        <v>14</v>
      </c>
      <c r="M69" s="22">
        <v>14</v>
      </c>
      <c r="N69" s="22">
        <v>0</v>
      </c>
      <c r="O69" s="22">
        <v>0</v>
      </c>
      <c r="P69" s="22">
        <v>4</v>
      </c>
      <c r="Q69" s="22">
        <v>9</v>
      </c>
      <c r="R69" s="43">
        <f>AVERAGE(B69:Q69)</f>
        <v>5.1875</v>
      </c>
      <c r="T69" s="2" t="s">
        <v>74</v>
      </c>
      <c r="U69" s="22">
        <v>4</v>
      </c>
      <c r="V69" s="22">
        <v>0</v>
      </c>
      <c r="W69" s="22">
        <v>4</v>
      </c>
      <c r="X69" s="22">
        <v>8</v>
      </c>
      <c r="Y69" s="22">
        <v>0</v>
      </c>
      <c r="Z69" s="22">
        <v>4</v>
      </c>
      <c r="AA69" s="22">
        <v>4</v>
      </c>
      <c r="AB69" s="22">
        <v>4</v>
      </c>
      <c r="AC69" s="22">
        <v>5</v>
      </c>
      <c r="AD69" s="22">
        <v>9</v>
      </c>
      <c r="AE69" s="22">
        <v>14</v>
      </c>
      <c r="AF69" s="22">
        <v>14</v>
      </c>
      <c r="AG69" s="22">
        <v>0</v>
      </c>
      <c r="AH69" s="22">
        <v>0</v>
      </c>
      <c r="AI69" s="22">
        <v>4</v>
      </c>
      <c r="AJ69" s="22">
        <v>9</v>
      </c>
      <c r="AK69" s="43">
        <f t="shared" ref="AK69:AK70" si="5">AVERAGE(U69,Y69,Z69,AA69,AC69,AD69,AE69,AJ69)</f>
        <v>6.125</v>
      </c>
    </row>
    <row r="70" spans="1:37" x14ac:dyDescent="0.75">
      <c r="A70" s="2" t="s">
        <v>75</v>
      </c>
      <c r="B70" s="22">
        <v>0</v>
      </c>
      <c r="C70" s="22">
        <v>0</v>
      </c>
      <c r="D70" s="22">
        <v>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43">
        <f>AVERAGE(B70:Q70)</f>
        <v>0</v>
      </c>
      <c r="T70" s="2" t="s">
        <v>75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0</v>
      </c>
      <c r="AJ70" s="22">
        <v>0</v>
      </c>
      <c r="AK70" s="43">
        <f t="shared" si="5"/>
        <v>0</v>
      </c>
    </row>
    <row r="71" spans="1:37" x14ac:dyDescent="0.75">
      <c r="A71" s="2" t="s">
        <v>76</v>
      </c>
      <c r="B71">
        <f>SUM(B68:B70)</f>
        <v>26</v>
      </c>
      <c r="C71">
        <f t="shared" ref="C71:R71" si="6">SUM(C68:C70)</f>
        <v>26</v>
      </c>
      <c r="D71">
        <f t="shared" si="6"/>
        <v>26</v>
      </c>
      <c r="E71">
        <f t="shared" si="6"/>
        <v>26</v>
      </c>
      <c r="F71">
        <f t="shared" si="6"/>
        <v>26</v>
      </c>
      <c r="G71">
        <f>SUM(Q68:Q70)</f>
        <v>26</v>
      </c>
      <c r="H71">
        <f>SUM(G68:G70)</f>
        <v>26</v>
      </c>
      <c r="I71">
        <f>SUM(H68:H70)</f>
        <v>26</v>
      </c>
      <c r="J71">
        <f>SUM(I68:I70)</f>
        <v>26</v>
      </c>
      <c r="K71">
        <f>SUM(J68:J70)</f>
        <v>26</v>
      </c>
      <c r="L71">
        <f t="shared" si="6"/>
        <v>26</v>
      </c>
      <c r="M71">
        <f t="shared" si="6"/>
        <v>26</v>
      </c>
      <c r="N71">
        <f t="shared" si="6"/>
        <v>26</v>
      </c>
      <c r="O71">
        <f t="shared" si="6"/>
        <v>26</v>
      </c>
      <c r="P71">
        <f t="shared" si="6"/>
        <v>26</v>
      </c>
      <c r="Q71">
        <f>SUM(Q68:Q70)</f>
        <v>26</v>
      </c>
      <c r="R71">
        <f t="shared" si="6"/>
        <v>26</v>
      </c>
      <c r="T71" s="2" t="s">
        <v>76</v>
      </c>
      <c r="U71">
        <f>SUM(U68:U70)</f>
        <v>26</v>
      </c>
      <c r="V71">
        <f t="shared" ref="V71:AK71" si="7">SUM(V68:V70)</f>
        <v>26</v>
      </c>
      <c r="W71">
        <f t="shared" si="7"/>
        <v>26</v>
      </c>
      <c r="X71">
        <f t="shared" si="7"/>
        <v>26</v>
      </c>
      <c r="Y71">
        <f t="shared" si="7"/>
        <v>26</v>
      </c>
      <c r="Z71">
        <f>SUM(AJ68:AJ70)</f>
        <v>26</v>
      </c>
      <c r="AA71">
        <f>SUM(Z68:Z70)</f>
        <v>26</v>
      </c>
      <c r="AB71">
        <f>SUM(AA68:AA70)</f>
        <v>26</v>
      </c>
      <c r="AC71">
        <f>SUM(AB68:AB70)</f>
        <v>26</v>
      </c>
      <c r="AD71">
        <f>SUM(AC68:AC70)</f>
        <v>26</v>
      </c>
      <c r="AE71">
        <f t="shared" ref="AE71:AK71" si="8">SUM(AE68:AE70)</f>
        <v>26</v>
      </c>
      <c r="AF71">
        <f t="shared" si="8"/>
        <v>26</v>
      </c>
      <c r="AG71">
        <f t="shared" si="8"/>
        <v>26</v>
      </c>
      <c r="AH71">
        <f t="shared" si="8"/>
        <v>26</v>
      </c>
      <c r="AI71">
        <f t="shared" si="8"/>
        <v>26</v>
      </c>
      <c r="AJ71">
        <f>SUM(AJ68:AJ70)</f>
        <v>26</v>
      </c>
      <c r="AK71">
        <f t="shared" ref="AK71" si="9">SUM(AK68:AK70)</f>
        <v>26</v>
      </c>
    </row>
    <row r="74" spans="1:37" x14ac:dyDescent="0.75">
      <c r="A74" t="s">
        <v>79</v>
      </c>
    </row>
    <row r="75" spans="1:37" x14ac:dyDescent="0.75">
      <c r="A75" s="17" t="s">
        <v>9</v>
      </c>
      <c r="B75" s="17">
        <v>1</v>
      </c>
      <c r="C75" s="17">
        <v>2</v>
      </c>
      <c r="D75" s="17">
        <v>3</v>
      </c>
      <c r="E75" s="17">
        <v>4</v>
      </c>
      <c r="F75" s="17">
        <v>5</v>
      </c>
      <c r="G75" s="17">
        <v>7</v>
      </c>
      <c r="H75" s="17">
        <v>8</v>
      </c>
      <c r="I75" s="17">
        <v>9</v>
      </c>
      <c r="J75" s="17">
        <v>10</v>
      </c>
      <c r="K75" s="17">
        <v>11</v>
      </c>
      <c r="L75" s="17">
        <v>12</v>
      </c>
      <c r="M75" s="17">
        <v>13</v>
      </c>
      <c r="N75" s="17">
        <v>14</v>
      </c>
      <c r="O75" s="17">
        <v>15</v>
      </c>
      <c r="P75" s="17">
        <v>16</v>
      </c>
      <c r="Q75" s="17">
        <v>6</v>
      </c>
      <c r="T75" t="s">
        <v>84</v>
      </c>
    </row>
    <row r="76" spans="1:37" x14ac:dyDescent="0.75">
      <c r="A76" s="17" t="s">
        <v>13</v>
      </c>
      <c r="B76" s="17" t="s">
        <v>16</v>
      </c>
      <c r="C76" s="17" t="s">
        <v>15</v>
      </c>
      <c r="D76" s="17" t="s">
        <v>34</v>
      </c>
      <c r="E76" s="17">
        <v>3</v>
      </c>
      <c r="F76" s="18" t="s">
        <v>16</v>
      </c>
      <c r="G76" s="18" t="s">
        <v>12</v>
      </c>
      <c r="H76" s="18" t="s">
        <v>12</v>
      </c>
      <c r="I76" s="18" t="s">
        <v>17</v>
      </c>
      <c r="J76" s="18" t="s">
        <v>12</v>
      </c>
      <c r="K76" s="18" t="s">
        <v>12</v>
      </c>
      <c r="L76" s="18" t="s">
        <v>12</v>
      </c>
      <c r="M76" s="17">
        <v>3</v>
      </c>
      <c r="N76" s="17">
        <v>3</v>
      </c>
      <c r="O76" s="17">
        <v>3</v>
      </c>
      <c r="P76" s="17">
        <v>3</v>
      </c>
      <c r="Q76" s="18" t="s">
        <v>35</v>
      </c>
      <c r="T76" s="17" t="s">
        <v>9</v>
      </c>
      <c r="U76" s="17">
        <v>1</v>
      </c>
      <c r="V76" s="17">
        <v>2</v>
      </c>
      <c r="W76" s="17">
        <v>3</v>
      </c>
      <c r="X76" s="17">
        <v>4</v>
      </c>
      <c r="Y76" s="17">
        <v>5</v>
      </c>
      <c r="Z76" s="17">
        <v>7</v>
      </c>
      <c r="AA76" s="17">
        <v>8</v>
      </c>
      <c r="AB76" s="17">
        <v>9</v>
      </c>
      <c r="AC76" s="17">
        <v>10</v>
      </c>
      <c r="AD76" s="17">
        <v>11</v>
      </c>
      <c r="AE76" s="17">
        <v>12</v>
      </c>
      <c r="AF76" s="17">
        <v>13</v>
      </c>
      <c r="AG76" s="17">
        <v>14</v>
      </c>
      <c r="AH76" s="17">
        <v>15</v>
      </c>
      <c r="AI76" s="17">
        <v>16</v>
      </c>
      <c r="AJ76" s="17">
        <v>6</v>
      </c>
    </row>
    <row r="77" spans="1:37" x14ac:dyDescent="0.75">
      <c r="A77" s="2" t="s">
        <v>73</v>
      </c>
      <c r="B77" s="22">
        <v>22</v>
      </c>
      <c r="C77" s="22">
        <v>26</v>
      </c>
      <c r="D77" s="22">
        <v>22</v>
      </c>
      <c r="E77" s="22">
        <v>18</v>
      </c>
      <c r="F77" s="22">
        <v>26</v>
      </c>
      <c r="G77" s="22">
        <v>22</v>
      </c>
      <c r="H77" s="22">
        <v>22</v>
      </c>
      <c r="I77" s="22">
        <v>22</v>
      </c>
      <c r="J77" s="22">
        <v>21</v>
      </c>
      <c r="K77" s="22">
        <v>17</v>
      </c>
      <c r="L77" s="22">
        <v>12</v>
      </c>
      <c r="M77" s="22">
        <v>12</v>
      </c>
      <c r="N77" s="22">
        <v>26</v>
      </c>
      <c r="O77" s="22">
        <v>26</v>
      </c>
      <c r="P77" s="22">
        <v>22</v>
      </c>
      <c r="Q77" s="22"/>
      <c r="R77" s="43">
        <f>AVERAGE(C77,G77,H77,J77,K77,L77)</f>
        <v>20</v>
      </c>
      <c r="T77" s="17" t="s">
        <v>13</v>
      </c>
      <c r="U77" s="17" t="s">
        <v>16</v>
      </c>
      <c r="V77" s="17" t="s">
        <v>15</v>
      </c>
      <c r="W77" s="17" t="s">
        <v>34</v>
      </c>
      <c r="X77" s="17">
        <v>3</v>
      </c>
      <c r="Y77" s="18" t="s">
        <v>16</v>
      </c>
      <c r="Z77" s="18" t="s">
        <v>12</v>
      </c>
      <c r="AA77" s="18" t="s">
        <v>12</v>
      </c>
      <c r="AB77" s="18" t="s">
        <v>17</v>
      </c>
      <c r="AC77" s="18" t="s">
        <v>12</v>
      </c>
      <c r="AD77" s="18" t="s">
        <v>12</v>
      </c>
      <c r="AE77" s="18" t="s">
        <v>12</v>
      </c>
      <c r="AF77" s="17">
        <v>3</v>
      </c>
      <c r="AG77" s="17">
        <v>3</v>
      </c>
      <c r="AH77" s="17">
        <v>3</v>
      </c>
      <c r="AI77" s="17">
        <v>3</v>
      </c>
      <c r="AJ77" s="18" t="s">
        <v>35</v>
      </c>
    </row>
    <row r="78" spans="1:37" x14ac:dyDescent="0.75">
      <c r="A78" s="2" t="s">
        <v>74</v>
      </c>
      <c r="B78" s="22">
        <v>4</v>
      </c>
      <c r="C78" s="22">
        <v>0</v>
      </c>
      <c r="D78" s="22">
        <v>4</v>
      </c>
      <c r="E78" s="22">
        <v>8</v>
      </c>
      <c r="F78" s="22">
        <v>0</v>
      </c>
      <c r="G78" s="22">
        <v>4</v>
      </c>
      <c r="H78" s="22">
        <v>4</v>
      </c>
      <c r="I78" s="22">
        <v>4</v>
      </c>
      <c r="J78" s="22">
        <v>5</v>
      </c>
      <c r="K78" s="22">
        <v>9</v>
      </c>
      <c r="L78" s="22">
        <v>14</v>
      </c>
      <c r="M78" s="22">
        <v>14</v>
      </c>
      <c r="N78" s="22">
        <v>0</v>
      </c>
      <c r="O78" s="22">
        <v>0</v>
      </c>
      <c r="P78" s="22">
        <v>4</v>
      </c>
      <c r="Q78" s="22"/>
      <c r="R78" s="43">
        <f>AVERAGE(C78,G78,H78,J78,K78,L78)</f>
        <v>6</v>
      </c>
      <c r="T78" s="2" t="s">
        <v>73</v>
      </c>
      <c r="U78" s="22">
        <v>22</v>
      </c>
      <c r="V78" s="22">
        <v>26</v>
      </c>
      <c r="W78" s="22">
        <v>22</v>
      </c>
      <c r="X78" s="22">
        <v>18</v>
      </c>
      <c r="Y78" s="22">
        <v>26</v>
      </c>
      <c r="Z78" s="22">
        <v>22</v>
      </c>
      <c r="AA78" s="22">
        <v>22</v>
      </c>
      <c r="AB78" s="22">
        <v>22</v>
      </c>
      <c r="AC78" s="22">
        <v>21</v>
      </c>
      <c r="AD78" s="22">
        <v>17</v>
      </c>
      <c r="AE78" s="22">
        <v>12</v>
      </c>
      <c r="AF78" s="22">
        <v>12</v>
      </c>
      <c r="AG78" s="22">
        <v>26</v>
      </c>
      <c r="AH78" s="22">
        <v>26</v>
      </c>
      <c r="AI78" s="22">
        <v>22</v>
      </c>
      <c r="AJ78" s="22">
        <v>17</v>
      </c>
      <c r="AK78" s="43">
        <f>AVERAGE(U78,V78,W78,X78,Y78,Z78,AA78,AB78,AC78,AD78,AE78,AF78,AG78,AH78,AI78)</f>
        <v>21.066666666666666</v>
      </c>
    </row>
    <row r="79" spans="1:37" x14ac:dyDescent="0.75">
      <c r="A79" s="2" t="s">
        <v>75</v>
      </c>
      <c r="B79" s="22">
        <v>0</v>
      </c>
      <c r="C79" s="22">
        <v>0</v>
      </c>
      <c r="D79" s="22">
        <v>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/>
      <c r="R79" s="43">
        <f>AVERAGE(C79,G79,H79,J79,K79,L79)</f>
        <v>0</v>
      </c>
      <c r="T79" s="2" t="s">
        <v>74</v>
      </c>
      <c r="U79" s="22">
        <v>4</v>
      </c>
      <c r="V79" s="22">
        <v>0</v>
      </c>
      <c r="W79" s="22">
        <v>4</v>
      </c>
      <c r="X79" s="22">
        <v>8</v>
      </c>
      <c r="Y79" s="22">
        <v>0</v>
      </c>
      <c r="Z79" s="22">
        <v>4</v>
      </c>
      <c r="AA79" s="22">
        <v>4</v>
      </c>
      <c r="AB79" s="22">
        <v>4</v>
      </c>
      <c r="AC79" s="22">
        <v>5</v>
      </c>
      <c r="AD79" s="22">
        <v>9</v>
      </c>
      <c r="AE79" s="22">
        <v>14</v>
      </c>
      <c r="AF79" s="22">
        <v>14</v>
      </c>
      <c r="AG79" s="22">
        <v>0</v>
      </c>
      <c r="AH79" s="22">
        <v>0</v>
      </c>
      <c r="AI79" s="22">
        <v>4</v>
      </c>
      <c r="AJ79" s="22">
        <v>9</v>
      </c>
      <c r="AK79" s="43">
        <f t="shared" ref="AK79:AK80" si="10">AVERAGE(U79,V79,W79,X79,Y79,Z79,AA79,AB79,AC79,AD79,AE79,AF79,AG79,AH79,AI79)</f>
        <v>4.9333333333333336</v>
      </c>
    </row>
    <row r="80" spans="1:37" x14ac:dyDescent="0.75">
      <c r="A80" s="2" t="s">
        <v>76</v>
      </c>
      <c r="B80">
        <f>SUM(B77:B79)</f>
        <v>26</v>
      </c>
      <c r="C80">
        <f t="shared" ref="C80:Q80" si="11">SUM(C77:C79)</f>
        <v>26</v>
      </c>
      <c r="D80">
        <f t="shared" si="11"/>
        <v>26</v>
      </c>
      <c r="E80">
        <f t="shared" si="11"/>
        <v>26</v>
      </c>
      <c r="F80">
        <f t="shared" si="11"/>
        <v>26</v>
      </c>
      <c r="G80">
        <f t="shared" si="11"/>
        <v>26</v>
      </c>
      <c r="H80">
        <f t="shared" si="11"/>
        <v>26</v>
      </c>
      <c r="I80">
        <f t="shared" si="11"/>
        <v>26</v>
      </c>
      <c r="J80">
        <f t="shared" si="11"/>
        <v>26</v>
      </c>
      <c r="K80">
        <f t="shared" si="11"/>
        <v>26</v>
      </c>
      <c r="L80">
        <f t="shared" si="11"/>
        <v>26</v>
      </c>
      <c r="M80">
        <f t="shared" si="11"/>
        <v>26</v>
      </c>
      <c r="N80">
        <f t="shared" si="11"/>
        <v>26</v>
      </c>
      <c r="O80">
        <f t="shared" si="11"/>
        <v>26</v>
      </c>
      <c r="P80">
        <f t="shared" si="11"/>
        <v>26</v>
      </c>
      <c r="Q80">
        <f t="shared" si="11"/>
        <v>0</v>
      </c>
      <c r="R80" s="43">
        <f>SUM(R77:R79)</f>
        <v>26</v>
      </c>
      <c r="T80" s="2" t="s">
        <v>75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22">
        <v>0</v>
      </c>
      <c r="AH80" s="22">
        <v>0</v>
      </c>
      <c r="AI80" s="22">
        <v>0</v>
      </c>
      <c r="AJ80" s="22">
        <v>0</v>
      </c>
      <c r="AK80" s="43">
        <f t="shared" si="10"/>
        <v>0</v>
      </c>
    </row>
    <row r="81" spans="1:37" x14ac:dyDescent="0.75">
      <c r="T81" s="2" t="s">
        <v>76</v>
      </c>
      <c r="U81">
        <f>SUM(U78:U80)</f>
        <v>26</v>
      </c>
      <c r="V81">
        <f t="shared" ref="V81:AK81" si="12">SUM(V78:V80)</f>
        <v>26</v>
      </c>
      <c r="W81">
        <f t="shared" si="12"/>
        <v>26</v>
      </c>
      <c r="X81">
        <f t="shared" si="12"/>
        <v>26</v>
      </c>
      <c r="Y81">
        <f t="shared" si="12"/>
        <v>26</v>
      </c>
      <c r="Z81">
        <f>SUM(AJ78:AJ80)</f>
        <v>26</v>
      </c>
      <c r="AA81">
        <f>SUM(Z78:Z80)</f>
        <v>26</v>
      </c>
      <c r="AB81">
        <f>SUM(AA78:AA80)</f>
        <v>26</v>
      </c>
      <c r="AC81">
        <f>SUM(AB78:AB80)</f>
        <v>26</v>
      </c>
      <c r="AD81">
        <f>SUM(AC78:AC80)</f>
        <v>26</v>
      </c>
      <c r="AE81">
        <f t="shared" ref="AE81:AK81" si="13">SUM(AE78:AE80)</f>
        <v>26</v>
      </c>
      <c r="AF81">
        <f t="shared" si="13"/>
        <v>26</v>
      </c>
      <c r="AG81">
        <f t="shared" si="13"/>
        <v>26</v>
      </c>
      <c r="AH81">
        <f t="shared" si="13"/>
        <v>26</v>
      </c>
      <c r="AI81">
        <f t="shared" si="13"/>
        <v>26</v>
      </c>
      <c r="AJ81">
        <f>SUM(AJ78:AJ80)</f>
        <v>26</v>
      </c>
      <c r="AK81">
        <f t="shared" ref="AK81" si="14">SUM(AK78:AK80)</f>
        <v>26</v>
      </c>
    </row>
    <row r="83" spans="1:37" x14ac:dyDescent="0.75">
      <c r="A83" t="s">
        <v>80</v>
      </c>
    </row>
    <row r="84" spans="1:37" x14ac:dyDescent="0.75">
      <c r="A84" s="17" t="s">
        <v>9</v>
      </c>
      <c r="B84" s="17">
        <v>1</v>
      </c>
      <c r="C84" s="17">
        <v>2</v>
      </c>
      <c r="D84" s="17">
        <v>3</v>
      </c>
      <c r="E84" s="17">
        <v>4</v>
      </c>
      <c r="F84" s="17">
        <v>5</v>
      </c>
      <c r="G84" s="17">
        <v>7</v>
      </c>
      <c r="H84" s="17">
        <v>8</v>
      </c>
      <c r="I84" s="17">
        <v>9</v>
      </c>
      <c r="J84" s="17">
        <v>10</v>
      </c>
      <c r="K84" s="17">
        <v>11</v>
      </c>
      <c r="L84" s="17">
        <v>12</v>
      </c>
      <c r="M84" s="17">
        <v>13</v>
      </c>
      <c r="N84" s="17">
        <v>14</v>
      </c>
      <c r="O84" s="17">
        <v>15</v>
      </c>
      <c r="P84" s="17">
        <v>16</v>
      </c>
      <c r="Q84" s="17">
        <v>6</v>
      </c>
    </row>
    <row r="85" spans="1:37" x14ac:dyDescent="0.75">
      <c r="A85" s="17" t="s">
        <v>13</v>
      </c>
      <c r="B85" s="17" t="s">
        <v>16</v>
      </c>
      <c r="C85" s="17" t="s">
        <v>15</v>
      </c>
      <c r="D85" s="17" t="s">
        <v>34</v>
      </c>
      <c r="E85" s="17">
        <v>3</v>
      </c>
      <c r="F85" s="18" t="s">
        <v>16</v>
      </c>
      <c r="G85" s="18" t="s">
        <v>12</v>
      </c>
      <c r="H85" s="18" t="s">
        <v>12</v>
      </c>
      <c r="I85" s="18" t="s">
        <v>17</v>
      </c>
      <c r="J85" s="18" t="s">
        <v>12</v>
      </c>
      <c r="K85" s="18" t="s">
        <v>12</v>
      </c>
      <c r="L85" s="18" t="s">
        <v>12</v>
      </c>
      <c r="M85" s="17">
        <v>3</v>
      </c>
      <c r="N85" s="17">
        <v>3</v>
      </c>
      <c r="O85" s="17">
        <v>3</v>
      </c>
      <c r="P85" s="17">
        <v>3</v>
      </c>
      <c r="Q85" s="18" t="s">
        <v>35</v>
      </c>
    </row>
    <row r="86" spans="1:37" x14ac:dyDescent="0.75">
      <c r="A86" s="2" t="s">
        <v>73</v>
      </c>
      <c r="B86" s="22">
        <v>22</v>
      </c>
      <c r="C86" s="22">
        <v>26</v>
      </c>
      <c r="D86" s="22">
        <v>22</v>
      </c>
      <c r="E86" s="22">
        <v>18</v>
      </c>
      <c r="F86" s="22">
        <v>26</v>
      </c>
      <c r="G86" s="22">
        <v>22</v>
      </c>
      <c r="H86" s="22">
        <v>22</v>
      </c>
      <c r="I86" s="22">
        <v>22</v>
      </c>
      <c r="J86" s="22">
        <v>21</v>
      </c>
      <c r="K86" s="22">
        <v>17</v>
      </c>
      <c r="L86" s="22">
        <v>12</v>
      </c>
      <c r="M86" s="22">
        <v>12</v>
      </c>
      <c r="N86" s="22">
        <v>26</v>
      </c>
      <c r="O86" s="22">
        <v>26</v>
      </c>
      <c r="P86" s="22">
        <v>22</v>
      </c>
      <c r="Q86" s="22"/>
      <c r="R86" s="43">
        <f>AVERAGE(D86,I86,Q86)</f>
        <v>22</v>
      </c>
    </row>
    <row r="87" spans="1:37" x14ac:dyDescent="0.75">
      <c r="A87" s="2" t="s">
        <v>74</v>
      </c>
      <c r="B87" s="22">
        <v>4</v>
      </c>
      <c r="C87" s="22">
        <v>0</v>
      </c>
      <c r="D87" s="22">
        <v>4</v>
      </c>
      <c r="E87" s="22">
        <v>8</v>
      </c>
      <c r="F87" s="22">
        <v>0</v>
      </c>
      <c r="G87" s="22">
        <v>4</v>
      </c>
      <c r="H87" s="22">
        <v>4</v>
      </c>
      <c r="I87" s="22">
        <v>4</v>
      </c>
      <c r="J87" s="22">
        <v>5</v>
      </c>
      <c r="K87" s="22">
        <v>9</v>
      </c>
      <c r="L87" s="22">
        <v>14</v>
      </c>
      <c r="M87" s="22">
        <v>14</v>
      </c>
      <c r="N87" s="22">
        <v>0</v>
      </c>
      <c r="O87" s="22">
        <v>0</v>
      </c>
      <c r="P87" s="22">
        <v>4</v>
      </c>
      <c r="Q87" s="22"/>
      <c r="R87" s="43">
        <f t="shared" ref="R87:R88" si="15">AVERAGE(D87,I87,Q87)</f>
        <v>4</v>
      </c>
    </row>
    <row r="88" spans="1:37" x14ac:dyDescent="0.75">
      <c r="A88" s="2" t="s">
        <v>75</v>
      </c>
      <c r="B88" s="22">
        <v>0</v>
      </c>
      <c r="C88" s="22">
        <v>0</v>
      </c>
      <c r="D88" s="22">
        <v>0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/>
      <c r="R88" s="43">
        <f t="shared" si="15"/>
        <v>0</v>
      </c>
    </row>
    <row r="89" spans="1:37" x14ac:dyDescent="0.75">
      <c r="A89" s="2" t="s">
        <v>76</v>
      </c>
      <c r="B89">
        <f>SUM(B86:B88)</f>
        <v>26</v>
      </c>
      <c r="C89">
        <f t="shared" ref="C89:R89" si="16">SUM(C86:C88)</f>
        <v>26</v>
      </c>
      <c r="D89">
        <f t="shared" si="16"/>
        <v>26</v>
      </c>
      <c r="E89">
        <f t="shared" si="16"/>
        <v>26</v>
      </c>
      <c r="F89">
        <f t="shared" si="16"/>
        <v>26</v>
      </c>
      <c r="G89">
        <f t="shared" si="16"/>
        <v>26</v>
      </c>
      <c r="H89">
        <f t="shared" si="16"/>
        <v>26</v>
      </c>
      <c r="I89">
        <f t="shared" si="16"/>
        <v>26</v>
      </c>
      <c r="J89">
        <f t="shared" si="16"/>
        <v>26</v>
      </c>
      <c r="K89">
        <f t="shared" si="16"/>
        <v>26</v>
      </c>
      <c r="L89">
        <f t="shared" si="16"/>
        <v>26</v>
      </c>
      <c r="M89">
        <f t="shared" si="16"/>
        <v>26</v>
      </c>
      <c r="N89">
        <f t="shared" si="16"/>
        <v>26</v>
      </c>
      <c r="O89">
        <f t="shared" si="16"/>
        <v>26</v>
      </c>
      <c r="P89">
        <f t="shared" si="16"/>
        <v>26</v>
      </c>
      <c r="Q89">
        <f t="shared" si="16"/>
        <v>0</v>
      </c>
      <c r="R89">
        <f t="shared" si="16"/>
        <v>26</v>
      </c>
    </row>
    <row r="118" spans="8:14" x14ac:dyDescent="0.75">
      <c r="H118" s="2"/>
      <c r="I118" s="2"/>
      <c r="J118" s="2"/>
      <c r="K118" s="2"/>
      <c r="L118" s="2"/>
      <c r="M118" s="2"/>
      <c r="N118" s="2"/>
    </row>
    <row r="140" spans="2:2" x14ac:dyDescent="0.75">
      <c r="B140" s="9"/>
    </row>
    <row r="141" spans="2:2" x14ac:dyDescent="0.75">
      <c r="B141" s="9"/>
    </row>
    <row r="142" spans="2:2" x14ac:dyDescent="0.75">
      <c r="B142" s="9"/>
    </row>
    <row r="143" spans="2:2" x14ac:dyDescent="0.75">
      <c r="B143" s="9"/>
    </row>
    <row r="145" spans="1:1" x14ac:dyDescent="0.75">
      <c r="A145" s="1"/>
    </row>
  </sheetData>
  <sortState xmlns:xlrd2="http://schemas.microsoft.com/office/spreadsheetml/2017/richdata2" ref="M19:M44">
    <sortCondition descending="1" ref="M19:M44"/>
  </sortState>
  <pageMargins left="0.7" right="0.7" top="0.75" bottom="0.75" header="0.3" footer="0.3"/>
  <pageSetup scale="7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Zdunek, Alan</cp:lastModifiedBy>
  <cp:lastPrinted>2026-02-16T16:48:58Z</cp:lastPrinted>
  <dcterms:created xsi:type="dcterms:W3CDTF">2013-01-15T05:38:26Z</dcterms:created>
  <dcterms:modified xsi:type="dcterms:W3CDTF">2026-05-28T01:35:45Z</dcterms:modified>
</cp:coreProperties>
</file>