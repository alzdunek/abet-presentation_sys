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400-Level Assessment\"/>
    </mc:Choice>
  </mc:AlternateContent>
  <xr:revisionPtr revIDLastSave="0" documentId="13_ncr:1_{6A1AF31A-AF6B-41C9-9CA3-6CC125A00506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38" i="1"/>
  <c r="B41" i="1"/>
  <c r="C36" i="1"/>
  <c r="B36" i="1"/>
  <c r="C35" i="1"/>
  <c r="B35" i="1" l="1"/>
  <c r="D35" i="1" l="1"/>
  <c r="B45" i="1" l="1"/>
  <c r="B46" i="1"/>
  <c r="C41" i="1"/>
  <c r="D41" i="1"/>
  <c r="D36" i="1" l="1"/>
</calcChain>
</file>

<file path=xl/sharedStrings.xml><?xml version="1.0" encoding="utf-8"?>
<sst xmlns="http://schemas.openxmlformats.org/spreadsheetml/2006/main" count="37" uniqueCount="37">
  <si>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</si>
  <si>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</si>
  <si>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</si>
  <si>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</si>
  <si>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</si>
  <si>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</si>
  <si>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</si>
  <si>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</si>
  <si>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</si>
  <si>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</si>
  <si>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</si>
  <si>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</si>
  <si>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</si>
  <si>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</si>
  <si>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</si>
  <si>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</si>
  <si>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</si>
  <si>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Emphasized</t>
  </si>
  <si>
    <t>Performance Indicators:</t>
  </si>
  <si>
    <t>Performance Indicators used</t>
  </si>
  <si>
    <t>`</t>
  </si>
  <si>
    <t xml:space="preserve"> </t>
  </si>
  <si>
    <t>Rubric item (PI)</t>
  </si>
  <si>
    <t>ChE 451 Fall 2025</t>
  </si>
  <si>
    <t>Renewable Energy Technologies</t>
  </si>
  <si>
    <t>Assessment of student outcome 2 (SO2)</t>
  </si>
  <si>
    <t>Assessment rubric: Midterm Home Exam</t>
  </si>
  <si>
    <t>Prepared by Said Al-Hallaj</t>
  </si>
  <si>
    <t>Student Learning Outcome 2</t>
  </si>
  <si>
    <t>An ability to apply engineering design to produce solutions that meet specified needs with consideration of public health, safety, and welfare, as well as global, cultural, social, environmental, and economic factors.</t>
  </si>
  <si>
    <t>1. Developing a design strategy</t>
  </si>
  <si>
    <t>2. Appling engineering and/or scientific principles correctly to design practical processes</t>
  </si>
  <si>
    <t>3. Use of approaches</t>
  </si>
  <si>
    <t>4. Understanding how areas interrelate and demonstrates ability to integrate prior knowledge into a new problem</t>
  </si>
  <si>
    <t>5. Supporting design procedure with documentation and references</t>
  </si>
  <si>
    <t>6. Developing a solution that includes realistic constraints (cultural, social, environmental, econimic, health and safety factors)</t>
  </si>
  <si>
    <t>7. Measurement awareness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</si>
</sst>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  <xf numFmtId="0" fontId="0" fillId="7" borderId="0" xfId="0" applyFill="1"/>
    <xf numFmtId="0" fontId="0" fillId="5" borderId="0" xfId="0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0"/>
  <sheetViews>
    <sheetView tabSelected="1" workbookViewId="0">
      <selection activeCell="G38" sqref="G38:G40"/>
    </sheetView>
  </sheetViews>
  <sheetFormatPr defaultRowHeight="14.75" x14ac:dyDescent="0.75"/>
  <cols>
    <col min="1" max="1" width="27.7265625" customWidth="1"/>
    <col min="2" max="2" width="11.54296875" customWidth="1"/>
    <col min="3" max="3" width="11" customWidth="1"/>
    <col min="8" max="8" width="9.1328125" customWidth="1"/>
    <col min="11" max="11" width="16" customWidth="1"/>
    <col min="12" max="12" width="17.40625" customWidth="1"/>
    <col min="13" max="13" width="16.1328125" customWidth="1"/>
    <col min="15" max="15" width="9.1328125" customWidth="1"/>
  </cols>
  <sheetData>
    <row r="1" spans="1:22" x14ac:dyDescent="0.75">
      <c r="A1" s="1" t="s">
        <v>23</v>
      </c>
      <c r="F1" s="1" t="s">
        <v>28</v>
      </c>
    </row>
    <row r="2" spans="1:22" ht="16" x14ac:dyDescent="0.8">
      <c r="A2" s="1" t="s">
        <v>24</v>
      </c>
      <c r="F2" s="17" t="s">
        <v>29</v>
      </c>
    </row>
    <row r="3" spans="1:22" x14ac:dyDescent="0.75">
      <c r="A3" s="1" t="s">
        <v>25</v>
      </c>
      <c r="F3" t="s">
        <v>17</v>
      </c>
    </row>
    <row r="4" spans="1:22" x14ac:dyDescent="0.75">
      <c r="A4" t="s">
        <v>26</v>
      </c>
    </row>
    <row r="5" spans="1:22" x14ac:dyDescent="0.75">
      <c r="A5" t="s">
        <v>27</v>
      </c>
      <c r="F5" s="1" t="s">
        <v>18</v>
      </c>
    </row>
    <row r="6" spans="1:22" x14ac:dyDescent="0.75">
      <c r="F6" s="18" t="s">
        <v>30</v>
      </c>
      <c r="G6" s="18"/>
      <c r="H6" s="18"/>
      <c r="I6" s="19"/>
      <c r="J6" s="19"/>
      <c r="K6" s="19"/>
      <c r="L6" s="19"/>
      <c r="M6" s="19"/>
      <c r="N6" s="19"/>
      <c r="O6" s="19"/>
      <c r="P6" s="19"/>
    </row>
    <row r="7" spans="1:22" x14ac:dyDescent="0.75">
      <c r="F7" s="18" t="s">
        <v>31</v>
      </c>
      <c r="G7" s="18"/>
      <c r="H7" s="18"/>
      <c r="I7" s="18"/>
      <c r="J7" s="18"/>
      <c r="K7" s="18"/>
      <c r="L7" s="18"/>
      <c r="M7" s="19"/>
      <c r="N7" s="19"/>
      <c r="O7" s="19"/>
      <c r="P7" s="19"/>
    </row>
    <row r="8" spans="1:22" x14ac:dyDescent="0.75">
      <c r="F8" s="19" t="s">
        <v>32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22" x14ac:dyDescent="0.75">
      <c r="A9" s="3" t="s">
        <v>16</v>
      </c>
      <c r="B9" s="3"/>
      <c r="C9" s="3"/>
      <c r="F9" s="19" t="s">
        <v>33</v>
      </c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22" x14ac:dyDescent="0.75">
      <c r="A10" s="3">
        <v>1</v>
      </c>
      <c r="B10" s="3" t="s">
        <v>1</v>
      </c>
      <c r="C10" s="3"/>
      <c r="F10" s="19" t="s">
        <v>34</v>
      </c>
      <c r="G10" s="19"/>
      <c r="H10" s="19"/>
      <c r="I10" s="19"/>
      <c r="J10" s="19"/>
      <c r="K10" s="19"/>
      <c r="L10" s="19"/>
      <c r="M10" s="19"/>
      <c r="N10" s="19" t="s">
        <v>21</v>
      </c>
      <c r="O10" s="19"/>
      <c r="P10" s="19"/>
    </row>
    <row r="11" spans="1:22" x14ac:dyDescent="0.75">
      <c r="A11" s="3">
        <v>2</v>
      </c>
      <c r="B11" s="3" t="s">
        <v>2</v>
      </c>
      <c r="C11" s="3"/>
      <c r="F11" s="18" t="s">
        <v>35</v>
      </c>
      <c r="G11" s="18"/>
      <c r="H11" s="18"/>
      <c r="I11" s="18"/>
      <c r="J11" s="18"/>
      <c r="K11" s="18"/>
      <c r="L11" s="18"/>
      <c r="M11" s="18"/>
      <c r="N11" s="18"/>
      <c r="O11" s="18"/>
      <c r="P11" s="19"/>
    </row>
    <row r="12" spans="1:22" x14ac:dyDescent="0.75">
      <c r="A12" s="3">
        <v>3</v>
      </c>
      <c r="B12" s="3" t="s">
        <v>3</v>
      </c>
      <c r="C12" s="3"/>
      <c r="F12" s="19" t="s">
        <v>36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22" x14ac:dyDescent="0.75">
      <c r="A13" s="3"/>
      <c r="B13" s="3"/>
      <c r="C13" s="3"/>
      <c r="V13" t="s">
        <v>20</v>
      </c>
    </row>
    <row r="15" spans="1:22" x14ac:dyDescent="0.75">
      <c r="A15" s="12" t="s">
        <v>19</v>
      </c>
      <c r="B15" s="20">
        <v>1</v>
      </c>
      <c r="C15" s="20">
        <v>2</v>
      </c>
      <c r="D15" s="20">
        <v>6</v>
      </c>
      <c r="E15" s="12"/>
    </row>
    <row r="16" spans="1:22" x14ac:dyDescent="0.75">
      <c r="A16" s="12"/>
      <c r="B16" s="13"/>
      <c r="C16" s="13"/>
      <c r="D16" s="13"/>
      <c r="E16" s="13"/>
      <c r="F16" s="2"/>
      <c r="G16" s="2"/>
    </row>
    <row r="17" spans="1:5" x14ac:dyDescent="0.75">
      <c r="B17" s="2"/>
    </row>
    <row r="18" spans="1:5" x14ac:dyDescent="0.75">
      <c r="A18" t="s">
        <v>6</v>
      </c>
      <c r="B18" s="2"/>
    </row>
    <row r="19" spans="1:5" x14ac:dyDescent="0.75">
      <c r="A19" s="14">
        <v>1</v>
      </c>
      <c r="B19" s="14">
        <v>3</v>
      </c>
      <c r="C19" s="14">
        <v>2</v>
      </c>
      <c r="D19" s="14">
        <v>3</v>
      </c>
    </row>
    <row r="20" spans="1:5" x14ac:dyDescent="0.75">
      <c r="A20" s="14">
        <v>2</v>
      </c>
      <c r="B20" s="14">
        <v>3</v>
      </c>
      <c r="C20" s="14">
        <v>3</v>
      </c>
      <c r="D20" s="14">
        <v>2</v>
      </c>
    </row>
    <row r="21" spans="1:5" x14ac:dyDescent="0.75">
      <c r="A21" s="14">
        <v>3</v>
      </c>
      <c r="B21" s="14">
        <v>3</v>
      </c>
      <c r="C21" s="14">
        <v>3</v>
      </c>
      <c r="D21" s="14">
        <v>3</v>
      </c>
    </row>
    <row r="22" spans="1:5" x14ac:dyDescent="0.75">
      <c r="A22" s="14">
        <v>4</v>
      </c>
      <c r="B22" s="14">
        <v>3</v>
      </c>
      <c r="C22" s="14">
        <v>3</v>
      </c>
      <c r="D22" s="14">
        <v>2</v>
      </c>
    </row>
    <row r="23" spans="1:5" x14ac:dyDescent="0.75">
      <c r="A23" s="14">
        <v>5</v>
      </c>
      <c r="B23" s="14">
        <v>3</v>
      </c>
      <c r="C23" s="14">
        <v>2</v>
      </c>
      <c r="D23" s="14">
        <v>2</v>
      </c>
    </row>
    <row r="24" spans="1:5" x14ac:dyDescent="0.75">
      <c r="A24" s="14">
        <v>6</v>
      </c>
      <c r="B24" s="14">
        <v>3</v>
      </c>
      <c r="C24" s="14">
        <v>2</v>
      </c>
      <c r="D24" s="14">
        <v>3</v>
      </c>
    </row>
    <row r="25" spans="1:5" x14ac:dyDescent="0.75">
      <c r="A25" s="14">
        <v>7</v>
      </c>
      <c r="B25" s="14">
        <v>2</v>
      </c>
      <c r="C25" s="14">
        <v>3</v>
      </c>
      <c r="D25" s="14">
        <v>2</v>
      </c>
    </row>
    <row r="26" spans="1:5" x14ac:dyDescent="0.75">
      <c r="A26" s="14">
        <v>8</v>
      </c>
      <c r="B26" s="14">
        <v>3</v>
      </c>
      <c r="C26" s="14">
        <v>3</v>
      </c>
      <c r="D26" s="14">
        <v>2</v>
      </c>
    </row>
    <row r="27" spans="1:5" x14ac:dyDescent="0.75">
      <c r="A27" s="14"/>
      <c r="B27" s="14"/>
      <c r="C27" s="14"/>
      <c r="D27" s="14"/>
    </row>
    <row r="28" spans="1:5" x14ac:dyDescent="0.75">
      <c r="A28" s="14"/>
      <c r="B28" s="14"/>
      <c r="C28" s="14"/>
      <c r="D28" s="14"/>
    </row>
    <row r="29" spans="1:5" x14ac:dyDescent="0.75">
      <c r="A29" s="14"/>
      <c r="B29" s="14"/>
      <c r="C29" s="14"/>
      <c r="D29" s="14"/>
    </row>
    <row r="30" spans="1:5" x14ac:dyDescent="0.75">
      <c r="B30" s="2"/>
    </row>
    <row r="32" spans="1:5" x14ac:dyDescent="0.75">
      <c r="A32" s="9" t="s">
        <v>14</v>
      </c>
      <c r="B32" s="4"/>
      <c r="C32" s="4"/>
      <c r="D32" s="4"/>
      <c r="E32" s="4"/>
    </row>
    <row r="33" spans="1:7" x14ac:dyDescent="0.75">
      <c r="A33" s="15" t="s">
        <v>22</v>
      </c>
      <c r="B33" s="15">
        <v>1</v>
      </c>
      <c r="C33" s="15">
        <v>2</v>
      </c>
      <c r="D33" s="15">
        <v>6</v>
      </c>
      <c r="E33" s="4"/>
    </row>
    <row r="34" spans="1:7" x14ac:dyDescent="0.75">
      <c r="A34" s="15" t="s">
        <v>15</v>
      </c>
      <c r="B34" s="15">
        <v>2</v>
      </c>
      <c r="C34" s="15">
        <v>2</v>
      </c>
      <c r="D34" s="15">
        <v>2</v>
      </c>
      <c r="E34" s="5"/>
    </row>
    <row r="35" spans="1:7" x14ac:dyDescent="0.75">
      <c r="A35" s="15" t="s">
        <v>4</v>
      </c>
      <c r="B35" s="16">
        <f>AVERAGE(B19:B29)</f>
        <v>2.875</v>
      </c>
      <c r="C35" s="16">
        <f>AVERAGE(C19:C29)</f>
        <v>2.625</v>
      </c>
      <c r="D35" s="16">
        <f>AVERAGE(D19:D29)</f>
        <v>2.375</v>
      </c>
      <c r="E35" s="8"/>
    </row>
    <row r="36" spans="1:7" x14ac:dyDescent="0.75">
      <c r="A36" s="15" t="s">
        <v>5</v>
      </c>
      <c r="B36" s="16">
        <f>STDEV(B19:B29)</f>
        <v>0.35355339059327379</v>
      </c>
      <c r="C36" s="16">
        <f>STDEV(C19:C29)</f>
        <v>0.51754916950676566</v>
      </c>
      <c r="D36" s="16">
        <f>STDEV(D19:D30)</f>
        <v>0.51754916950676566</v>
      </c>
      <c r="E36" s="8"/>
    </row>
    <row r="37" spans="1:7" x14ac:dyDescent="0.75">
      <c r="A37" s="15"/>
      <c r="B37" s="15"/>
      <c r="C37" s="15"/>
      <c r="D37" s="15"/>
      <c r="E37" s="4"/>
    </row>
    <row r="38" spans="1:7" x14ac:dyDescent="0.75">
      <c r="A38" s="15" t="s">
        <v>9</v>
      </c>
      <c r="B38" s="15">
        <v>7</v>
      </c>
      <c r="C38" s="15">
        <v>5</v>
      </c>
      <c r="D38" s="15">
        <v>5</v>
      </c>
      <c r="E38" s="4"/>
      <c r="G38" s="21">
        <f>AVERAGE(B38:D38)</f>
        <v>5.666666666666667</v>
      </c>
    </row>
    <row r="39" spans="1:7" x14ac:dyDescent="0.75">
      <c r="A39" s="15" t="s">
        <v>10</v>
      </c>
      <c r="B39" s="15">
        <v>1</v>
      </c>
      <c r="C39" s="15">
        <v>3</v>
      </c>
      <c r="D39" s="15">
        <v>5</v>
      </c>
      <c r="E39" s="4"/>
      <c r="G39" s="21">
        <f t="shared" ref="G39:G40" si="0">AVERAGE(B39:D39)</f>
        <v>3</v>
      </c>
    </row>
    <row r="40" spans="1:7" x14ac:dyDescent="0.75">
      <c r="A40" s="15" t="s">
        <v>7</v>
      </c>
      <c r="B40" s="15">
        <v>0</v>
      </c>
      <c r="C40" s="15">
        <v>0</v>
      </c>
      <c r="D40" s="15">
        <v>0</v>
      </c>
      <c r="E40" s="4"/>
      <c r="G40" s="21">
        <f t="shared" si="0"/>
        <v>0</v>
      </c>
    </row>
    <row r="41" spans="1:7" x14ac:dyDescent="0.75">
      <c r="A41" s="15" t="s">
        <v>8</v>
      </c>
      <c r="B41" s="15">
        <f>SUM(B37:B40)</f>
        <v>8</v>
      </c>
      <c r="C41" s="15">
        <f t="shared" ref="C41:D41" si="1">SUM(C37:C40)</f>
        <v>8</v>
      </c>
      <c r="D41" s="15">
        <f t="shared" si="1"/>
        <v>10</v>
      </c>
      <c r="E41" s="4"/>
    </row>
    <row r="43" spans="1:7" x14ac:dyDescent="0.75">
      <c r="A43" s="10" t="s">
        <v>13</v>
      </c>
      <c r="B43" s="6"/>
      <c r="C43" s="6"/>
      <c r="D43" s="6"/>
      <c r="E43" s="6"/>
      <c r="F43" s="6"/>
    </row>
    <row r="44" spans="1:7" x14ac:dyDescent="0.75">
      <c r="A44" s="6" t="s">
        <v>0</v>
      </c>
      <c r="B44" s="6">
        <v>2</v>
      </c>
      <c r="C44" s="6"/>
      <c r="D44" s="6"/>
      <c r="E44" s="6"/>
      <c r="F44" s="6"/>
    </row>
    <row r="45" spans="1:7" x14ac:dyDescent="0.75">
      <c r="A45" s="6" t="s">
        <v>11</v>
      </c>
      <c r="B45" s="7">
        <f>AVERAGE(B35:D35)</f>
        <v>2.625</v>
      </c>
      <c r="C45" s="7"/>
      <c r="D45" s="7"/>
      <c r="E45" s="7"/>
      <c r="F45" s="7"/>
    </row>
    <row r="46" spans="1:7" x14ac:dyDescent="0.75">
      <c r="A46" s="6" t="s">
        <v>12</v>
      </c>
      <c r="B46" s="7">
        <f>_xlfn.STDEV.P(B35:D35)</f>
        <v>0.20412414523193151</v>
      </c>
      <c r="C46" s="7"/>
      <c r="D46" s="7"/>
      <c r="E46" s="7"/>
      <c r="F46" s="7"/>
    </row>
    <row r="58" spans="9:13" x14ac:dyDescent="0.75">
      <c r="I58" s="2"/>
      <c r="J58" s="2"/>
      <c r="K58" s="2"/>
      <c r="L58" s="2"/>
      <c r="M58" s="2"/>
    </row>
    <row r="143" spans="8:13" x14ac:dyDescent="0.75">
      <c r="H143" s="2"/>
      <c r="I143" s="2"/>
      <c r="J143" s="2"/>
      <c r="K143" s="2"/>
      <c r="L143" s="2"/>
      <c r="M143" s="2"/>
    </row>
    <row r="165" spans="1:2" x14ac:dyDescent="0.75">
      <c r="B165" s="11"/>
    </row>
    <row r="166" spans="1:2" x14ac:dyDescent="0.75">
      <c r="B166" s="11"/>
    </row>
    <row r="167" spans="1:2" x14ac:dyDescent="0.75">
      <c r="B167" s="11"/>
    </row>
    <row r="168" spans="1:2" x14ac:dyDescent="0.75">
      <c r="B168" s="11"/>
    </row>
    <row r="170" spans="1:2" x14ac:dyDescent="0.75">
      <c r="A170" s="1"/>
    </row>
  </sheetData>
  <sortState xmlns:xlrd2="http://schemas.microsoft.com/office/spreadsheetml/2017/richdata2" ref="D19:D31">
    <sortCondition ref="D19:D3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2020-03-06T20:00:58Z</cp:lastPrinted>
  <dcterms:created xsi:type="dcterms:W3CDTF">2013-01-15T05:38:26Z</dcterms:created>
  <dcterms:modified xsi:type="dcterms:W3CDTF">2026-05-29T23:08:50Z</dcterms:modified>
</cp:coreProperties>
</file>