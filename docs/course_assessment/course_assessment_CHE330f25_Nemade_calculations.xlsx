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5F70A1E6-DE90-43F5-8127-0770E7363B43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F72" i="1"/>
  <c r="F73" i="1"/>
  <c r="B58" i="1"/>
  <c r="C58" i="1"/>
  <c r="D58" i="1"/>
  <c r="F71" i="1" l="1"/>
  <c r="G74" i="1" s="1"/>
  <c r="C69" i="1"/>
  <c r="C68" i="1"/>
  <c r="C71" i="1"/>
  <c r="C72" i="1"/>
  <c r="C73" i="1"/>
  <c r="B69" i="1"/>
  <c r="B68" i="1"/>
  <c r="B72" i="1"/>
  <c r="B73" i="1"/>
  <c r="B71" i="1"/>
  <c r="G75" i="1" l="1"/>
  <c r="B78" i="1"/>
  <c r="B74" i="1"/>
  <c r="B79" i="1"/>
  <c r="C74" i="1"/>
</calcChain>
</file>

<file path=xl/sharedStrings.xml><?xml version="1.0" encoding="utf-8"?>
<sst xmlns="http://schemas.openxmlformats.org/spreadsheetml/2006/main" count="51" uniqueCount="47">
  <si>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</si>
  <si>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</si>
  <si>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</si>
  <si>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</si>
  <si>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</si>
  <si>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</si>
  <si>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</si>
  <si>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</si>
  <si>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</si>
  <si>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</si>
  <si>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</si>
  <si>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</si>
  <si>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</si>
  <si>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</si>
  <si>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</si>
  <si>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</si>
  <si>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</si>
  <si>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</si>
  <si>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</si>
  <si>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</si>
  <si>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</si>
  <si>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</si>
  <si>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</si>
  <si>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</si>
  <si>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</si>
  <si>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</si>
  <si>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</si>
  <si>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</si>
  <si>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</si>
  <si>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</si>
  <si>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</si>
  <si>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</si>
  <si>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Rubric item (PI)</t>
  </si>
  <si>
    <t>Prepared by Roshan Nemade</t>
  </si>
  <si>
    <t>Part A</t>
  </si>
  <si>
    <t>KPI</t>
  </si>
  <si>
    <t>Performance Indicator</t>
  </si>
  <si>
    <t>Questions Included</t>
  </si>
  <si>
    <t>Apply mathematical and scientific principles to formulate models and systems relevant to the subject</t>
  </si>
  <si>
    <t>Solve engineering problems using algebra/calculus/differential equations/linear algebra</t>
  </si>
  <si>
    <t>Use appropriate resources needed to solve problems</t>
  </si>
  <si>
    <t>Assessment rubric: HW2 Problem 3</t>
  </si>
  <si>
    <t>3a</t>
  </si>
  <si>
    <t>3b</t>
  </si>
  <si>
    <t>CHE 330 Fall 2025</t>
  </si>
  <si>
    <t>Polymer Science</t>
  </si>
  <si>
    <t>S+D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</si>
</sst>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3"/>
  <sheetViews>
    <sheetView tabSelected="1" topLeftCell="A54" workbookViewId="0">
      <selection activeCell="D68" sqref="D68:D69"/>
    </sheetView>
  </sheetViews>
  <sheetFormatPr defaultRowHeight="14.75" x14ac:dyDescent="0.75"/>
  <cols>
    <col min="1" max="1" width="40.40625" bestFit="1" customWidth="1"/>
    <col min="2" max="2" width="11.54296875" customWidth="1"/>
    <col min="3" max="3" width="11" customWidth="1"/>
    <col min="6" max="6" width="6.40625" bestFit="1" customWidth="1"/>
    <col min="7" max="7" width="6.54296875" bestFit="1" customWidth="1"/>
    <col min="8" max="9" width="4.86328125" bestFit="1" customWidth="1"/>
    <col min="10" max="10" width="5" bestFit="1" customWidth="1"/>
    <col min="11" max="11" width="16.1328125" customWidth="1"/>
    <col min="13" max="13" width="9.1328125" customWidth="1"/>
  </cols>
  <sheetData>
    <row r="1" spans="1:20" x14ac:dyDescent="0.75">
      <c r="A1" s="1" t="s">
        <v>44</v>
      </c>
      <c r="E1" s="1" t="s">
        <v>18</v>
      </c>
    </row>
    <row r="2" spans="1:20" ht="16" x14ac:dyDescent="0.8">
      <c r="A2" s="1" t="s">
        <v>45</v>
      </c>
      <c r="E2" s="14" t="s">
        <v>17</v>
      </c>
    </row>
    <row r="3" spans="1:20" x14ac:dyDescent="0.75">
      <c r="A3" s="1" t="s">
        <v>24</v>
      </c>
      <c r="E3" t="s">
        <v>19</v>
      </c>
    </row>
    <row r="4" spans="1:20" x14ac:dyDescent="0.75">
      <c r="A4" t="s">
        <v>41</v>
      </c>
      <c r="B4" t="s">
        <v>34</v>
      </c>
    </row>
    <row r="5" spans="1:20" x14ac:dyDescent="0.75">
      <c r="A5" t="s">
        <v>33</v>
      </c>
      <c r="E5" s="1" t="s">
        <v>20</v>
      </c>
    </row>
    <row r="6" spans="1:20" x14ac:dyDescent="0.75">
      <c r="E6" s="15" t="s">
        <v>21</v>
      </c>
      <c r="F6" s="15"/>
      <c r="G6" s="15"/>
      <c r="H6" s="15"/>
      <c r="I6" s="15"/>
      <c r="J6" s="15"/>
      <c r="K6" s="15"/>
    </row>
    <row r="7" spans="1:20" x14ac:dyDescent="0.75">
      <c r="E7" s="15" t="s">
        <v>22</v>
      </c>
      <c r="F7" s="15"/>
      <c r="G7" s="15"/>
      <c r="H7" s="15"/>
      <c r="I7" s="15"/>
      <c r="J7" s="15"/>
      <c r="K7" s="15"/>
      <c r="L7" s="15"/>
    </row>
    <row r="8" spans="1:20" x14ac:dyDescent="0.75">
      <c r="E8" t="s">
        <v>23</v>
      </c>
    </row>
    <row r="9" spans="1:20" x14ac:dyDescent="0.75">
      <c r="A9" s="3" t="s">
        <v>16</v>
      </c>
      <c r="B9" s="3"/>
      <c r="C9" s="3"/>
      <c r="E9" t="s">
        <v>27</v>
      </c>
    </row>
    <row r="10" spans="1:20" x14ac:dyDescent="0.75">
      <c r="A10" s="3">
        <v>1</v>
      </c>
      <c r="B10" s="3" t="s">
        <v>1</v>
      </c>
      <c r="C10" s="3"/>
      <c r="E10" s="15" t="s">
        <v>28</v>
      </c>
      <c r="F10" s="15"/>
      <c r="G10" s="15"/>
      <c r="H10" s="15"/>
      <c r="I10" s="15"/>
      <c r="J10" s="15"/>
      <c r="K10" s="15"/>
      <c r="L10" t="s">
        <v>31</v>
      </c>
    </row>
    <row r="11" spans="1:20" x14ac:dyDescent="0.75">
      <c r="A11" s="3">
        <v>2</v>
      </c>
      <c r="B11" s="3" t="s">
        <v>2</v>
      </c>
      <c r="C11" s="3"/>
      <c r="E11" t="s">
        <v>29</v>
      </c>
    </row>
    <row r="12" spans="1:20" x14ac:dyDescent="0.75">
      <c r="A12" s="3">
        <v>3</v>
      </c>
      <c r="B12" s="3" t="s">
        <v>3</v>
      </c>
      <c r="C12" s="3"/>
      <c r="E12" t="s">
        <v>30</v>
      </c>
    </row>
    <row r="13" spans="1:20" x14ac:dyDescent="0.75">
      <c r="A13" s="3"/>
      <c r="B13" s="3"/>
      <c r="C13" s="3"/>
      <c r="T13" t="s">
        <v>26</v>
      </c>
    </row>
    <row r="14" spans="1:20" x14ac:dyDescent="0.75">
      <c r="K14" s="19"/>
    </row>
    <row r="15" spans="1:20" x14ac:dyDescent="0.75">
      <c r="A15" s="10" t="s">
        <v>25</v>
      </c>
      <c r="B15" s="16">
        <v>1</v>
      </c>
      <c r="C15" s="16">
        <v>2</v>
      </c>
      <c r="D15" s="16">
        <v>5</v>
      </c>
    </row>
    <row r="16" spans="1:20" x14ac:dyDescent="0.75">
      <c r="B16" s="2"/>
      <c r="C16" s="2"/>
      <c r="D16" s="2"/>
      <c r="E16" s="2"/>
    </row>
    <row r="17" spans="1:10" x14ac:dyDescent="0.75">
      <c r="B17" s="2"/>
      <c r="F17" s="22"/>
      <c r="G17" s="22"/>
      <c r="H17" s="22"/>
      <c r="I17" s="22"/>
      <c r="J17" s="22"/>
    </row>
    <row r="18" spans="1:10" x14ac:dyDescent="0.75">
      <c r="A18" s="11" t="s">
        <v>6</v>
      </c>
      <c r="B18" s="2"/>
      <c r="F18" s="11"/>
      <c r="G18" s="11"/>
      <c r="H18" s="18"/>
      <c r="I18" s="11"/>
      <c r="J18" s="11"/>
    </row>
    <row r="19" spans="1:10" x14ac:dyDescent="0.75">
      <c r="A19" s="11">
        <v>1</v>
      </c>
      <c r="B19" s="11">
        <v>1</v>
      </c>
      <c r="C19" s="11">
        <v>1</v>
      </c>
      <c r="D19" s="11">
        <v>1</v>
      </c>
      <c r="F19" s="11"/>
      <c r="G19" s="11"/>
      <c r="H19" s="11"/>
      <c r="I19" s="11"/>
      <c r="J19" s="11"/>
    </row>
    <row r="20" spans="1:10" x14ac:dyDescent="0.75">
      <c r="A20" s="11">
        <v>2</v>
      </c>
      <c r="B20" s="11">
        <v>3</v>
      </c>
      <c r="C20" s="11">
        <v>3</v>
      </c>
      <c r="D20" s="11">
        <v>3</v>
      </c>
      <c r="F20" s="11"/>
      <c r="G20" s="11"/>
      <c r="H20" s="11"/>
      <c r="I20" s="11"/>
      <c r="J20" s="11"/>
    </row>
    <row r="21" spans="1:10" x14ac:dyDescent="0.75">
      <c r="A21" s="11">
        <v>3</v>
      </c>
      <c r="B21" s="11">
        <v>1.5</v>
      </c>
      <c r="C21" s="11">
        <v>1.5</v>
      </c>
      <c r="D21" s="11">
        <v>1</v>
      </c>
      <c r="F21" s="11"/>
      <c r="G21" s="11"/>
      <c r="H21" s="11"/>
      <c r="I21" s="11"/>
      <c r="J21" s="11"/>
    </row>
    <row r="22" spans="1:10" x14ac:dyDescent="0.75">
      <c r="A22" s="11">
        <v>4</v>
      </c>
      <c r="B22" s="11">
        <v>3</v>
      </c>
      <c r="C22" s="11">
        <v>3</v>
      </c>
      <c r="D22" s="11">
        <v>3</v>
      </c>
      <c r="F22" s="11"/>
      <c r="G22" s="11"/>
      <c r="H22" s="11"/>
      <c r="I22" s="11"/>
      <c r="J22" s="11"/>
    </row>
    <row r="23" spans="1:10" x14ac:dyDescent="0.75">
      <c r="A23" s="11">
        <v>5</v>
      </c>
      <c r="B23" s="11">
        <v>3</v>
      </c>
      <c r="C23" s="11">
        <v>3</v>
      </c>
      <c r="D23" s="11">
        <v>3</v>
      </c>
      <c r="F23" s="11"/>
      <c r="G23" s="11"/>
      <c r="H23" s="11"/>
      <c r="I23" s="11"/>
      <c r="J23" s="11"/>
    </row>
    <row r="24" spans="1:10" x14ac:dyDescent="0.75">
      <c r="A24" s="11">
        <v>6</v>
      </c>
      <c r="B24" s="11">
        <v>1</v>
      </c>
      <c r="C24" s="11">
        <v>1</v>
      </c>
      <c r="D24" s="11">
        <v>1</v>
      </c>
      <c r="F24" s="11"/>
      <c r="G24" s="11"/>
      <c r="H24" s="11"/>
      <c r="I24" s="11"/>
      <c r="J24" s="11"/>
    </row>
    <row r="25" spans="1:10" x14ac:dyDescent="0.75">
      <c r="A25" s="11">
        <v>7</v>
      </c>
      <c r="B25" s="11">
        <v>2.5</v>
      </c>
      <c r="C25" s="11">
        <v>2.5</v>
      </c>
      <c r="D25" s="11">
        <v>3</v>
      </c>
      <c r="F25" s="11"/>
      <c r="G25" s="11"/>
      <c r="H25" s="11"/>
      <c r="I25" s="11"/>
      <c r="J25" s="11"/>
    </row>
    <row r="26" spans="1:10" x14ac:dyDescent="0.75">
      <c r="A26" s="11">
        <v>8</v>
      </c>
      <c r="B26" s="11">
        <v>2.5</v>
      </c>
      <c r="C26" s="11">
        <v>2.5</v>
      </c>
      <c r="D26" s="11">
        <v>3</v>
      </c>
      <c r="F26" s="11"/>
      <c r="G26" s="11"/>
      <c r="H26" s="11"/>
      <c r="I26" s="11"/>
      <c r="J26" s="11"/>
    </row>
    <row r="27" spans="1:10" x14ac:dyDescent="0.75">
      <c r="A27" s="11">
        <v>9</v>
      </c>
      <c r="B27" s="11">
        <v>3</v>
      </c>
      <c r="C27" s="11">
        <v>3</v>
      </c>
      <c r="D27" s="11">
        <v>3</v>
      </c>
      <c r="F27" s="11"/>
      <c r="G27" s="11"/>
      <c r="H27" s="11"/>
      <c r="I27" s="11"/>
      <c r="J27" s="11"/>
    </row>
    <row r="28" spans="1:10" x14ac:dyDescent="0.75">
      <c r="A28" s="11">
        <v>10</v>
      </c>
      <c r="B28" s="11">
        <v>1.5</v>
      </c>
      <c r="C28" s="11">
        <v>1.5</v>
      </c>
      <c r="D28" s="11">
        <v>1</v>
      </c>
      <c r="F28" s="11"/>
      <c r="G28" s="11"/>
      <c r="H28" s="11"/>
      <c r="I28" s="11"/>
      <c r="J28" s="11"/>
    </row>
    <row r="29" spans="1:10" x14ac:dyDescent="0.75">
      <c r="A29" s="11">
        <v>11</v>
      </c>
      <c r="B29" s="11">
        <v>3</v>
      </c>
      <c r="C29" s="11">
        <v>3</v>
      </c>
      <c r="D29" s="11">
        <v>3</v>
      </c>
      <c r="F29" s="11"/>
      <c r="G29" s="11"/>
      <c r="H29" s="11"/>
      <c r="I29" s="11"/>
      <c r="J29" s="11"/>
    </row>
    <row r="30" spans="1:10" x14ac:dyDescent="0.75">
      <c r="A30" s="11">
        <v>12</v>
      </c>
      <c r="B30" s="11">
        <v>3</v>
      </c>
      <c r="C30" s="11">
        <v>3</v>
      </c>
      <c r="D30" s="11">
        <v>3</v>
      </c>
      <c r="F30" s="11"/>
      <c r="G30" s="11"/>
      <c r="H30" s="11"/>
      <c r="I30" s="11"/>
      <c r="J30" s="11"/>
    </row>
    <row r="31" spans="1:10" x14ac:dyDescent="0.75">
      <c r="A31" s="11">
        <v>13</v>
      </c>
      <c r="B31" s="11">
        <v>2</v>
      </c>
      <c r="C31" s="11">
        <v>2</v>
      </c>
      <c r="D31" s="11">
        <v>1</v>
      </c>
      <c r="F31" s="11"/>
      <c r="G31" s="11"/>
      <c r="H31" s="11"/>
      <c r="I31" s="11"/>
      <c r="J31" s="11"/>
    </row>
    <row r="32" spans="1:10" x14ac:dyDescent="0.75">
      <c r="A32" s="11">
        <v>14</v>
      </c>
      <c r="B32" s="11">
        <v>2.5</v>
      </c>
      <c r="C32" s="11">
        <v>2.5</v>
      </c>
      <c r="D32" s="11">
        <v>1</v>
      </c>
      <c r="F32" s="11"/>
      <c r="G32" s="11"/>
      <c r="H32" s="11"/>
      <c r="I32" s="11"/>
      <c r="J32" s="11"/>
    </row>
    <row r="33" spans="1:10" x14ac:dyDescent="0.75">
      <c r="A33" s="11">
        <v>15</v>
      </c>
      <c r="B33" s="11">
        <v>1.5</v>
      </c>
      <c r="C33" s="11">
        <v>1.5</v>
      </c>
      <c r="D33" s="11">
        <v>1</v>
      </c>
      <c r="F33" s="11"/>
      <c r="G33" s="11"/>
      <c r="H33" s="11"/>
      <c r="I33" s="11"/>
      <c r="J33" s="11"/>
    </row>
    <row r="34" spans="1:10" x14ac:dyDescent="0.75">
      <c r="A34" s="11">
        <v>16</v>
      </c>
      <c r="B34" s="11">
        <v>2.5</v>
      </c>
      <c r="C34" s="11">
        <v>2.5</v>
      </c>
      <c r="D34" s="11">
        <v>1</v>
      </c>
      <c r="F34" s="11"/>
      <c r="G34" s="11"/>
      <c r="H34" s="11"/>
      <c r="I34" s="11"/>
      <c r="J34" s="11"/>
    </row>
    <row r="35" spans="1:10" x14ac:dyDescent="0.75">
      <c r="A35" s="11">
        <v>17</v>
      </c>
      <c r="B35" s="11">
        <v>3</v>
      </c>
      <c r="C35" s="11">
        <v>3</v>
      </c>
      <c r="D35" s="11">
        <v>3</v>
      </c>
      <c r="F35" s="11"/>
      <c r="G35" s="11"/>
      <c r="H35" s="11"/>
      <c r="I35" s="11"/>
      <c r="J35" s="11"/>
    </row>
    <row r="36" spans="1:10" x14ac:dyDescent="0.75">
      <c r="A36" s="11">
        <v>18</v>
      </c>
      <c r="B36" s="11">
        <v>3</v>
      </c>
      <c r="C36" s="11">
        <v>3</v>
      </c>
      <c r="D36" s="11">
        <v>3</v>
      </c>
      <c r="F36" s="11"/>
      <c r="G36" s="11"/>
      <c r="H36" s="11"/>
      <c r="I36" s="11"/>
      <c r="J36" s="11"/>
    </row>
    <row r="37" spans="1:10" x14ac:dyDescent="0.75">
      <c r="A37" s="11">
        <v>19</v>
      </c>
      <c r="B37" s="11">
        <v>3</v>
      </c>
      <c r="C37" s="11">
        <v>3</v>
      </c>
      <c r="D37" s="11">
        <v>3</v>
      </c>
      <c r="F37" s="11"/>
      <c r="G37" s="11"/>
      <c r="H37" s="11"/>
      <c r="I37" s="11"/>
      <c r="J37" s="11"/>
    </row>
    <row r="38" spans="1:10" x14ac:dyDescent="0.75">
      <c r="A38" s="11">
        <v>20</v>
      </c>
      <c r="B38" s="11">
        <v>3</v>
      </c>
      <c r="C38" s="11">
        <v>3</v>
      </c>
      <c r="D38" s="11">
        <v>3</v>
      </c>
      <c r="F38" s="11"/>
      <c r="G38" s="11"/>
      <c r="H38" s="11"/>
      <c r="I38" s="11"/>
      <c r="J38" s="11"/>
    </row>
    <row r="39" spans="1:10" x14ac:dyDescent="0.75">
      <c r="A39" s="11">
        <v>21</v>
      </c>
      <c r="B39" s="11">
        <v>2</v>
      </c>
      <c r="C39" s="11">
        <v>2</v>
      </c>
      <c r="D39" s="11">
        <v>1</v>
      </c>
      <c r="F39" s="11"/>
      <c r="G39" s="11"/>
      <c r="H39" s="11"/>
      <c r="I39" s="11"/>
      <c r="J39" s="11"/>
    </row>
    <row r="40" spans="1:10" x14ac:dyDescent="0.75">
      <c r="A40" s="11">
        <v>22</v>
      </c>
      <c r="B40" s="11">
        <v>3</v>
      </c>
      <c r="C40" s="11">
        <v>3</v>
      </c>
      <c r="D40" s="11">
        <v>3</v>
      </c>
      <c r="F40" s="11"/>
      <c r="G40" s="11"/>
      <c r="H40" s="11"/>
      <c r="I40" s="11"/>
      <c r="J40" s="11"/>
    </row>
    <row r="41" spans="1:10" x14ac:dyDescent="0.75">
      <c r="A41" s="11">
        <v>23</v>
      </c>
      <c r="B41" s="11">
        <v>3</v>
      </c>
      <c r="C41" s="11">
        <v>3</v>
      </c>
      <c r="D41" s="11">
        <v>3</v>
      </c>
      <c r="F41" s="11"/>
      <c r="G41" s="11"/>
      <c r="H41" s="11"/>
      <c r="I41" s="11"/>
      <c r="J41" s="11"/>
    </row>
    <row r="42" spans="1:10" x14ac:dyDescent="0.75">
      <c r="A42" s="11">
        <v>24</v>
      </c>
      <c r="B42" s="11">
        <v>3</v>
      </c>
      <c r="C42" s="11">
        <v>3</v>
      </c>
      <c r="D42" s="11">
        <v>3</v>
      </c>
      <c r="F42" s="11"/>
      <c r="G42" s="11"/>
      <c r="H42" s="11"/>
      <c r="I42" s="11"/>
      <c r="J42" s="11"/>
    </row>
    <row r="43" spans="1:10" x14ac:dyDescent="0.75">
      <c r="A43" s="11">
        <v>25</v>
      </c>
      <c r="B43" s="11">
        <v>1.5</v>
      </c>
      <c r="C43" s="11">
        <v>1.5</v>
      </c>
      <c r="D43" s="11">
        <v>1</v>
      </c>
      <c r="F43" s="11"/>
      <c r="G43" s="11"/>
      <c r="H43" s="11"/>
      <c r="I43" s="11"/>
      <c r="J43" s="11"/>
    </row>
    <row r="44" spans="1:10" x14ac:dyDescent="0.75">
      <c r="A44" s="11">
        <v>26</v>
      </c>
      <c r="B44" s="11">
        <v>1</v>
      </c>
      <c r="C44" s="11">
        <v>1</v>
      </c>
      <c r="D44" s="11">
        <v>1</v>
      </c>
      <c r="E44" s="11"/>
      <c r="F44" s="11"/>
      <c r="G44" s="11"/>
      <c r="H44" s="11"/>
      <c r="I44" s="11"/>
      <c r="J44" s="11"/>
    </row>
    <row r="45" spans="1:10" x14ac:dyDescent="0.75">
      <c r="A45" s="11">
        <v>27</v>
      </c>
      <c r="B45" s="11">
        <v>3</v>
      </c>
      <c r="C45" s="11">
        <v>3</v>
      </c>
      <c r="D45" s="11">
        <v>3</v>
      </c>
      <c r="F45" s="11"/>
      <c r="G45" s="11"/>
      <c r="H45" s="11"/>
      <c r="I45" s="11"/>
      <c r="J45" s="11"/>
    </row>
    <row r="46" spans="1:10" x14ac:dyDescent="0.75">
      <c r="A46" s="11">
        <v>28</v>
      </c>
      <c r="B46" s="11">
        <v>1</v>
      </c>
      <c r="C46" s="11">
        <v>1</v>
      </c>
      <c r="D46" s="11">
        <v>1</v>
      </c>
      <c r="F46" s="11"/>
      <c r="G46" s="11"/>
      <c r="H46" s="11"/>
      <c r="I46" s="11"/>
      <c r="J46" s="11"/>
    </row>
    <row r="47" spans="1:10" x14ac:dyDescent="0.75">
      <c r="A47" s="11">
        <v>29</v>
      </c>
      <c r="B47" s="11">
        <v>3</v>
      </c>
      <c r="C47" s="11">
        <v>3</v>
      </c>
      <c r="D47" s="11">
        <v>3</v>
      </c>
      <c r="F47" s="11"/>
      <c r="G47" s="11"/>
      <c r="H47" s="11"/>
      <c r="I47" s="11"/>
      <c r="J47" s="11"/>
    </row>
    <row r="48" spans="1:10" x14ac:dyDescent="0.75">
      <c r="A48" s="11">
        <v>30</v>
      </c>
      <c r="B48" s="11">
        <v>3</v>
      </c>
      <c r="C48" s="11">
        <v>3</v>
      </c>
      <c r="D48" s="11">
        <v>3</v>
      </c>
      <c r="F48" s="11"/>
      <c r="G48" s="11"/>
      <c r="H48" s="11"/>
      <c r="I48" s="11"/>
      <c r="J48" s="11"/>
    </row>
    <row r="49" spans="1:10" x14ac:dyDescent="0.75">
      <c r="A49" s="11">
        <v>31</v>
      </c>
      <c r="B49" s="11">
        <v>2.5</v>
      </c>
      <c r="C49" s="11">
        <v>2.5</v>
      </c>
      <c r="D49" s="11">
        <v>1</v>
      </c>
      <c r="F49" s="11"/>
      <c r="G49" s="11"/>
      <c r="H49" s="11"/>
      <c r="I49" s="11"/>
      <c r="J49" s="11"/>
    </row>
    <row r="50" spans="1:10" x14ac:dyDescent="0.75">
      <c r="A50" s="11">
        <v>32</v>
      </c>
      <c r="B50" s="11">
        <v>3</v>
      </c>
      <c r="C50" s="11">
        <v>3</v>
      </c>
      <c r="D50" s="11">
        <v>3</v>
      </c>
      <c r="F50" s="11"/>
      <c r="G50" s="11"/>
      <c r="H50" s="11"/>
      <c r="I50" s="11"/>
      <c r="J50" s="11"/>
    </row>
    <row r="51" spans="1:10" x14ac:dyDescent="0.75">
      <c r="A51" s="11">
        <v>33</v>
      </c>
      <c r="B51" s="11">
        <v>2</v>
      </c>
      <c r="C51" s="11">
        <v>2</v>
      </c>
      <c r="D51" s="11">
        <v>1</v>
      </c>
      <c r="F51" s="11"/>
      <c r="G51" s="11"/>
      <c r="H51" s="11"/>
      <c r="I51" s="11"/>
      <c r="J51" s="11"/>
    </row>
    <row r="52" spans="1:10" x14ac:dyDescent="0.75">
      <c r="A52" s="11">
        <v>34</v>
      </c>
      <c r="B52" s="11">
        <v>2</v>
      </c>
      <c r="C52" s="11">
        <v>2</v>
      </c>
      <c r="D52" s="11">
        <v>1</v>
      </c>
      <c r="F52" s="11"/>
      <c r="G52" s="11"/>
      <c r="H52" s="11"/>
      <c r="I52" s="11"/>
      <c r="J52" s="11"/>
    </row>
    <row r="53" spans="1:10" x14ac:dyDescent="0.75">
      <c r="A53" s="11">
        <v>35</v>
      </c>
      <c r="B53" s="11">
        <v>2</v>
      </c>
      <c r="C53" s="11">
        <v>2</v>
      </c>
      <c r="D53" s="11">
        <v>1</v>
      </c>
      <c r="F53" s="11"/>
      <c r="G53" s="11"/>
      <c r="H53" s="11"/>
      <c r="I53" s="11"/>
      <c r="J53" s="11"/>
    </row>
    <row r="54" spans="1:10" x14ac:dyDescent="0.75">
      <c r="A54" s="11">
        <v>36</v>
      </c>
      <c r="B54" s="11">
        <v>3</v>
      </c>
      <c r="C54" s="11">
        <v>3</v>
      </c>
      <c r="D54" s="11">
        <v>3</v>
      </c>
      <c r="F54" s="11"/>
      <c r="G54" s="11"/>
      <c r="H54" s="11"/>
      <c r="I54" s="11"/>
      <c r="J54" s="11"/>
    </row>
    <row r="55" spans="1:10" x14ac:dyDescent="0.75">
      <c r="A55" s="11">
        <v>37</v>
      </c>
      <c r="B55" s="11">
        <v>3</v>
      </c>
      <c r="C55" s="11">
        <v>3</v>
      </c>
      <c r="D55" s="11">
        <v>3</v>
      </c>
      <c r="F55" s="11"/>
      <c r="G55" s="11"/>
      <c r="H55" s="11"/>
      <c r="I55" s="11"/>
      <c r="J55" s="11"/>
    </row>
    <row r="56" spans="1:10" x14ac:dyDescent="0.75">
      <c r="A56" s="11">
        <v>38</v>
      </c>
      <c r="B56" s="11">
        <v>3</v>
      </c>
      <c r="C56" s="11">
        <v>3</v>
      </c>
      <c r="D56" s="11">
        <v>3</v>
      </c>
      <c r="F56" s="11"/>
      <c r="G56" s="11"/>
      <c r="H56" s="11"/>
      <c r="I56" s="11"/>
      <c r="J56" s="11"/>
    </row>
    <row r="57" spans="1:10" x14ac:dyDescent="0.75">
      <c r="A57" s="11">
        <v>39</v>
      </c>
      <c r="B57" s="11">
        <v>2.5</v>
      </c>
      <c r="C57" s="11">
        <v>2.5</v>
      </c>
      <c r="D57" s="11">
        <v>1</v>
      </c>
      <c r="F57" s="11"/>
      <c r="G57" s="11"/>
      <c r="H57" s="11"/>
      <c r="I57" s="11"/>
      <c r="J57" s="11"/>
    </row>
    <row r="58" spans="1:10" x14ac:dyDescent="0.75">
      <c r="A58" s="11">
        <v>40</v>
      </c>
      <c r="B58" s="11">
        <f>LOOKUP((I58+J58)/10,{0,0.25,0.5,0.7,0.85},{1,1.5,2,2.5,3})</f>
        <v>1</v>
      </c>
      <c r="C58" s="11">
        <f>LOOKUP(H58/8,{0,0.25,0.5,0.7,0.85},{1,1.5,2,2.5,3})</f>
        <v>1</v>
      </c>
      <c r="D58" s="11">
        <f>LOOKUP(F58/6,{0,0.25,0.5,0.7,0.85},{1,1.5,2,2.5,3})</f>
        <v>1</v>
      </c>
      <c r="F58" s="11"/>
      <c r="G58" s="11"/>
      <c r="H58" s="11"/>
      <c r="I58" s="11"/>
      <c r="J58" s="11"/>
    </row>
    <row r="65" spans="1:8" x14ac:dyDescent="0.75">
      <c r="A65" s="7" t="s">
        <v>14</v>
      </c>
      <c r="B65" s="4"/>
      <c r="C65" s="4"/>
      <c r="D65" s="4"/>
    </row>
    <row r="66" spans="1:8" x14ac:dyDescent="0.75">
      <c r="A66" s="12" t="s">
        <v>32</v>
      </c>
      <c r="B66" s="12">
        <v>1</v>
      </c>
      <c r="C66" s="12">
        <v>2</v>
      </c>
      <c r="D66" s="12">
        <v>6</v>
      </c>
    </row>
    <row r="67" spans="1:8" x14ac:dyDescent="0.75">
      <c r="A67" s="12" t="s">
        <v>15</v>
      </c>
      <c r="B67" s="12">
        <v>1</v>
      </c>
      <c r="C67" s="12">
        <v>1</v>
      </c>
      <c r="D67" s="12">
        <v>1</v>
      </c>
    </row>
    <row r="68" spans="1:8" x14ac:dyDescent="0.75">
      <c r="A68" s="12" t="s">
        <v>4</v>
      </c>
      <c r="B68" s="13">
        <f>AVERAGE(B19:B58)</f>
        <v>2.4</v>
      </c>
      <c r="C68" s="13">
        <f>AVERAGE(C19:C58)</f>
        <v>2.4</v>
      </c>
      <c r="D68" s="13"/>
    </row>
    <row r="69" spans="1:8" x14ac:dyDescent="0.75">
      <c r="A69" s="12" t="s">
        <v>5</v>
      </c>
      <c r="B69" s="13">
        <f>STDEV(B19:B58)</f>
        <v>0.73554445210717267</v>
      </c>
      <c r="C69" s="13">
        <f>STDEV(C19:C58)</f>
        <v>0.73554445210717267</v>
      </c>
      <c r="D69" s="13"/>
    </row>
    <row r="70" spans="1:8" x14ac:dyDescent="0.75">
      <c r="A70" s="12"/>
      <c r="B70" s="12"/>
      <c r="C70" s="12"/>
      <c r="D70" s="4"/>
    </row>
    <row r="71" spans="1:8" x14ac:dyDescent="0.75">
      <c r="A71" s="12" t="s">
        <v>9</v>
      </c>
      <c r="B71" s="12">
        <f>COUNTIFS(B19:B58,"&gt;=2.1",B19:B58,"&lt;=3")</f>
        <v>26</v>
      </c>
      <c r="C71" s="12">
        <f>COUNTIFS(C19:C58,"&gt;=2.1",C19:C58,"&lt;=3")</f>
        <v>26</v>
      </c>
      <c r="D71" s="12"/>
      <c r="F71" s="20">
        <f>AVERAGE(B71:D71)</f>
        <v>26</v>
      </c>
      <c r="G71" s="21">
        <f>F71/$C$74*100</f>
        <v>65</v>
      </c>
      <c r="H71" s="12" t="s">
        <v>9</v>
      </c>
    </row>
    <row r="72" spans="1:8" x14ac:dyDescent="0.75">
      <c r="A72" s="12" t="s">
        <v>10</v>
      </c>
      <c r="B72" s="12">
        <f>COUNTIFS(B19:B58,"&gt;=1.1",B19:B58,"&lt;=2")</f>
        <v>9</v>
      </c>
      <c r="C72" s="12">
        <f>COUNTIFS(C19:C58,"&gt;=1.1",C19:C58,"&lt;=2")</f>
        <v>9</v>
      </c>
      <c r="D72" s="12"/>
      <c r="F72" s="20">
        <f t="shared" ref="F72:F73" si="0">AVERAGE(B72:D72)</f>
        <v>9</v>
      </c>
      <c r="G72" s="21">
        <f t="shared" ref="G72:G73" si="1">F72/$C$74*100</f>
        <v>22.5</v>
      </c>
      <c r="H72" t="s">
        <v>10</v>
      </c>
    </row>
    <row r="73" spans="1:8" x14ac:dyDescent="0.75">
      <c r="A73" s="12" t="s">
        <v>7</v>
      </c>
      <c r="B73" s="12">
        <f>COUNTIF(B19:B58, 1)</f>
        <v>5</v>
      </c>
      <c r="C73" s="12">
        <f>COUNTIF(C19:C58, 1)</f>
        <v>5</v>
      </c>
      <c r="D73" s="12"/>
      <c r="F73" s="20">
        <f t="shared" si="0"/>
        <v>5</v>
      </c>
      <c r="G73" s="21">
        <f t="shared" si="1"/>
        <v>12.5</v>
      </c>
      <c r="H73" t="s">
        <v>7</v>
      </c>
    </row>
    <row r="74" spans="1:8" x14ac:dyDescent="0.75">
      <c r="A74" s="12" t="s">
        <v>8</v>
      </c>
      <c r="B74" s="12">
        <f>SUM(B70:B73)</f>
        <v>40</v>
      </c>
      <c r="C74" s="12">
        <f t="shared" ref="C74:D74" si="2">SUM(C70:C73)</f>
        <v>40</v>
      </c>
      <c r="D74" s="12"/>
      <c r="G74" s="21">
        <f>SUM(G71:G73)</f>
        <v>100</v>
      </c>
    </row>
    <row r="75" spans="1:8" x14ac:dyDescent="0.75">
      <c r="G75" s="21">
        <f>SUM(G71:G72)</f>
        <v>87.5</v>
      </c>
      <c r="H75" t="s">
        <v>46</v>
      </c>
    </row>
    <row r="76" spans="1:8" x14ac:dyDescent="0.75">
      <c r="A76" s="8" t="s">
        <v>13</v>
      </c>
      <c r="B76" s="5"/>
      <c r="C76" s="5"/>
      <c r="D76" s="5"/>
    </row>
    <row r="77" spans="1:8" x14ac:dyDescent="0.75">
      <c r="A77" s="5" t="s">
        <v>0</v>
      </c>
      <c r="B77" s="5">
        <v>1</v>
      </c>
      <c r="C77" s="5"/>
      <c r="D77" s="5"/>
    </row>
    <row r="78" spans="1:8" x14ac:dyDescent="0.75">
      <c r="A78" s="5" t="s">
        <v>11</v>
      </c>
      <c r="B78" s="6">
        <f>AVERAGE(B68:D68)</f>
        <v>2.4</v>
      </c>
      <c r="C78" s="6"/>
      <c r="D78" s="6"/>
    </row>
    <row r="79" spans="1:8" x14ac:dyDescent="0.75">
      <c r="A79" s="5" t="s">
        <v>12</v>
      </c>
      <c r="B79" s="6">
        <f>AVERAGE(B69:D69)</f>
        <v>0.73554445210717267</v>
      </c>
      <c r="C79" s="6"/>
      <c r="D79" s="6"/>
    </row>
    <row r="136" spans="6:11" x14ac:dyDescent="0.75">
      <c r="F136" s="2"/>
      <c r="G136" s="2"/>
      <c r="H136" s="2"/>
      <c r="I136" s="2"/>
      <c r="J136" s="2"/>
      <c r="K136" s="2"/>
    </row>
    <row r="158" spans="2:2" x14ac:dyDescent="0.75">
      <c r="B158" s="9"/>
    </row>
    <row r="159" spans="2:2" x14ac:dyDescent="0.75">
      <c r="B159" s="9"/>
    </row>
    <row r="160" spans="2:2" x14ac:dyDescent="0.75">
      <c r="B160" s="9"/>
    </row>
    <row r="161" spans="1:2" x14ac:dyDescent="0.75">
      <c r="B161" s="9"/>
    </row>
    <row r="163" spans="1:2" x14ac:dyDescent="0.75">
      <c r="A163" s="1"/>
    </row>
  </sheetData>
  <mergeCells count="1">
    <mergeCell ref="F17:J17"/>
  </mergeCells>
  <pageMargins left="0.7" right="0.7" top="0.75" bottom="0.75" header="0.3" footer="0.3"/>
  <pageSetup scale="38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B8" sqref="B8"/>
    </sheetView>
  </sheetViews>
  <sheetFormatPr defaultRowHeight="14.75" x14ac:dyDescent="0.75"/>
  <cols>
    <col min="1" max="1" width="5.26953125" bestFit="1" customWidth="1"/>
    <col min="2" max="2" width="93.1328125" bestFit="1" customWidth="1"/>
    <col min="3" max="3" width="18.40625" bestFit="1" customWidth="1"/>
    <col min="4" max="4" width="11.40625" bestFit="1" customWidth="1"/>
  </cols>
  <sheetData>
    <row r="1" spans="1:8" x14ac:dyDescent="0.75">
      <c r="A1" t="s">
        <v>35</v>
      </c>
      <c r="B1" t="s">
        <v>36</v>
      </c>
      <c r="C1" t="s">
        <v>37</v>
      </c>
    </row>
    <row r="2" spans="1:8" x14ac:dyDescent="0.75">
      <c r="A2">
        <v>1</v>
      </c>
      <c r="B2" t="s">
        <v>38</v>
      </c>
      <c r="C2" t="s">
        <v>42</v>
      </c>
      <c r="D2" s="11"/>
    </row>
    <row r="3" spans="1:8" x14ac:dyDescent="0.75">
      <c r="A3">
        <v>2</v>
      </c>
      <c r="B3" t="s">
        <v>39</v>
      </c>
      <c r="C3" s="17" t="s">
        <v>42</v>
      </c>
      <c r="D3" s="11"/>
    </row>
    <row r="4" spans="1:8" x14ac:dyDescent="0.75">
      <c r="A4">
        <v>5</v>
      </c>
      <c r="B4" t="s">
        <v>40</v>
      </c>
      <c r="C4" t="s">
        <v>43</v>
      </c>
      <c r="D4" s="11"/>
    </row>
    <row r="8" spans="1:8" x14ac:dyDescent="0.75">
      <c r="D8" s="11"/>
      <c r="E8" s="11"/>
      <c r="F8" s="11"/>
      <c r="G8" s="11"/>
      <c r="H8" s="11"/>
    </row>
    <row r="9" spans="1:8" x14ac:dyDescent="0.75">
      <c r="B9" s="17"/>
      <c r="D9" s="11"/>
      <c r="E9" s="11"/>
      <c r="F9" s="11"/>
      <c r="G9" s="11"/>
      <c r="H9" s="11"/>
    </row>
    <row r="10" spans="1:8" x14ac:dyDescent="0.75">
      <c r="D10" s="11"/>
      <c r="E10" s="11"/>
      <c r="F10" s="11"/>
      <c r="G10" s="11"/>
      <c r="H10" s="11"/>
    </row>
    <row r="11" spans="1:8" x14ac:dyDescent="0.75">
      <c r="D11" s="11"/>
      <c r="E11" s="11"/>
      <c r="F11" s="11"/>
      <c r="G11" s="11"/>
      <c r="H1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2020-03-06T20:00:58Z</cp:lastPrinted>
  <dcterms:created xsi:type="dcterms:W3CDTF">2013-01-15T05:38:26Z</dcterms:created>
  <dcterms:modified xsi:type="dcterms:W3CDTF">2026-06-02T23:16:23Z</dcterms:modified>
</cp:coreProperties>
</file>