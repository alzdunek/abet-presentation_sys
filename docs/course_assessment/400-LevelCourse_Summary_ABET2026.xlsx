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Section 4B6-400LevelConcentrationCourses\"/>
    </mc:Choice>
  </mc:AlternateContent>
  <xr:revisionPtr revIDLastSave="0" documentId="13_ncr:1_{FC401FFF-481F-4913-8D81-35E07B56F33A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2020-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C47" i="1" l="1"/>
  <c r="C42" i="1" l="1"/>
  <c r="C15" i="1" l="1"/>
  <c r="F6" i="1" l="1"/>
  <c r="F7" i="1"/>
  <c r="F5" i="1"/>
  <c r="C18" i="1"/>
  <c r="C24" i="1" l="1"/>
  <c r="F9" i="1" l="1"/>
  <c r="F8" i="1"/>
</calcChain>
</file>

<file path=xl/sharedStrings.xml><?xml version="1.0" encoding="utf-8"?>
<sst xmlns="http://schemas.openxmlformats.org/spreadsheetml/2006/main" count="59" uniqueCount="25">
  <si>
    <t>Satisfactory</t>
  </si>
  <si>
    <t>Developing</t>
  </si>
  <si>
    <t>Unsatisfactory</t>
  </si>
  <si>
    <t># Students</t>
  </si>
  <si>
    <t>Average Score</t>
  </si>
  <si>
    <t>Standard dev.</t>
  </si>
  <si>
    <t>% Satisfactory</t>
  </si>
  <si>
    <t>% Developing</t>
  </si>
  <si>
    <t>% Unsatisfactory</t>
  </si>
  <si>
    <t>%&gt; Developing</t>
  </si>
  <si>
    <t>Average Rating</t>
  </si>
  <si>
    <t>Total</t>
  </si>
  <si>
    <t>CHE 433</t>
  </si>
  <si>
    <t>CHE 451</t>
  </si>
  <si>
    <t>Standard Dev.</t>
  </si>
  <si>
    <t>400 level Course Assessments for Student Outcome 2 and 3</t>
  </si>
  <si>
    <t>CHE 422</t>
  </si>
  <si>
    <t>CHE 425</t>
  </si>
  <si>
    <t>CHE 453</t>
  </si>
  <si>
    <t>CHE 455</t>
  </si>
  <si>
    <t>(SLO 3)</t>
  </si>
  <si>
    <t>(SLO2)</t>
  </si>
  <si>
    <t>(SLO3)</t>
  </si>
  <si>
    <t xml:space="preserve">SLO 2 and SLO3 (433, 451, 453, 455 assessed): </t>
  </si>
  <si>
    <t>422 and 425not used in assessed: only have one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</si>
</sst>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2" fontId="0" fillId="0" borderId="1" xfId="0" applyNumberFormat="1" applyBorder="1"/>
    <xf numFmtId="0" fontId="0" fillId="0" borderId="0" xfId="0" applyAlignment="1">
      <alignment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zoomScale="90" zoomScaleNormal="90" workbookViewId="0">
      <selection activeCell="H37" sqref="H37"/>
    </sheetView>
  </sheetViews>
  <sheetFormatPr defaultRowHeight="14.75" x14ac:dyDescent="0.75"/>
  <cols>
    <col min="1" max="1" width="14.90625" customWidth="1"/>
    <col min="2" max="2" width="14" customWidth="1"/>
    <col min="5" max="5" width="18.81640625" customWidth="1"/>
    <col min="6" max="6" width="23.1796875" customWidth="1"/>
  </cols>
  <sheetData>
    <row r="1" spans="1:7" x14ac:dyDescent="0.75">
      <c r="A1" s="4"/>
      <c r="B1" s="5"/>
      <c r="C1" s="5"/>
      <c r="D1" s="5"/>
      <c r="E1" s="5"/>
      <c r="F1" s="5"/>
      <c r="G1" s="6"/>
    </row>
    <row r="2" spans="1:7" x14ac:dyDescent="0.75">
      <c r="A2" s="3" t="s">
        <v>15</v>
      </c>
    </row>
    <row r="3" spans="1:7" ht="50.75" customHeight="1" x14ac:dyDescent="0.75">
      <c r="E3" s="8" t="s">
        <v>23</v>
      </c>
      <c r="F3" s="8" t="s">
        <v>24</v>
      </c>
    </row>
    <row r="4" spans="1:7" x14ac:dyDescent="0.75">
      <c r="C4" t="s">
        <v>3</v>
      </c>
      <c r="F4" s="3"/>
    </row>
    <row r="5" spans="1:7" x14ac:dyDescent="0.75">
      <c r="A5" t="s">
        <v>16</v>
      </c>
      <c r="B5" t="s">
        <v>0</v>
      </c>
      <c r="C5" s="2">
        <v>4.8571428571428568</v>
      </c>
      <c r="E5" t="s">
        <v>6</v>
      </c>
      <c r="F5" s="2">
        <f>(C12+C21+C36+C44)/(C15+C24+C39+C47)*100</f>
        <v>79.464285714285708</v>
      </c>
    </row>
    <row r="6" spans="1:7" x14ac:dyDescent="0.75">
      <c r="A6" t="s">
        <v>20</v>
      </c>
      <c r="B6" t="s">
        <v>1</v>
      </c>
      <c r="C6" s="2">
        <v>1.1428571428571428</v>
      </c>
      <c r="E6" t="s">
        <v>7</v>
      </c>
      <c r="F6" s="2">
        <f>(C13+C22+C37+C45)/(C15+C24+C39+C47)*100</f>
        <v>15.327380952380951</v>
      </c>
    </row>
    <row r="7" spans="1:7" x14ac:dyDescent="0.75">
      <c r="B7" t="s">
        <v>2</v>
      </c>
      <c r="C7" s="2">
        <v>0</v>
      </c>
      <c r="E7" t="s">
        <v>8</v>
      </c>
      <c r="F7" s="2">
        <f>(C14+C23+C38+C46)/(C15+C24+C39+C47)*100</f>
        <v>5.2083333333333339</v>
      </c>
    </row>
    <row r="8" spans="1:7" x14ac:dyDescent="0.75">
      <c r="B8" t="s">
        <v>11</v>
      </c>
      <c r="C8">
        <v>6</v>
      </c>
      <c r="F8" s="2">
        <f>SUM(F5:F7)</f>
        <v>99.999999999999986</v>
      </c>
    </row>
    <row r="9" spans="1:7" x14ac:dyDescent="0.75">
      <c r="A9" t="s">
        <v>4</v>
      </c>
      <c r="B9" s="1">
        <v>2.82</v>
      </c>
      <c r="E9" t="s">
        <v>9</v>
      </c>
      <c r="F9" s="2">
        <f>SUM(F5:F6)</f>
        <v>94.791666666666657</v>
      </c>
    </row>
    <row r="10" spans="1:7" x14ac:dyDescent="0.75">
      <c r="B10" s="1">
        <v>0.56999999999999995</v>
      </c>
      <c r="E10" t="s">
        <v>10</v>
      </c>
      <c r="F10" s="1">
        <f>AVERAGE(B16,B25,B40,B48)</f>
        <v>2.72</v>
      </c>
    </row>
    <row r="12" spans="1:7" x14ac:dyDescent="0.75">
      <c r="A12" t="s">
        <v>12</v>
      </c>
      <c r="B12" t="s">
        <v>0</v>
      </c>
      <c r="C12" s="9">
        <v>16.333333333333332</v>
      </c>
      <c r="F12" s="2"/>
    </row>
    <row r="13" spans="1:7" x14ac:dyDescent="0.75">
      <c r="A13" t="s">
        <v>21</v>
      </c>
      <c r="B13" t="s">
        <v>1</v>
      </c>
      <c r="C13" s="9">
        <v>1</v>
      </c>
      <c r="F13" s="1"/>
    </row>
    <row r="14" spans="1:7" x14ac:dyDescent="0.75">
      <c r="B14" t="s">
        <v>2</v>
      </c>
      <c r="C14" s="9">
        <v>1.6666666666666667</v>
      </c>
    </row>
    <row r="15" spans="1:7" x14ac:dyDescent="0.75">
      <c r="B15" t="s">
        <v>11</v>
      </c>
      <c r="C15">
        <f>SUM(C12:C14)</f>
        <v>19</v>
      </c>
    </row>
    <row r="16" spans="1:7" x14ac:dyDescent="0.75">
      <c r="A16" t="s">
        <v>4</v>
      </c>
      <c r="B16" s="1">
        <v>2.77</v>
      </c>
    </row>
    <row r="17" spans="1:7" x14ac:dyDescent="0.75">
      <c r="A17" t="s">
        <v>5</v>
      </c>
      <c r="B17" s="1">
        <v>0.16</v>
      </c>
    </row>
    <row r="18" spans="1:7" x14ac:dyDescent="0.75">
      <c r="B18" t="s">
        <v>11</v>
      </c>
      <c r="C18">
        <f>SUM(C15:C17)</f>
        <v>19</v>
      </c>
    </row>
    <row r="19" spans="1:7" x14ac:dyDescent="0.75">
      <c r="B19" s="1"/>
    </row>
    <row r="20" spans="1:7" x14ac:dyDescent="0.75">
      <c r="C20" t="s">
        <v>3</v>
      </c>
    </row>
    <row r="21" spans="1:7" x14ac:dyDescent="0.75">
      <c r="A21" t="s">
        <v>13</v>
      </c>
      <c r="B21" t="s">
        <v>0</v>
      </c>
      <c r="C21">
        <v>6</v>
      </c>
    </row>
    <row r="22" spans="1:7" x14ac:dyDescent="0.75">
      <c r="A22" t="s">
        <v>21</v>
      </c>
      <c r="B22" t="s">
        <v>1</v>
      </c>
      <c r="C22">
        <v>3</v>
      </c>
    </row>
    <row r="23" spans="1:7" x14ac:dyDescent="0.75">
      <c r="B23" t="s">
        <v>2</v>
      </c>
      <c r="C23">
        <v>0</v>
      </c>
    </row>
    <row r="24" spans="1:7" x14ac:dyDescent="0.75">
      <c r="B24" t="s">
        <v>11</v>
      </c>
      <c r="C24">
        <f>SUM(C21:C23)</f>
        <v>9</v>
      </c>
    </row>
    <row r="25" spans="1:7" x14ac:dyDescent="0.75">
      <c r="A25" t="s">
        <v>4</v>
      </c>
      <c r="B25">
        <v>2.63</v>
      </c>
    </row>
    <row r="26" spans="1:7" x14ac:dyDescent="0.75">
      <c r="A26" t="s">
        <v>14</v>
      </c>
      <c r="B26" s="1">
        <v>0.2</v>
      </c>
    </row>
    <row r="27" spans="1:7" x14ac:dyDescent="0.75">
      <c r="A27" s="4"/>
      <c r="B27" s="7"/>
      <c r="C27" s="5"/>
      <c r="D27" s="5"/>
      <c r="E27" s="5"/>
      <c r="F27" s="5"/>
      <c r="G27" s="6"/>
    </row>
    <row r="28" spans="1:7" x14ac:dyDescent="0.75">
      <c r="C28" t="s">
        <v>3</v>
      </c>
    </row>
    <row r="29" spans="1:7" x14ac:dyDescent="0.75">
      <c r="A29" t="s">
        <v>17</v>
      </c>
      <c r="B29" t="s">
        <v>0</v>
      </c>
      <c r="C29">
        <v>1</v>
      </c>
    </row>
    <row r="30" spans="1:7" x14ac:dyDescent="0.75">
      <c r="A30" t="s">
        <v>22</v>
      </c>
      <c r="B30" t="s">
        <v>1</v>
      </c>
      <c r="C30">
        <v>0</v>
      </c>
      <c r="F30" s="3"/>
    </row>
    <row r="31" spans="1:7" x14ac:dyDescent="0.75">
      <c r="B31" t="s">
        <v>2</v>
      </c>
      <c r="C31">
        <v>0</v>
      </c>
      <c r="F31" s="2"/>
    </row>
    <row r="32" spans="1:7" x14ac:dyDescent="0.75">
      <c r="B32" t="s">
        <v>11</v>
      </c>
      <c r="C32">
        <v>1</v>
      </c>
      <c r="F32" s="2"/>
    </row>
    <row r="33" spans="1:6" x14ac:dyDescent="0.75">
      <c r="A33" t="s">
        <v>4</v>
      </c>
      <c r="B33" s="1">
        <v>3</v>
      </c>
      <c r="F33" s="2"/>
    </row>
    <row r="34" spans="1:6" x14ac:dyDescent="0.75">
      <c r="B34" s="1"/>
      <c r="F34" s="2"/>
    </row>
    <row r="35" spans="1:6" x14ac:dyDescent="0.75">
      <c r="F35" s="2"/>
    </row>
    <row r="36" spans="1:6" x14ac:dyDescent="0.75">
      <c r="A36" t="s">
        <v>18</v>
      </c>
      <c r="B36" t="s">
        <v>0</v>
      </c>
      <c r="C36" s="2">
        <v>0.66666666666666663</v>
      </c>
      <c r="F36" s="1"/>
    </row>
    <row r="37" spans="1:6" x14ac:dyDescent="0.75">
      <c r="A37" t="s">
        <v>22</v>
      </c>
      <c r="B37" t="s">
        <v>1</v>
      </c>
      <c r="C37" s="2">
        <v>0.33333333333333331</v>
      </c>
    </row>
    <row r="38" spans="1:6" x14ac:dyDescent="0.75">
      <c r="B38" t="s">
        <v>2</v>
      </c>
      <c r="C38" s="2">
        <v>0</v>
      </c>
    </row>
    <row r="39" spans="1:6" x14ac:dyDescent="0.75">
      <c r="B39" t="s">
        <v>11</v>
      </c>
      <c r="C39">
        <v>1</v>
      </c>
    </row>
    <row r="40" spans="1:6" x14ac:dyDescent="0.75">
      <c r="A40" t="s">
        <v>4</v>
      </c>
      <c r="B40" s="1">
        <v>2.67</v>
      </c>
    </row>
    <row r="41" spans="1:6" x14ac:dyDescent="0.75">
      <c r="A41" t="s">
        <v>5</v>
      </c>
      <c r="B41" s="1"/>
    </row>
    <row r="42" spans="1:6" x14ac:dyDescent="0.75">
      <c r="B42" t="s">
        <v>11</v>
      </c>
      <c r="C42">
        <f>SUM(C39:C41)</f>
        <v>1</v>
      </c>
    </row>
    <row r="43" spans="1:6" x14ac:dyDescent="0.75">
      <c r="B43" s="1"/>
    </row>
    <row r="44" spans="1:6" x14ac:dyDescent="0.75">
      <c r="A44" t="s">
        <v>19</v>
      </c>
      <c r="B44" t="s">
        <v>0</v>
      </c>
      <c r="C44" s="9">
        <v>2.4285714285714284</v>
      </c>
    </row>
    <row r="45" spans="1:6" x14ac:dyDescent="0.75">
      <c r="A45" t="s">
        <v>22</v>
      </c>
      <c r="B45" t="s">
        <v>1</v>
      </c>
      <c r="C45" s="9">
        <v>0.5714285714285714</v>
      </c>
    </row>
    <row r="46" spans="1:6" x14ac:dyDescent="0.75">
      <c r="B46" t="s">
        <v>2</v>
      </c>
      <c r="C46" s="9">
        <v>0</v>
      </c>
    </row>
    <row r="47" spans="1:6" x14ac:dyDescent="0.75">
      <c r="B47" t="s">
        <v>11</v>
      </c>
      <c r="C47">
        <f>SUM(C44:C46)</f>
        <v>3</v>
      </c>
    </row>
    <row r="48" spans="1:6" x14ac:dyDescent="0.75">
      <c r="A48" t="s">
        <v>4</v>
      </c>
      <c r="B48" s="1">
        <v>2.81</v>
      </c>
      <c r="F48" s="2"/>
    </row>
    <row r="49" spans="1:6" x14ac:dyDescent="0.75">
      <c r="A49" t="s">
        <v>14</v>
      </c>
      <c r="B49" s="1">
        <v>0.31</v>
      </c>
      <c r="F49" s="2"/>
    </row>
    <row r="50" spans="1:6" x14ac:dyDescent="0.75">
      <c r="B50" s="1"/>
      <c r="F50" s="2"/>
    </row>
    <row r="51" spans="1:6" x14ac:dyDescent="0.75">
      <c r="F51" s="2"/>
    </row>
    <row r="52" spans="1:6" x14ac:dyDescent="0.75">
      <c r="B52" s="1"/>
      <c r="F52" s="2"/>
    </row>
    <row r="53" spans="1:6" x14ac:dyDescent="0.75">
      <c r="B53" s="1"/>
      <c r="F53" s="1"/>
    </row>
    <row r="59" spans="1:6" x14ac:dyDescent="0.75">
      <c r="B59" s="1"/>
    </row>
    <row r="60" spans="1:6" x14ac:dyDescent="0.75">
      <c r="B60" s="1"/>
    </row>
    <row r="67" spans="2:2" x14ac:dyDescent="0.75">
      <c r="B67" s="1"/>
    </row>
    <row r="68" spans="2:2" x14ac:dyDescent="0.75">
      <c r="B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2020-2026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Zdunek, Alan</cp:lastModifiedBy>
  <dcterms:created xsi:type="dcterms:W3CDTF">2020-06-05T20:26:38Z</dcterms:created>
  <dcterms:modified xsi:type="dcterms:W3CDTF">2026-06-03T15:59:56Z</dcterms:modified>
</cp:coreProperties>
</file>