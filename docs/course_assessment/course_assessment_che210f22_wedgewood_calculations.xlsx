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dge\Documents\ABET\ABET 2026\"/>
    </mc:Choice>
  </mc:AlternateContent>
  <xr:revisionPtr revIDLastSave="0" documentId="8_{9C349177-A562-40C1-9BFF-9AF4B82ECC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C44" i="1"/>
  <c r="B44" i="1"/>
  <c r="C43" i="1"/>
  <c r="B43" i="1" l="1"/>
  <c r="D43" i="1" l="1"/>
  <c r="B53" i="1" l="1"/>
  <c r="B54" i="1"/>
  <c r="C49" i="1"/>
  <c r="D49" i="1"/>
  <c r="D44" i="1" l="1"/>
</calcChain>
</file>

<file path=xl/sharedStrings.xml><?xml version="1.0" encoding="utf-8"?>
<sst xmlns="http://schemas.openxmlformats.org/spreadsheetml/2006/main" count="37" uniqueCount="37">
  <si>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</si>
  <si>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</si>
  <si>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</si>
  <si>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</si>
  <si>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</si>
  <si>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</si>
  <si>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</si>
  <si>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</si>
  <si>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</si>
  <si>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</si>
  <si>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</si>
  <si>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</si>
  <si>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</si>
  <si>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</si>
  <si>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</si>
  <si>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</si>
  <si>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</si>
  <si>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</si>
  <si>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</si>
  <si>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</si>
  <si>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</si>
  <si>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</si>
  <si>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</si>
  <si>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</si>
  <si>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</si>
  <si>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</si>
  <si>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</si>
  <si>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</si>
  <si>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</si>
  <si>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</si>
  <si>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</si>
  <si>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 </t>
  </si>
  <si>
    <t>Material and Energy Balances</t>
  </si>
  <si>
    <t>Prepared by L.E. Wedgewood</t>
  </si>
  <si>
    <t>Assessment rubric: First Midterm Exam,  Problem 2</t>
  </si>
  <si>
    <t>Rubric item (PI)</t>
  </si>
  <si>
    <t>CHE 210 Fall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</si>
</sst>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8"/>
  <sheetViews>
    <sheetView tabSelected="1" workbookViewId="0">
      <selection activeCell="I21" sqref="I21"/>
    </sheetView>
  </sheetViews>
  <sheetFormatPr defaultRowHeight="14.4" x14ac:dyDescent="0.3"/>
  <cols>
    <col min="1" max="1" width="27.77734375" customWidth="1"/>
    <col min="2" max="2" width="11.5546875" customWidth="1"/>
    <col min="3" max="3" width="11" customWidth="1"/>
    <col min="8" max="8" width="9.109375" customWidth="1"/>
    <col min="11" max="11" width="16" customWidth="1"/>
    <col min="12" max="12" width="17.44140625" customWidth="1"/>
    <col min="13" max="13" width="16.109375" customWidth="1"/>
    <col min="15" max="15" width="9.109375" customWidth="1"/>
  </cols>
  <sheetData>
    <row r="1" spans="1:22" x14ac:dyDescent="0.3">
      <c r="A1" s="1" t="s">
        <v>36</v>
      </c>
      <c r="F1" s="1" t="s">
        <v>18</v>
      </c>
    </row>
    <row r="2" spans="1:22" ht="15.6" x14ac:dyDescent="0.3">
      <c r="A2" s="1" t="s">
        <v>32</v>
      </c>
      <c r="F2" s="17" t="s">
        <v>17</v>
      </c>
    </row>
    <row r="3" spans="1:22" x14ac:dyDescent="0.3">
      <c r="A3" s="1" t="s">
        <v>24</v>
      </c>
      <c r="F3" t="s">
        <v>19</v>
      </c>
    </row>
    <row r="4" spans="1:22" x14ac:dyDescent="0.3">
      <c r="A4" t="s">
        <v>34</v>
      </c>
    </row>
    <row r="5" spans="1:22" x14ac:dyDescent="0.3">
      <c r="A5" t="s">
        <v>33</v>
      </c>
      <c r="F5" s="1" t="s">
        <v>20</v>
      </c>
    </row>
    <row r="6" spans="1:22" x14ac:dyDescent="0.3">
      <c r="F6" s="18" t="s">
        <v>21</v>
      </c>
      <c r="G6" s="18"/>
      <c r="H6" s="18"/>
      <c r="I6" s="18"/>
      <c r="J6" s="18"/>
      <c r="K6" s="18"/>
      <c r="L6" s="18"/>
      <c r="M6" s="18"/>
    </row>
    <row r="7" spans="1:22" x14ac:dyDescent="0.3">
      <c r="F7" s="18" t="s">
        <v>22</v>
      </c>
      <c r="G7" s="18"/>
      <c r="H7" s="18"/>
      <c r="I7" s="18"/>
      <c r="J7" s="18"/>
      <c r="K7" s="18"/>
      <c r="L7" s="18"/>
      <c r="M7" s="18"/>
      <c r="N7" s="18"/>
    </row>
    <row r="8" spans="1:22" x14ac:dyDescent="0.3">
      <c r="F8" t="s">
        <v>23</v>
      </c>
    </row>
    <row r="9" spans="1:22" x14ac:dyDescent="0.3">
      <c r="A9" s="3" t="s">
        <v>16</v>
      </c>
      <c r="B9" s="3"/>
      <c r="C9" s="3"/>
      <c r="F9" s="18" t="s">
        <v>27</v>
      </c>
      <c r="G9" s="18"/>
      <c r="H9" s="18"/>
      <c r="I9" s="18"/>
      <c r="J9" s="18"/>
      <c r="K9" s="18"/>
    </row>
    <row r="10" spans="1:22" x14ac:dyDescent="0.3">
      <c r="A10" s="3">
        <v>1</v>
      </c>
      <c r="B10" s="3" t="s">
        <v>1</v>
      </c>
      <c r="C10" s="3"/>
      <c r="F10" t="s">
        <v>28</v>
      </c>
      <c r="N10" t="s">
        <v>31</v>
      </c>
    </row>
    <row r="11" spans="1:22" x14ac:dyDescent="0.3">
      <c r="A11" s="3">
        <v>2</v>
      </c>
      <c r="B11" s="3" t="s">
        <v>2</v>
      </c>
      <c r="C11" s="3"/>
      <c r="F11" t="s">
        <v>29</v>
      </c>
    </row>
    <row r="12" spans="1:22" x14ac:dyDescent="0.3">
      <c r="A12" s="3">
        <v>3</v>
      </c>
      <c r="B12" s="3" t="s">
        <v>3</v>
      </c>
      <c r="C12" s="3"/>
      <c r="F12" t="s">
        <v>30</v>
      </c>
    </row>
    <row r="13" spans="1:22" x14ac:dyDescent="0.3">
      <c r="A13" s="3"/>
      <c r="B13" s="3"/>
      <c r="C13" s="3"/>
      <c r="V13" t="s">
        <v>26</v>
      </c>
    </row>
    <row r="15" spans="1:22" x14ac:dyDescent="0.3">
      <c r="A15" s="12" t="s">
        <v>25</v>
      </c>
      <c r="B15" s="12">
        <v>1</v>
      </c>
      <c r="C15" s="12">
        <v>2</v>
      </c>
      <c r="D15" s="12">
        <v>4</v>
      </c>
      <c r="E15" s="12"/>
    </row>
    <row r="16" spans="1:22" x14ac:dyDescent="0.3">
      <c r="A16" s="12"/>
      <c r="B16" s="13"/>
      <c r="C16" s="13"/>
      <c r="D16" s="13"/>
      <c r="E16" s="13"/>
      <c r="F16" s="2"/>
      <c r="G16" s="2"/>
    </row>
    <row r="17" spans="1:4" x14ac:dyDescent="0.3">
      <c r="B17" s="2"/>
    </row>
    <row r="18" spans="1:4" x14ac:dyDescent="0.3">
      <c r="A18" t="s">
        <v>6</v>
      </c>
      <c r="B18" s="2"/>
    </row>
    <row r="19" spans="1:4" x14ac:dyDescent="0.3">
      <c r="A19" s="14">
        <v>1</v>
      </c>
      <c r="B19" s="14">
        <v>2</v>
      </c>
      <c r="C19" s="14">
        <v>2</v>
      </c>
      <c r="D19" s="14">
        <v>3</v>
      </c>
    </row>
    <row r="20" spans="1:4" x14ac:dyDescent="0.3">
      <c r="A20" s="14">
        <v>2</v>
      </c>
      <c r="B20" s="14">
        <v>2</v>
      </c>
      <c r="C20" s="14">
        <v>2</v>
      </c>
      <c r="D20" s="14">
        <v>3</v>
      </c>
    </row>
    <row r="21" spans="1:4" x14ac:dyDescent="0.3">
      <c r="A21" s="14">
        <v>3</v>
      </c>
      <c r="B21" s="14">
        <v>1</v>
      </c>
      <c r="C21" s="14">
        <v>1</v>
      </c>
      <c r="D21" s="14">
        <v>2</v>
      </c>
    </row>
    <row r="22" spans="1:4" x14ac:dyDescent="0.3">
      <c r="A22" s="14">
        <v>4</v>
      </c>
      <c r="B22" s="14">
        <v>1</v>
      </c>
      <c r="C22" s="14">
        <v>1</v>
      </c>
      <c r="D22" s="14">
        <v>2</v>
      </c>
    </row>
    <row r="23" spans="1:4" x14ac:dyDescent="0.3">
      <c r="A23" s="14">
        <v>5</v>
      </c>
      <c r="B23" s="14">
        <v>3</v>
      </c>
      <c r="C23" s="14">
        <v>2</v>
      </c>
      <c r="D23" s="14">
        <v>3</v>
      </c>
    </row>
    <row r="24" spans="1:4" x14ac:dyDescent="0.3">
      <c r="A24" s="14">
        <v>6</v>
      </c>
      <c r="B24" s="14">
        <v>3</v>
      </c>
      <c r="C24" s="14">
        <v>2</v>
      </c>
      <c r="D24" s="14">
        <v>3</v>
      </c>
    </row>
    <row r="25" spans="1:4" x14ac:dyDescent="0.3">
      <c r="A25" s="14">
        <v>7</v>
      </c>
      <c r="B25" s="14">
        <v>3</v>
      </c>
      <c r="C25" s="14">
        <v>3</v>
      </c>
      <c r="D25" s="14">
        <v>3</v>
      </c>
    </row>
    <row r="26" spans="1:4" x14ac:dyDescent="0.3">
      <c r="A26" s="14">
        <v>8</v>
      </c>
      <c r="B26" s="14">
        <v>3</v>
      </c>
      <c r="C26" s="14">
        <v>2</v>
      </c>
      <c r="D26" s="14">
        <v>2</v>
      </c>
    </row>
    <row r="27" spans="1:4" x14ac:dyDescent="0.3">
      <c r="A27" s="14">
        <v>9</v>
      </c>
      <c r="B27" s="14">
        <v>2</v>
      </c>
      <c r="C27" s="14">
        <v>2</v>
      </c>
      <c r="D27" s="14">
        <v>3</v>
      </c>
    </row>
    <row r="28" spans="1:4" x14ac:dyDescent="0.3">
      <c r="A28" s="14">
        <v>10</v>
      </c>
      <c r="B28" s="14">
        <v>1</v>
      </c>
      <c r="C28" s="14">
        <v>1</v>
      </c>
      <c r="D28" s="14">
        <v>1</v>
      </c>
    </row>
    <row r="29" spans="1:4" x14ac:dyDescent="0.3">
      <c r="A29" s="14">
        <v>11</v>
      </c>
      <c r="B29" s="14">
        <v>3</v>
      </c>
      <c r="C29" s="14">
        <v>3</v>
      </c>
      <c r="D29" s="14">
        <v>3</v>
      </c>
    </row>
    <row r="30" spans="1:4" x14ac:dyDescent="0.3">
      <c r="A30" s="14">
        <v>12</v>
      </c>
      <c r="B30" s="14">
        <v>2</v>
      </c>
      <c r="C30" s="14">
        <v>3</v>
      </c>
      <c r="D30" s="14">
        <v>3</v>
      </c>
    </row>
    <row r="31" spans="1:4" x14ac:dyDescent="0.3">
      <c r="A31" s="14">
        <v>13</v>
      </c>
      <c r="B31" s="14">
        <v>1</v>
      </c>
      <c r="C31" s="14">
        <v>1</v>
      </c>
      <c r="D31" s="14">
        <v>2</v>
      </c>
    </row>
    <row r="32" spans="1:4" x14ac:dyDescent="0.3">
      <c r="A32" s="14">
        <v>14</v>
      </c>
      <c r="B32" s="14">
        <v>1</v>
      </c>
      <c r="C32" s="14">
        <v>1</v>
      </c>
      <c r="D32" s="14">
        <v>2</v>
      </c>
    </row>
    <row r="33" spans="1:5" x14ac:dyDescent="0.3">
      <c r="A33" s="14">
        <v>15</v>
      </c>
      <c r="B33" s="14">
        <v>1</v>
      </c>
      <c r="C33" s="14">
        <v>3</v>
      </c>
      <c r="D33" s="14">
        <v>3</v>
      </c>
    </row>
    <row r="34" spans="1:5" x14ac:dyDescent="0.3">
      <c r="A34" s="14">
        <v>16</v>
      </c>
      <c r="B34" s="14">
        <v>3</v>
      </c>
      <c r="C34" s="14">
        <v>2</v>
      </c>
      <c r="D34" s="14">
        <v>3</v>
      </c>
    </row>
    <row r="35" spans="1:5" x14ac:dyDescent="0.3">
      <c r="A35" s="14">
        <v>17</v>
      </c>
      <c r="B35" s="14">
        <v>1</v>
      </c>
      <c r="C35" s="14">
        <v>1</v>
      </c>
      <c r="D35" s="14">
        <v>3</v>
      </c>
    </row>
    <row r="36" spans="1:5" x14ac:dyDescent="0.3">
      <c r="A36" s="14">
        <v>18</v>
      </c>
      <c r="B36" s="14">
        <v>1</v>
      </c>
      <c r="C36" s="14">
        <v>1</v>
      </c>
      <c r="D36" s="14">
        <v>2</v>
      </c>
    </row>
    <row r="37" spans="1:5" x14ac:dyDescent="0.3">
      <c r="A37" s="14">
        <v>19</v>
      </c>
      <c r="B37" s="14">
        <v>3</v>
      </c>
      <c r="C37" s="14">
        <v>1</v>
      </c>
      <c r="D37" s="14">
        <v>3</v>
      </c>
    </row>
    <row r="38" spans="1:5" x14ac:dyDescent="0.3">
      <c r="B38" s="2"/>
    </row>
    <row r="40" spans="1:5" x14ac:dyDescent="0.3">
      <c r="A40" s="9" t="s">
        <v>14</v>
      </c>
      <c r="B40" s="4"/>
      <c r="C40" s="4"/>
      <c r="D40" s="4"/>
      <c r="E40" s="4"/>
    </row>
    <row r="41" spans="1:5" x14ac:dyDescent="0.3">
      <c r="A41" s="15" t="s">
        <v>35</v>
      </c>
      <c r="B41" s="15">
        <v>1</v>
      </c>
      <c r="C41" s="15">
        <v>2</v>
      </c>
      <c r="D41" s="15">
        <v>4</v>
      </c>
      <c r="E41" s="4"/>
    </row>
    <row r="42" spans="1:5" x14ac:dyDescent="0.3">
      <c r="A42" s="15" t="s">
        <v>15</v>
      </c>
      <c r="B42" s="15">
        <v>1</v>
      </c>
      <c r="C42" s="15">
        <v>1</v>
      </c>
      <c r="D42" s="15">
        <v>1</v>
      </c>
      <c r="E42" s="5"/>
    </row>
    <row r="43" spans="1:5" x14ac:dyDescent="0.3">
      <c r="A43" s="15" t="s">
        <v>4</v>
      </c>
      <c r="B43" s="16">
        <f>AVERAGE(B19:B37)</f>
        <v>1.9473684210526316</v>
      </c>
      <c r="C43" s="16">
        <f>AVERAGE(C19:C37)</f>
        <v>1.7894736842105263</v>
      </c>
      <c r="D43" s="16">
        <f>AVERAGE(D19:D37)</f>
        <v>2.5789473684210527</v>
      </c>
      <c r="E43" s="8"/>
    </row>
    <row r="44" spans="1:5" x14ac:dyDescent="0.3">
      <c r="A44" s="15" t="s">
        <v>5</v>
      </c>
      <c r="B44" s="16">
        <f>STDEV(B19:B37)</f>
        <v>0.91126799391021418</v>
      </c>
      <c r="C44" s="16">
        <f>STDEV(C19:C37)</f>
        <v>0.78732651481813587</v>
      </c>
      <c r="D44" s="16">
        <f>STDEV(D19:D38)</f>
        <v>0.60697697866688416</v>
      </c>
      <c r="E44" s="8"/>
    </row>
    <row r="45" spans="1:5" x14ac:dyDescent="0.3">
      <c r="A45" s="15"/>
      <c r="B45" s="15"/>
      <c r="C45" s="15"/>
      <c r="D45" s="15"/>
      <c r="E45" s="4"/>
    </row>
    <row r="46" spans="1:5" x14ac:dyDescent="0.3">
      <c r="A46" s="15" t="s">
        <v>9</v>
      </c>
      <c r="B46" s="15">
        <v>7</v>
      </c>
      <c r="C46" s="15">
        <v>4</v>
      </c>
      <c r="D46" s="15">
        <v>11</v>
      </c>
      <c r="E46" s="4"/>
    </row>
    <row r="47" spans="1:5" x14ac:dyDescent="0.3">
      <c r="A47" s="15" t="s">
        <v>10</v>
      </c>
      <c r="B47" s="15">
        <v>4</v>
      </c>
      <c r="C47" s="15">
        <v>7</v>
      </c>
      <c r="D47" s="15">
        <v>7</v>
      </c>
      <c r="E47" s="4"/>
    </row>
    <row r="48" spans="1:5" x14ac:dyDescent="0.3">
      <c r="A48" s="15" t="s">
        <v>7</v>
      </c>
      <c r="B48" s="15">
        <v>8</v>
      </c>
      <c r="C48" s="15">
        <v>8</v>
      </c>
      <c r="D48" s="15">
        <v>1</v>
      </c>
      <c r="E48" s="4"/>
    </row>
    <row r="49" spans="1:6" x14ac:dyDescent="0.3">
      <c r="A49" s="15" t="s">
        <v>8</v>
      </c>
      <c r="B49" s="15">
        <f>SUM(B45:B48)</f>
        <v>19</v>
      </c>
      <c r="C49" s="15">
        <f t="shared" ref="C49:D49" si="0">SUM(C45:C48)</f>
        <v>19</v>
      </c>
      <c r="D49" s="15">
        <f t="shared" si="0"/>
        <v>19</v>
      </c>
      <c r="E49" s="4"/>
    </row>
    <row r="51" spans="1:6" x14ac:dyDescent="0.3">
      <c r="A51" s="10" t="s">
        <v>13</v>
      </c>
      <c r="B51" s="6"/>
      <c r="C51" s="6"/>
      <c r="D51" s="6"/>
      <c r="E51" s="6"/>
      <c r="F51" s="6"/>
    </row>
    <row r="52" spans="1:6" x14ac:dyDescent="0.3">
      <c r="A52" s="6" t="s">
        <v>0</v>
      </c>
      <c r="B52" s="6">
        <v>1</v>
      </c>
      <c r="C52" s="6"/>
      <c r="D52" s="6"/>
      <c r="E52" s="6"/>
      <c r="F52" s="6"/>
    </row>
    <row r="53" spans="1:6" x14ac:dyDescent="0.3">
      <c r="A53" s="6" t="s">
        <v>11</v>
      </c>
      <c r="B53" s="7">
        <f>AVERAGE(B43:D43)</f>
        <v>2.1052631578947367</v>
      </c>
      <c r="C53" s="7"/>
      <c r="D53" s="7"/>
      <c r="E53" s="7"/>
      <c r="F53" s="7"/>
    </row>
    <row r="54" spans="1:6" x14ac:dyDescent="0.3">
      <c r="A54" s="6" t="s">
        <v>12</v>
      </c>
      <c r="B54" s="7">
        <f>_xlfn.STDEV.P(B43:D43)</f>
        <v>0.34109161570567575</v>
      </c>
      <c r="C54" s="7"/>
      <c r="D54" s="7"/>
      <c r="E54" s="7"/>
      <c r="F54" s="7"/>
    </row>
    <row r="66" spans="9:13" x14ac:dyDescent="0.3">
      <c r="I66" s="2"/>
      <c r="J66" s="2"/>
      <c r="K66" s="2"/>
      <c r="L66" s="2"/>
      <c r="M66" s="2"/>
    </row>
    <row r="151" spans="8:13" x14ac:dyDescent="0.3">
      <c r="H151" s="2"/>
      <c r="I151" s="2"/>
      <c r="J151" s="2"/>
      <c r="K151" s="2"/>
      <c r="L151" s="2"/>
      <c r="M151" s="2"/>
    </row>
    <row r="173" spans="2:2" x14ac:dyDescent="0.3">
      <c r="B173" s="11"/>
    </row>
    <row r="174" spans="2:2" x14ac:dyDescent="0.3">
      <c r="B174" s="11"/>
    </row>
    <row r="175" spans="2:2" x14ac:dyDescent="0.3">
      <c r="B175" s="11"/>
    </row>
    <row r="176" spans="2:2" x14ac:dyDescent="0.3">
      <c r="B176" s="11"/>
    </row>
    <row r="178" spans="1:1" x14ac:dyDescent="0.3">
      <c r="A178" s="1"/>
    </row>
  </sheetData>
  <sortState xmlns:xlrd2="http://schemas.microsoft.com/office/spreadsheetml/2017/richdata2" ref="D19:D39">
    <sortCondition ref="D19:D39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Wedgewood, Lewis E</cp:lastModifiedBy>
  <cp:lastPrinted>2020-03-06T20:00:58Z</cp:lastPrinted>
  <dcterms:created xsi:type="dcterms:W3CDTF">2013-01-15T05:38:26Z</dcterms:created>
  <dcterms:modified xsi:type="dcterms:W3CDTF">2026-05-08T20:35:19Z</dcterms:modified>
</cp:coreProperties>
</file>