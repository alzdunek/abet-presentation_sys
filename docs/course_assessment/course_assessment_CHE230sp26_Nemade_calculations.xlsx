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ABET_2026_InProgress\2026 Self-Study Report\Criterion4-ContinuousImprovement\Course Assessments\CHE200-Level Assessment\"/>
    </mc:Choice>
  </mc:AlternateContent>
  <xr:revisionPtr revIDLastSave="0" documentId="13_ncr:1_{53D6D2F2-3BA2-4F9C-86D7-C5D059346BBD}" xr6:coauthVersionLast="47" xr6:coauthVersionMax="47" xr10:uidLastSave="{00000000-0000-0000-0000-000000000000}"/>
  <bookViews>
    <workbookView xWindow="4848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H88" i="1" l="1"/>
  <c r="H87" i="1"/>
  <c r="H86" i="1"/>
  <c r="C88" i="1"/>
  <c r="C87" i="1"/>
  <c r="C86" i="1"/>
  <c r="G86" i="1" l="1"/>
  <c r="G87" i="1"/>
  <c r="C84" i="1"/>
  <c r="C83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20" i="1"/>
  <c r="C19" i="1"/>
  <c r="B93" i="1" l="1"/>
  <c r="H89" i="1" l="1"/>
  <c r="H90" i="1"/>
  <c r="B94" i="1"/>
  <c r="C89" i="1"/>
</calcChain>
</file>

<file path=xl/sharedStrings.xml><?xml version="1.0" encoding="utf-8"?>
<sst xmlns="http://schemas.openxmlformats.org/spreadsheetml/2006/main" count="85" uniqueCount="74">
  <si>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</si>
  <si>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</si>
  <si>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</si>
  <si>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</si>
  <si>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</si>
  <si>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</si>
  <si>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</si>
  <si>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</si>
  <si>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</si>
  <si>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</si>
  <si>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</si>
  <si>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</si>
  <si>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</si>
  <si>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</si>
  <si>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</si>
  <si>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</si>
  <si>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</si>
  <si>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</si>
  <si>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</si>
  <si>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</si>
  <si>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Performance Indicators: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</si>
  <si>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</si>
  <si>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</si>
  <si>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</si>
  <si>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</si>
  <si>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</si>
  <si>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</si>
  <si>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</si>
  <si>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</si>
  <si>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</si>
  <si>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</si>
  <si>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 xml:space="preserve"> </t>
  </si>
  <si>
    <t>Rubric item (PI)</t>
  </si>
  <si>
    <t>Molecular Systems in Chemical Engineering</t>
  </si>
  <si>
    <t>Prepared by Roshan Nemade</t>
  </si>
  <si>
    <t>CHE 230 Spring 2026</t>
  </si>
  <si>
    <t>Assessment rubric: Final Exam,  Problem 11</t>
  </si>
  <si>
    <t>Part A</t>
  </si>
  <si>
    <t>KPI</t>
  </si>
  <si>
    <t>Performance Indicator</t>
  </si>
  <si>
    <t>Questions Included</t>
  </si>
  <si>
    <t>Total Points</t>
  </si>
  <si>
    <t>Apply mathematical and scientific principles to formulate models and systems relevant to the subject</t>
  </si>
  <si>
    <t>3a, 3b</t>
  </si>
  <si>
    <t>Solve engineering problems using algebra/calculus/differential equations/linear algebra</t>
  </si>
  <si>
    <t>Appropriate engineering interpretation of mathematical and scientific terms</t>
  </si>
  <si>
    <t>1b</t>
  </si>
  <si>
    <t>Use appropriate resources needed to solve problems</t>
  </si>
  <si>
    <t>1a</t>
  </si>
  <si>
    <t>KPI 1</t>
  </si>
  <si>
    <t>3a + 3b</t>
  </si>
  <si>
    <t>10 pts</t>
  </si>
  <si>
    <t>0–2</t>
  </si>
  <si>
    <t>3–4</t>
  </si>
  <si>
    <t>5–6</t>
  </si>
  <si>
    <t>7–8</t>
  </si>
  <si>
    <t>9–10</t>
  </si>
  <si>
    <t>KPI 2</t>
  </si>
  <si>
    <t>8 pts</t>
  </si>
  <si>
    <t>0–1</t>
  </si>
  <si>
    <t>2–3</t>
  </si>
  <si>
    <t>4–5</t>
  </si>
  <si>
    <t>KPI 3</t>
  </si>
  <si>
    <t>4 pts</t>
  </si>
  <si>
    <t>KPI 6</t>
  </si>
  <si>
    <t>6 pts</t>
  </si>
  <si>
    <t>Ratings</t>
  </si>
  <si>
    <t>1a/6</t>
  </si>
  <si>
    <t>1b/4</t>
  </si>
  <si>
    <t>3a/3</t>
  </si>
  <si>
    <t>3b/7</t>
  </si>
  <si>
    <t>2a/8</t>
  </si>
  <si>
    <t>Points Scored</t>
  </si>
  <si>
    <t>S+D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</si>
</sst>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5" borderId="0" xfId="0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3" fillId="0" borderId="0" xfId="0" applyFont="1"/>
    <xf numFmtId="0" fontId="0" fillId="6" borderId="0" xfId="0" applyFill="1"/>
    <xf numFmtId="0" fontId="0" fillId="5" borderId="0" xfId="0" applyFill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16" fontId="0" fillId="0" borderId="0" xfId="0" applyNumberFormat="1"/>
    <xf numFmtId="1" fontId="0" fillId="3" borderId="0" xfId="0" applyNumberFormat="1" applyFill="1" applyAlignment="1">
      <alignment horizontal="center"/>
    </xf>
    <xf numFmtId="0" fontId="0" fillId="7" borderId="0" xfId="0" applyFill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"/>
  <sheetViews>
    <sheetView tabSelected="1" topLeftCell="A66" workbookViewId="0">
      <selection activeCell="G86" sqref="G86:G88"/>
    </sheetView>
  </sheetViews>
  <sheetFormatPr defaultRowHeight="14.75" x14ac:dyDescent="0.75"/>
  <cols>
    <col min="1" max="1" width="27.7265625" customWidth="1"/>
    <col min="2" max="2" width="11.54296875" customWidth="1"/>
    <col min="3" max="3" width="11" customWidth="1"/>
    <col min="7" max="7" width="10.58984375" customWidth="1"/>
    <col min="8" max="8" width="7.58984375" customWidth="1"/>
    <col min="9" max="10" width="4.86328125" bestFit="1" customWidth="1"/>
    <col min="11" max="11" width="5" bestFit="1" customWidth="1"/>
    <col min="12" max="12" width="16.1328125" customWidth="1"/>
    <col min="14" max="14" width="9.1328125" customWidth="1"/>
  </cols>
  <sheetData>
    <row r="1" spans="1:21" x14ac:dyDescent="0.75">
      <c r="A1" s="1" t="s">
        <v>35</v>
      </c>
      <c r="F1" s="1" t="s">
        <v>18</v>
      </c>
    </row>
    <row r="2" spans="1:21" ht="16" x14ac:dyDescent="0.8">
      <c r="A2" s="1" t="s">
        <v>33</v>
      </c>
      <c r="F2" s="14" t="s">
        <v>17</v>
      </c>
    </row>
    <row r="3" spans="1:21" x14ac:dyDescent="0.75">
      <c r="A3" s="1" t="s">
        <v>24</v>
      </c>
      <c r="F3" t="s">
        <v>19</v>
      </c>
    </row>
    <row r="4" spans="1:21" x14ac:dyDescent="0.75">
      <c r="A4" t="s">
        <v>36</v>
      </c>
      <c r="B4" t="s">
        <v>37</v>
      </c>
    </row>
    <row r="5" spans="1:21" x14ac:dyDescent="0.75">
      <c r="A5" t="s">
        <v>34</v>
      </c>
      <c r="F5" s="1" t="s">
        <v>20</v>
      </c>
    </row>
    <row r="6" spans="1:21" x14ac:dyDescent="0.75">
      <c r="F6" s="21" t="s">
        <v>21</v>
      </c>
      <c r="G6" s="21"/>
      <c r="H6" s="21"/>
      <c r="I6" s="21"/>
      <c r="J6" s="21"/>
      <c r="K6" s="21"/>
      <c r="L6" s="21"/>
    </row>
    <row r="7" spans="1:21" x14ac:dyDescent="0.75">
      <c r="F7" s="15" t="s">
        <v>22</v>
      </c>
      <c r="G7" s="15"/>
      <c r="H7" s="15"/>
      <c r="I7" s="15"/>
      <c r="J7" s="15"/>
      <c r="K7" s="15"/>
      <c r="L7" s="15"/>
      <c r="M7" s="15"/>
    </row>
    <row r="8" spans="1:21" x14ac:dyDescent="0.75">
      <c r="F8" s="21" t="s">
        <v>23</v>
      </c>
      <c r="G8" s="21"/>
      <c r="H8" s="21"/>
      <c r="I8" s="21"/>
      <c r="J8" s="21"/>
      <c r="K8" s="21"/>
    </row>
    <row r="9" spans="1:21" x14ac:dyDescent="0.75">
      <c r="A9" s="3" t="s">
        <v>16</v>
      </c>
      <c r="B9" s="3"/>
      <c r="C9" s="3"/>
      <c r="F9" t="s">
        <v>27</v>
      </c>
    </row>
    <row r="10" spans="1:21" x14ac:dyDescent="0.75">
      <c r="A10" s="3">
        <v>1</v>
      </c>
      <c r="B10" s="3" t="s">
        <v>1</v>
      </c>
      <c r="C10" s="3"/>
      <c r="F10" t="s">
        <v>28</v>
      </c>
      <c r="M10" t="s">
        <v>31</v>
      </c>
    </row>
    <row r="11" spans="1:21" x14ac:dyDescent="0.75">
      <c r="A11" s="3">
        <v>2</v>
      </c>
      <c r="B11" s="3" t="s">
        <v>2</v>
      </c>
      <c r="C11" s="3"/>
      <c r="F11" s="21" t="s">
        <v>29</v>
      </c>
      <c r="G11" s="21"/>
      <c r="H11" s="21"/>
      <c r="I11" s="21"/>
      <c r="J11" s="21"/>
    </row>
    <row r="12" spans="1:21" x14ac:dyDescent="0.75">
      <c r="A12" s="3">
        <v>3</v>
      </c>
      <c r="B12" s="3" t="s">
        <v>3</v>
      </c>
      <c r="C12" s="3"/>
      <c r="F12" t="s">
        <v>30</v>
      </c>
    </row>
    <row r="13" spans="1:21" x14ac:dyDescent="0.75">
      <c r="A13" s="3"/>
      <c r="B13" s="3"/>
      <c r="C13" s="3"/>
      <c r="U13" t="s">
        <v>26</v>
      </c>
    </row>
    <row r="14" spans="1:21" x14ac:dyDescent="0.75">
      <c r="L14" s="19"/>
    </row>
    <row r="15" spans="1:21" x14ac:dyDescent="0.75">
      <c r="A15" s="10" t="s">
        <v>25</v>
      </c>
      <c r="B15" s="16"/>
      <c r="C15" s="16">
        <v>2</v>
      </c>
      <c r="D15" s="16"/>
      <c r="E15" s="16"/>
    </row>
    <row r="16" spans="1:21" x14ac:dyDescent="0.75">
      <c r="B16" s="2"/>
      <c r="C16" s="2"/>
      <c r="D16" s="2"/>
      <c r="E16" s="2"/>
      <c r="F16" s="2"/>
    </row>
    <row r="17" spans="1:11" x14ac:dyDescent="0.75">
      <c r="B17" s="2"/>
      <c r="G17" s="24" t="s">
        <v>72</v>
      </c>
      <c r="H17" s="24"/>
      <c r="I17" s="24"/>
      <c r="J17" s="24"/>
      <c r="K17" s="24"/>
    </row>
    <row r="18" spans="1:11" x14ac:dyDescent="0.75">
      <c r="A18" s="11" t="s">
        <v>6</v>
      </c>
      <c r="B18" s="2"/>
      <c r="G18" s="11" t="s">
        <v>67</v>
      </c>
      <c r="H18" s="11" t="s">
        <v>68</v>
      </c>
      <c r="I18" s="18" t="s">
        <v>71</v>
      </c>
      <c r="J18" s="11" t="s">
        <v>69</v>
      </c>
      <c r="K18" s="11" t="s">
        <v>70</v>
      </c>
    </row>
    <row r="19" spans="1:11" x14ac:dyDescent="0.75">
      <c r="A19" s="11">
        <v>1</v>
      </c>
      <c r="B19" s="11"/>
      <c r="C19" s="11">
        <f>LOOKUP(I19/8,{0,0.25,0.5,0.7,0.85},{1,1.5,2,2.5,3})</f>
        <v>1.5</v>
      </c>
      <c r="D19" s="11"/>
      <c r="E19" s="11"/>
      <c r="G19" s="11">
        <v>6</v>
      </c>
      <c r="H19" s="11">
        <v>4</v>
      </c>
      <c r="I19" s="11">
        <v>3</v>
      </c>
      <c r="J19" s="11">
        <v>3</v>
      </c>
      <c r="K19" s="11">
        <v>7</v>
      </c>
    </row>
    <row r="20" spans="1:11" x14ac:dyDescent="0.75">
      <c r="A20" s="11">
        <v>2</v>
      </c>
      <c r="B20" s="11"/>
      <c r="C20" s="11">
        <f>LOOKUP(I20/8,{0,0.25,0.5,0.7,0.85},{1,1.5,2,2.5,3})</f>
        <v>3</v>
      </c>
      <c r="D20" s="11"/>
      <c r="E20" s="11"/>
      <c r="G20" s="11">
        <v>4</v>
      </c>
      <c r="H20" s="11">
        <v>4</v>
      </c>
      <c r="I20" s="11">
        <v>8</v>
      </c>
      <c r="J20" s="11">
        <v>3</v>
      </c>
      <c r="K20" s="11">
        <v>4</v>
      </c>
    </row>
    <row r="21" spans="1:11" x14ac:dyDescent="0.75">
      <c r="A21" s="11">
        <v>3</v>
      </c>
      <c r="B21" s="11"/>
      <c r="C21" s="11">
        <f>LOOKUP(I21/8,{0,0.25,0.5,0.7,0.85},{1,1.5,2,2.5,3})</f>
        <v>3</v>
      </c>
      <c r="D21" s="11"/>
      <c r="E21" s="11"/>
      <c r="G21" s="11">
        <v>6</v>
      </c>
      <c r="H21" s="11">
        <v>4</v>
      </c>
      <c r="I21" s="11">
        <v>8</v>
      </c>
      <c r="J21" s="11">
        <v>0</v>
      </c>
      <c r="K21" s="11">
        <v>0</v>
      </c>
    </row>
    <row r="22" spans="1:11" x14ac:dyDescent="0.75">
      <c r="A22" s="11">
        <v>4</v>
      </c>
      <c r="B22" s="11"/>
      <c r="C22" s="11">
        <f>LOOKUP(I22/8,{0,0.25,0.5,0.7,0.85},{1,1.5,2,2.5,3})</f>
        <v>3</v>
      </c>
      <c r="D22" s="11"/>
      <c r="E22" s="11"/>
      <c r="G22" s="11">
        <v>6</v>
      </c>
      <c r="H22" s="11">
        <v>4</v>
      </c>
      <c r="I22" s="11">
        <v>8</v>
      </c>
      <c r="J22" s="11">
        <v>0</v>
      </c>
      <c r="K22" s="11">
        <v>0</v>
      </c>
    </row>
    <row r="23" spans="1:11" x14ac:dyDescent="0.75">
      <c r="A23" s="11">
        <v>5</v>
      </c>
      <c r="B23" s="11"/>
      <c r="C23" s="11">
        <f>LOOKUP(I23/8,{0,0.25,0.5,0.7,0.85},{1,1.5,2,2.5,3})</f>
        <v>3</v>
      </c>
      <c r="D23" s="11"/>
      <c r="E23" s="11"/>
      <c r="G23" s="11">
        <v>0</v>
      </c>
      <c r="H23" s="11">
        <v>0</v>
      </c>
      <c r="I23" s="11">
        <v>8</v>
      </c>
      <c r="J23" s="11">
        <v>0</v>
      </c>
      <c r="K23" s="11">
        <v>0</v>
      </c>
    </row>
    <row r="24" spans="1:11" x14ac:dyDescent="0.75">
      <c r="A24" s="11">
        <v>6</v>
      </c>
      <c r="B24" s="11"/>
      <c r="C24" s="11">
        <f>LOOKUP(I24/8,{0,0.25,0.5,0.7,0.85},{1,1.5,2,2.5,3})</f>
        <v>3</v>
      </c>
      <c r="D24" s="11"/>
      <c r="E24" s="11"/>
      <c r="G24" s="11">
        <v>2</v>
      </c>
      <c r="H24" s="11">
        <v>2</v>
      </c>
      <c r="I24" s="11">
        <v>8</v>
      </c>
      <c r="J24" s="11">
        <v>0</v>
      </c>
      <c r="K24" s="11">
        <v>0</v>
      </c>
    </row>
    <row r="25" spans="1:11" x14ac:dyDescent="0.75">
      <c r="A25" s="11">
        <v>7</v>
      </c>
      <c r="B25" s="11"/>
      <c r="C25" s="11">
        <f>LOOKUP(I25/8,{0,0.25,0.5,0.7,0.85},{1,1.5,2,2.5,3})</f>
        <v>2</v>
      </c>
      <c r="D25" s="11"/>
      <c r="E25" s="11"/>
      <c r="G25" s="11">
        <v>1</v>
      </c>
      <c r="H25" s="11">
        <v>1</v>
      </c>
      <c r="I25" s="11">
        <v>4</v>
      </c>
      <c r="J25" s="11">
        <v>0</v>
      </c>
      <c r="K25" s="11">
        <v>0</v>
      </c>
    </row>
    <row r="26" spans="1:11" x14ac:dyDescent="0.75">
      <c r="A26" s="11">
        <v>8</v>
      </c>
      <c r="B26" s="11"/>
      <c r="C26" s="11">
        <f>LOOKUP(I26/8,{0,0.25,0.5,0.7,0.85},{1,1.5,2,2.5,3})</f>
        <v>1</v>
      </c>
      <c r="D26" s="11"/>
      <c r="E26" s="11"/>
      <c r="G26" s="11">
        <v>0</v>
      </c>
      <c r="H26" s="11">
        <v>0</v>
      </c>
      <c r="I26" s="11">
        <v>0</v>
      </c>
      <c r="J26" s="11">
        <v>0</v>
      </c>
      <c r="K26" s="11">
        <v>0</v>
      </c>
    </row>
    <row r="27" spans="1:11" x14ac:dyDescent="0.75">
      <c r="A27" s="11">
        <v>9</v>
      </c>
      <c r="B27" s="11"/>
      <c r="C27" s="11">
        <f>LOOKUP(I27/8,{0,0.25,0.5,0.7,0.85},{1,1.5,2,2.5,3})</f>
        <v>3</v>
      </c>
      <c r="D27" s="11"/>
      <c r="E27" s="11"/>
      <c r="G27" s="11">
        <v>4</v>
      </c>
      <c r="H27" s="11">
        <v>3</v>
      </c>
      <c r="I27" s="11">
        <v>8</v>
      </c>
      <c r="J27" s="11">
        <v>3</v>
      </c>
      <c r="K27" s="11">
        <v>4</v>
      </c>
    </row>
    <row r="28" spans="1:11" x14ac:dyDescent="0.75">
      <c r="A28" s="11">
        <v>10</v>
      </c>
      <c r="B28" s="11"/>
      <c r="C28" s="11">
        <f>LOOKUP(I28/8,{0,0.25,0.5,0.7,0.85},{1,1.5,2,2.5,3})</f>
        <v>3</v>
      </c>
      <c r="D28" s="11"/>
      <c r="E28" s="11"/>
      <c r="G28" s="11">
        <v>5</v>
      </c>
      <c r="H28" s="11">
        <v>0</v>
      </c>
      <c r="I28" s="11">
        <v>8</v>
      </c>
      <c r="J28" s="11">
        <v>3</v>
      </c>
      <c r="K28" s="11">
        <v>7</v>
      </c>
    </row>
    <row r="29" spans="1:11" x14ac:dyDescent="0.75">
      <c r="A29" s="11">
        <v>11</v>
      </c>
      <c r="B29" s="11"/>
      <c r="C29" s="11">
        <f>LOOKUP(I29/8,{0,0.25,0.5,0.7,0.85},{1,1.5,2,2.5,3})</f>
        <v>3</v>
      </c>
      <c r="D29" s="11"/>
      <c r="E29" s="11"/>
      <c r="G29" s="11">
        <v>6</v>
      </c>
      <c r="H29" s="11">
        <v>4</v>
      </c>
      <c r="I29" s="11">
        <v>8</v>
      </c>
      <c r="J29" s="11">
        <v>3</v>
      </c>
      <c r="K29" s="11">
        <v>7</v>
      </c>
    </row>
    <row r="30" spans="1:11" x14ac:dyDescent="0.75">
      <c r="A30" s="11">
        <v>12</v>
      </c>
      <c r="B30" s="11"/>
      <c r="C30" s="11">
        <f>LOOKUP(I30/8,{0,0.25,0.5,0.7,0.85},{1,1.5,2,2.5,3})</f>
        <v>3</v>
      </c>
      <c r="D30" s="11"/>
      <c r="E30" s="11"/>
      <c r="G30" s="11">
        <v>0</v>
      </c>
      <c r="H30" s="11">
        <v>3</v>
      </c>
      <c r="I30" s="11">
        <v>8</v>
      </c>
      <c r="J30" s="11">
        <v>3</v>
      </c>
      <c r="K30" s="11">
        <v>7</v>
      </c>
    </row>
    <row r="31" spans="1:11" x14ac:dyDescent="0.75">
      <c r="A31" s="11">
        <v>13</v>
      </c>
      <c r="B31" s="11"/>
      <c r="C31" s="11">
        <f>LOOKUP(I31/8,{0,0.25,0.5,0.7,0.85},{1,1.5,2,2.5,3})</f>
        <v>3</v>
      </c>
      <c r="D31" s="11"/>
      <c r="E31" s="11"/>
      <c r="G31" s="11">
        <v>5</v>
      </c>
      <c r="H31" s="11">
        <v>0</v>
      </c>
      <c r="I31" s="11">
        <v>8</v>
      </c>
      <c r="J31" s="11">
        <v>3</v>
      </c>
      <c r="K31" s="11">
        <v>7</v>
      </c>
    </row>
    <row r="32" spans="1:11" x14ac:dyDescent="0.75">
      <c r="A32" s="11">
        <v>14</v>
      </c>
      <c r="B32" s="11"/>
      <c r="C32" s="11">
        <f>LOOKUP(I32/8,{0,0.25,0.5,0.7,0.85},{1,1.5,2,2.5,3})</f>
        <v>3</v>
      </c>
      <c r="D32" s="11"/>
      <c r="E32" s="11"/>
      <c r="G32" s="11">
        <v>3</v>
      </c>
      <c r="H32" s="11">
        <v>4</v>
      </c>
      <c r="I32" s="11">
        <v>8</v>
      </c>
      <c r="J32" s="11">
        <v>3</v>
      </c>
      <c r="K32" s="11">
        <v>0</v>
      </c>
    </row>
    <row r="33" spans="1:11" x14ac:dyDescent="0.75">
      <c r="A33" s="11">
        <v>15</v>
      </c>
      <c r="B33" s="11"/>
      <c r="C33" s="11">
        <f>LOOKUP(I33/8,{0,0.25,0.5,0.7,0.85},{1,1.5,2,2.5,3})</f>
        <v>2</v>
      </c>
      <c r="D33" s="11"/>
      <c r="E33" s="11"/>
      <c r="G33" s="11">
        <v>3</v>
      </c>
      <c r="H33" s="11">
        <v>0</v>
      </c>
      <c r="I33" s="11">
        <v>4</v>
      </c>
      <c r="J33" s="11">
        <v>3</v>
      </c>
      <c r="K33" s="11">
        <v>7</v>
      </c>
    </row>
    <row r="34" spans="1:11" x14ac:dyDescent="0.75">
      <c r="A34" s="11">
        <v>16</v>
      </c>
      <c r="B34" s="11"/>
      <c r="C34" s="11">
        <f>LOOKUP(I34/8,{0,0.25,0.5,0.7,0.85},{1,1.5,2,2.5,3})</f>
        <v>3</v>
      </c>
      <c r="D34" s="11"/>
      <c r="E34" s="11"/>
      <c r="G34" s="11">
        <v>6</v>
      </c>
      <c r="H34" s="11">
        <v>4</v>
      </c>
      <c r="I34" s="11">
        <v>8</v>
      </c>
      <c r="J34" s="11">
        <v>0</v>
      </c>
      <c r="K34" s="11">
        <v>2</v>
      </c>
    </row>
    <row r="35" spans="1:11" x14ac:dyDescent="0.75">
      <c r="A35" s="11">
        <v>17</v>
      </c>
      <c r="B35" s="11"/>
      <c r="C35" s="11">
        <f>LOOKUP(I35/8,{0,0.25,0.5,0.7,0.85},{1,1.5,2,2.5,3})</f>
        <v>3</v>
      </c>
      <c r="D35" s="11"/>
      <c r="E35" s="11"/>
      <c r="G35" s="11">
        <v>6</v>
      </c>
      <c r="H35" s="11">
        <v>0</v>
      </c>
      <c r="I35" s="11">
        <v>8</v>
      </c>
      <c r="J35" s="11">
        <v>1</v>
      </c>
      <c r="K35" s="11">
        <v>0</v>
      </c>
    </row>
    <row r="36" spans="1:11" x14ac:dyDescent="0.75">
      <c r="A36" s="11">
        <v>18</v>
      </c>
      <c r="B36" s="11"/>
      <c r="C36" s="11">
        <f>LOOKUP(I36/8,{0,0.25,0.5,0.7,0.85},{1,1.5,2,2.5,3})</f>
        <v>3</v>
      </c>
      <c r="D36" s="11"/>
      <c r="E36" s="11"/>
      <c r="G36" s="11">
        <v>5</v>
      </c>
      <c r="H36" s="11">
        <v>0</v>
      </c>
      <c r="I36" s="11">
        <v>8</v>
      </c>
      <c r="J36" s="11">
        <v>2</v>
      </c>
      <c r="K36" s="11">
        <v>0</v>
      </c>
    </row>
    <row r="37" spans="1:11" x14ac:dyDescent="0.75">
      <c r="A37" s="11">
        <v>19</v>
      </c>
      <c r="B37" s="11"/>
      <c r="C37" s="11">
        <f>LOOKUP(I37/8,{0,0.25,0.5,0.7,0.85},{1,1.5,2,2.5,3})</f>
        <v>3</v>
      </c>
      <c r="D37" s="11"/>
      <c r="E37" s="11"/>
      <c r="G37" s="11">
        <v>6</v>
      </c>
      <c r="H37" s="11">
        <v>4</v>
      </c>
      <c r="I37" s="11">
        <v>8</v>
      </c>
      <c r="J37" s="11">
        <v>0</v>
      </c>
      <c r="K37" s="11">
        <v>1</v>
      </c>
    </row>
    <row r="38" spans="1:11" x14ac:dyDescent="0.75">
      <c r="A38" s="11">
        <v>20</v>
      </c>
      <c r="B38" s="11"/>
      <c r="C38" s="11">
        <f>LOOKUP(I38/8,{0,0.25,0.5,0.7,0.85},{1,1.5,2,2.5,3})</f>
        <v>3</v>
      </c>
      <c r="D38" s="11"/>
      <c r="E38" s="11"/>
      <c r="G38" s="11">
        <v>2</v>
      </c>
      <c r="H38" s="11">
        <v>0</v>
      </c>
      <c r="I38" s="11">
        <v>8</v>
      </c>
      <c r="J38" s="11">
        <v>0</v>
      </c>
      <c r="K38" s="11">
        <v>0</v>
      </c>
    </row>
    <row r="39" spans="1:11" x14ac:dyDescent="0.75">
      <c r="A39" s="11">
        <v>21</v>
      </c>
      <c r="B39" s="11"/>
      <c r="C39" s="11">
        <f>LOOKUP(I39/8,{0,0.25,0.5,0.7,0.85},{1,1.5,2,2.5,3})</f>
        <v>3</v>
      </c>
      <c r="D39" s="11"/>
      <c r="E39" s="11"/>
      <c r="G39" s="11">
        <v>2</v>
      </c>
      <c r="H39" s="11">
        <v>1</v>
      </c>
      <c r="I39" s="11">
        <v>8</v>
      </c>
      <c r="J39" s="11">
        <v>3</v>
      </c>
      <c r="K39" s="11">
        <v>7</v>
      </c>
    </row>
    <row r="40" spans="1:11" x14ac:dyDescent="0.75">
      <c r="A40" s="11">
        <v>22</v>
      </c>
      <c r="B40" s="11"/>
      <c r="C40" s="11">
        <f>LOOKUP(I40/8,{0,0.25,0.5,0.7,0.85},{1,1.5,2,2.5,3})</f>
        <v>3</v>
      </c>
      <c r="D40" s="11"/>
      <c r="E40" s="11"/>
      <c r="G40" s="11">
        <v>6</v>
      </c>
      <c r="H40" s="11">
        <v>4</v>
      </c>
      <c r="I40" s="11">
        <v>8</v>
      </c>
      <c r="J40" s="11">
        <v>3</v>
      </c>
      <c r="K40" s="11">
        <v>7</v>
      </c>
    </row>
    <row r="41" spans="1:11" x14ac:dyDescent="0.75">
      <c r="A41" s="11">
        <v>23</v>
      </c>
      <c r="B41" s="11"/>
      <c r="C41" s="11">
        <f>LOOKUP(I41/8,{0,0.25,0.5,0.7,0.85},{1,1.5,2,2.5,3})</f>
        <v>1</v>
      </c>
      <c r="D41" s="11"/>
      <c r="E41" s="11"/>
      <c r="G41" s="11">
        <v>0</v>
      </c>
      <c r="H41" s="11">
        <v>0</v>
      </c>
      <c r="I41" s="11">
        <v>0</v>
      </c>
      <c r="J41" s="11">
        <v>0</v>
      </c>
      <c r="K41" s="11">
        <v>0</v>
      </c>
    </row>
    <row r="42" spans="1:11" x14ac:dyDescent="0.75">
      <c r="A42" s="11">
        <v>24</v>
      </c>
      <c r="B42" s="11"/>
      <c r="C42" s="11">
        <f>LOOKUP(I42/8,{0,0.25,0.5,0.7,0.85},{1,1.5,2,2.5,3})</f>
        <v>2</v>
      </c>
      <c r="D42" s="11"/>
      <c r="E42" s="11"/>
      <c r="G42" s="11">
        <v>4</v>
      </c>
      <c r="H42" s="11">
        <v>1</v>
      </c>
      <c r="I42" s="11">
        <v>4</v>
      </c>
      <c r="J42" s="11">
        <v>0</v>
      </c>
      <c r="K42" s="11">
        <v>0</v>
      </c>
    </row>
    <row r="43" spans="1:11" x14ac:dyDescent="0.75">
      <c r="A43" s="11">
        <v>25</v>
      </c>
      <c r="B43" s="11"/>
      <c r="C43" s="11">
        <f>LOOKUP(I43/8,{0,0.25,0.5,0.7,0.85},{1,1.5,2,2.5,3})</f>
        <v>2</v>
      </c>
      <c r="D43" s="11"/>
      <c r="E43" s="11"/>
      <c r="G43" s="11">
        <v>5</v>
      </c>
      <c r="H43" s="11">
        <v>3</v>
      </c>
      <c r="I43" s="11">
        <v>5</v>
      </c>
      <c r="J43" s="11">
        <v>3</v>
      </c>
      <c r="K43" s="11">
        <v>3</v>
      </c>
    </row>
    <row r="44" spans="1:11" x14ac:dyDescent="0.75">
      <c r="A44" s="11">
        <v>26</v>
      </c>
      <c r="B44" s="11"/>
      <c r="C44" s="11">
        <f>LOOKUP(I44/8,{0,0.25,0.5,0.7,0.85},{1,1.5,2,2.5,3})</f>
        <v>2</v>
      </c>
      <c r="D44" s="11"/>
      <c r="E44" s="11"/>
      <c r="G44" s="11">
        <v>4</v>
      </c>
      <c r="H44" s="11">
        <v>0</v>
      </c>
      <c r="I44" s="11">
        <v>5</v>
      </c>
      <c r="J44" s="11">
        <v>0</v>
      </c>
      <c r="K44" s="11">
        <v>0</v>
      </c>
    </row>
    <row r="45" spans="1:11" x14ac:dyDescent="0.75">
      <c r="A45" s="11">
        <v>27</v>
      </c>
      <c r="B45" s="11"/>
      <c r="C45" s="11">
        <f>LOOKUP(I45/8,{0,0.25,0.5,0.7,0.85},{1,1.5,2,2.5,3})</f>
        <v>3</v>
      </c>
      <c r="D45" s="11"/>
      <c r="E45" s="11"/>
      <c r="G45" s="11">
        <v>3</v>
      </c>
      <c r="H45" s="11">
        <v>2</v>
      </c>
      <c r="I45" s="11">
        <v>8</v>
      </c>
      <c r="J45" s="11">
        <v>0</v>
      </c>
      <c r="K45" s="11">
        <v>0</v>
      </c>
    </row>
    <row r="46" spans="1:11" x14ac:dyDescent="0.75">
      <c r="A46" s="11">
        <v>28</v>
      </c>
      <c r="B46" s="11"/>
      <c r="C46" s="11">
        <f>LOOKUP(I46/8,{0,0.25,0.5,0.7,0.85},{1,1.5,2,2.5,3})</f>
        <v>3</v>
      </c>
      <c r="D46" s="11"/>
      <c r="E46" s="11"/>
      <c r="G46" s="11">
        <v>4</v>
      </c>
      <c r="H46" s="11">
        <v>3</v>
      </c>
      <c r="I46" s="11">
        <v>8</v>
      </c>
      <c r="J46" s="11">
        <v>3</v>
      </c>
      <c r="K46" s="11">
        <v>7</v>
      </c>
    </row>
    <row r="47" spans="1:11" x14ac:dyDescent="0.75">
      <c r="A47" s="11">
        <v>29</v>
      </c>
      <c r="B47" s="11"/>
      <c r="C47" s="11">
        <f>LOOKUP(I47/8,{0,0.25,0.5,0.7,0.85},{1,1.5,2,2.5,3})</f>
        <v>1</v>
      </c>
      <c r="D47" s="11"/>
      <c r="E47" s="11"/>
      <c r="G47" s="11">
        <v>6</v>
      </c>
      <c r="H47" s="11">
        <v>1</v>
      </c>
      <c r="I47" s="11">
        <v>0</v>
      </c>
      <c r="J47" s="11">
        <v>3</v>
      </c>
      <c r="K47" s="11">
        <v>7</v>
      </c>
    </row>
    <row r="48" spans="1:11" x14ac:dyDescent="0.75">
      <c r="A48" s="11">
        <v>30</v>
      </c>
      <c r="B48" s="11"/>
      <c r="C48" s="11">
        <f>LOOKUP(I48/8,{0,0.25,0.5,0.7,0.85},{1,1.5,2,2.5,3})</f>
        <v>3</v>
      </c>
      <c r="D48" s="11"/>
      <c r="E48" s="11"/>
      <c r="G48" s="11">
        <v>6</v>
      </c>
      <c r="H48" s="11">
        <v>4</v>
      </c>
      <c r="I48" s="11">
        <v>8</v>
      </c>
      <c r="J48" s="11">
        <v>3</v>
      </c>
      <c r="K48" s="11">
        <v>3</v>
      </c>
    </row>
    <row r="49" spans="1:11" x14ac:dyDescent="0.75">
      <c r="A49" s="11">
        <v>31</v>
      </c>
      <c r="B49" s="11"/>
      <c r="C49" s="11">
        <f>LOOKUP(I49/8,{0,0.25,0.5,0.7,0.85},{1,1.5,2,2.5,3})</f>
        <v>3</v>
      </c>
      <c r="D49" s="11"/>
      <c r="E49" s="11"/>
      <c r="G49" s="11">
        <v>6</v>
      </c>
      <c r="H49" s="11">
        <v>4</v>
      </c>
      <c r="I49" s="11">
        <v>8</v>
      </c>
      <c r="J49" s="11">
        <v>3</v>
      </c>
      <c r="K49" s="11">
        <v>7</v>
      </c>
    </row>
    <row r="50" spans="1:11" x14ac:dyDescent="0.75">
      <c r="A50" s="11">
        <v>32</v>
      </c>
      <c r="B50" s="11"/>
      <c r="C50" s="11">
        <f>LOOKUP(I50/8,{0,0.25,0.5,0.7,0.85},{1,1.5,2,2.5,3})</f>
        <v>2.5</v>
      </c>
      <c r="D50" s="11"/>
      <c r="E50" s="11"/>
      <c r="G50" s="11">
        <v>2</v>
      </c>
      <c r="H50" s="11">
        <v>1</v>
      </c>
      <c r="I50" s="11">
        <v>6</v>
      </c>
      <c r="J50" s="11">
        <v>1</v>
      </c>
      <c r="K50" s="11">
        <v>0</v>
      </c>
    </row>
    <row r="51" spans="1:11" x14ac:dyDescent="0.75">
      <c r="A51" s="11">
        <v>33</v>
      </c>
      <c r="B51" s="11"/>
      <c r="C51" s="11">
        <f>LOOKUP(I51/8,{0,0.25,0.5,0.7,0.85},{1,1.5,2,2.5,3})</f>
        <v>2</v>
      </c>
      <c r="D51" s="11"/>
      <c r="E51" s="11"/>
      <c r="G51" s="11">
        <v>1</v>
      </c>
      <c r="H51" s="11">
        <v>1</v>
      </c>
      <c r="I51" s="11">
        <v>4</v>
      </c>
      <c r="J51" s="11">
        <v>3</v>
      </c>
      <c r="K51" s="11">
        <v>7</v>
      </c>
    </row>
    <row r="52" spans="1:11" x14ac:dyDescent="0.75">
      <c r="A52" s="11">
        <v>34</v>
      </c>
      <c r="B52" s="11"/>
      <c r="C52" s="11">
        <f>LOOKUP(I52/8,{0,0.25,0.5,0.7,0.85},{1,1.5,2,2.5,3})</f>
        <v>3</v>
      </c>
      <c r="D52" s="11"/>
      <c r="E52" s="11"/>
      <c r="G52" s="11">
        <v>3</v>
      </c>
      <c r="H52" s="11">
        <v>4</v>
      </c>
      <c r="I52" s="11">
        <v>8</v>
      </c>
      <c r="J52" s="11">
        <v>3</v>
      </c>
      <c r="K52" s="11">
        <v>0</v>
      </c>
    </row>
    <row r="53" spans="1:11" x14ac:dyDescent="0.75">
      <c r="A53" s="11">
        <v>35</v>
      </c>
      <c r="B53" s="11"/>
      <c r="C53" s="11">
        <f>LOOKUP(I53/8,{0,0.25,0.5,0.7,0.85},{1,1.5,2,2.5,3})</f>
        <v>1</v>
      </c>
      <c r="D53" s="11"/>
      <c r="E53" s="11"/>
      <c r="G53" s="11">
        <v>5</v>
      </c>
      <c r="H53" s="11">
        <v>0</v>
      </c>
      <c r="I53" s="11">
        <v>0</v>
      </c>
      <c r="J53" s="11">
        <v>0</v>
      </c>
      <c r="K53" s="11">
        <v>0</v>
      </c>
    </row>
    <row r="54" spans="1:11" x14ac:dyDescent="0.75">
      <c r="A54" s="11">
        <v>36</v>
      </c>
      <c r="B54" s="11"/>
      <c r="C54" s="11">
        <f>LOOKUP(I54/8,{0,0.25,0.5,0.7,0.85},{1,1.5,2,2.5,3})</f>
        <v>2.5</v>
      </c>
      <c r="D54" s="11"/>
      <c r="E54" s="11"/>
      <c r="G54" s="11">
        <v>4</v>
      </c>
      <c r="H54" s="11">
        <v>4</v>
      </c>
      <c r="I54" s="11">
        <v>6</v>
      </c>
      <c r="J54" s="11">
        <v>2</v>
      </c>
      <c r="K54" s="11">
        <v>0</v>
      </c>
    </row>
    <row r="55" spans="1:11" x14ac:dyDescent="0.75">
      <c r="A55" s="11">
        <v>37</v>
      </c>
      <c r="B55" s="11"/>
      <c r="C55" s="11">
        <f>LOOKUP(I55/8,{0,0.25,0.5,0.7,0.85},{1,1.5,2,2.5,3})</f>
        <v>2</v>
      </c>
      <c r="D55" s="11"/>
      <c r="E55" s="11"/>
      <c r="G55" s="11">
        <v>6</v>
      </c>
      <c r="H55" s="11">
        <v>4</v>
      </c>
      <c r="I55" s="11">
        <v>4</v>
      </c>
      <c r="J55" s="11">
        <v>0</v>
      </c>
      <c r="K55" s="11">
        <v>0</v>
      </c>
    </row>
    <row r="56" spans="1:11" x14ac:dyDescent="0.75">
      <c r="A56" s="11">
        <v>38</v>
      </c>
      <c r="B56" s="11"/>
      <c r="C56" s="11">
        <f>LOOKUP(I56/8,{0,0.25,0.5,0.7,0.85},{1,1.5,2,2.5,3})</f>
        <v>3</v>
      </c>
      <c r="D56" s="11"/>
      <c r="E56" s="11"/>
      <c r="G56" s="11">
        <v>5</v>
      </c>
      <c r="H56" s="11">
        <v>3</v>
      </c>
      <c r="I56" s="11">
        <v>8</v>
      </c>
      <c r="J56" s="11">
        <v>3</v>
      </c>
      <c r="K56" s="11">
        <v>6</v>
      </c>
    </row>
    <row r="57" spans="1:11" x14ac:dyDescent="0.75">
      <c r="A57" s="11">
        <v>39</v>
      </c>
      <c r="B57" s="11"/>
      <c r="C57" s="11">
        <f>LOOKUP(I57/8,{0,0.25,0.5,0.7,0.85},{1,1.5,2,2.5,3})</f>
        <v>1</v>
      </c>
      <c r="D57" s="11"/>
      <c r="E57" s="11"/>
      <c r="G57" s="11">
        <v>0</v>
      </c>
      <c r="H57" s="11">
        <v>0</v>
      </c>
      <c r="I57" s="11">
        <v>0</v>
      </c>
      <c r="J57" s="11">
        <v>2</v>
      </c>
      <c r="K57" s="11">
        <v>4</v>
      </c>
    </row>
    <row r="58" spans="1:11" x14ac:dyDescent="0.75">
      <c r="A58" s="11">
        <v>40</v>
      </c>
      <c r="B58" s="11"/>
      <c r="C58" s="11">
        <f>LOOKUP(I58/8,{0,0.25,0.5,0.7,0.85},{1,1.5,2,2.5,3})</f>
        <v>1</v>
      </c>
      <c r="D58" s="11"/>
      <c r="E58" s="11"/>
      <c r="G58" s="11">
        <v>6</v>
      </c>
      <c r="H58" s="11">
        <v>4</v>
      </c>
      <c r="I58" s="11">
        <v>0</v>
      </c>
      <c r="J58" s="11">
        <v>0</v>
      </c>
      <c r="K58" s="11">
        <v>0</v>
      </c>
    </row>
    <row r="59" spans="1:11" x14ac:dyDescent="0.75">
      <c r="A59" s="11">
        <v>41</v>
      </c>
      <c r="B59" s="11"/>
      <c r="C59" s="11">
        <f>LOOKUP(I59/8,{0,0.25,0.5,0.7,0.85},{1,1.5,2,2.5,3})</f>
        <v>2.5</v>
      </c>
      <c r="D59" s="11"/>
      <c r="E59" s="11"/>
      <c r="G59" s="11">
        <v>6</v>
      </c>
      <c r="H59" s="11">
        <v>4</v>
      </c>
      <c r="I59" s="11">
        <v>6</v>
      </c>
      <c r="J59" s="11">
        <v>3</v>
      </c>
      <c r="K59" s="11">
        <v>4</v>
      </c>
    </row>
    <row r="60" spans="1:11" x14ac:dyDescent="0.75">
      <c r="A60" s="11">
        <v>42</v>
      </c>
      <c r="B60" s="11"/>
      <c r="C60" s="11">
        <f>LOOKUP(I60/8,{0,0.25,0.5,0.7,0.85},{1,1.5,2,2.5,3})</f>
        <v>2</v>
      </c>
      <c r="D60" s="11"/>
      <c r="E60" s="11"/>
      <c r="G60" s="11">
        <v>6</v>
      </c>
      <c r="H60" s="11">
        <v>4</v>
      </c>
      <c r="I60" s="11">
        <v>4</v>
      </c>
      <c r="J60" s="11">
        <v>3</v>
      </c>
      <c r="K60" s="11">
        <v>5</v>
      </c>
    </row>
    <row r="61" spans="1:11" x14ac:dyDescent="0.75">
      <c r="A61" s="11">
        <v>43</v>
      </c>
      <c r="B61" s="11"/>
      <c r="C61" s="11">
        <f>LOOKUP(I61/8,{0,0.25,0.5,0.7,0.85},{1,1.5,2,2.5,3})</f>
        <v>3</v>
      </c>
      <c r="D61" s="11"/>
      <c r="E61" s="11"/>
      <c r="G61" s="11">
        <v>1</v>
      </c>
      <c r="H61" s="11">
        <v>0</v>
      </c>
      <c r="I61" s="11">
        <v>8</v>
      </c>
      <c r="J61" s="11">
        <v>0</v>
      </c>
      <c r="K61" s="11">
        <v>0</v>
      </c>
    </row>
    <row r="62" spans="1:11" x14ac:dyDescent="0.75">
      <c r="A62" s="11">
        <v>44</v>
      </c>
      <c r="B62" s="11"/>
      <c r="C62" s="11">
        <f>LOOKUP(I62/8,{0,0.25,0.5,0.7,0.85},{1,1.5,2,2.5,3})</f>
        <v>2</v>
      </c>
      <c r="D62" s="11"/>
      <c r="E62" s="11"/>
      <c r="G62" s="11">
        <v>2</v>
      </c>
      <c r="H62" s="11">
        <v>1</v>
      </c>
      <c r="I62" s="11">
        <v>4</v>
      </c>
      <c r="J62" s="11">
        <v>3</v>
      </c>
      <c r="K62" s="11">
        <v>1</v>
      </c>
    </row>
    <row r="63" spans="1:11" x14ac:dyDescent="0.75">
      <c r="A63" s="11">
        <v>45</v>
      </c>
      <c r="B63" s="11"/>
      <c r="C63" s="11">
        <f>LOOKUP(I63/8,{0,0.25,0.5,0.7,0.85},{1,1.5,2,2.5,3})</f>
        <v>2.5</v>
      </c>
      <c r="D63" s="11"/>
      <c r="E63" s="11"/>
      <c r="G63" s="11">
        <v>6</v>
      </c>
      <c r="H63" s="11">
        <v>4</v>
      </c>
      <c r="I63" s="11">
        <v>6</v>
      </c>
      <c r="J63" s="11">
        <v>3</v>
      </c>
      <c r="K63" s="11">
        <v>3</v>
      </c>
    </row>
    <row r="64" spans="1:11" x14ac:dyDescent="0.75">
      <c r="A64" s="11">
        <v>46</v>
      </c>
      <c r="B64" s="11"/>
      <c r="C64" s="11">
        <f>LOOKUP(I64/8,{0,0.25,0.5,0.7,0.85},{1,1.5,2,2.5,3})</f>
        <v>3</v>
      </c>
      <c r="D64" s="11"/>
      <c r="E64" s="11"/>
      <c r="G64" s="11">
        <v>6</v>
      </c>
      <c r="H64" s="11">
        <v>4</v>
      </c>
      <c r="I64" s="11">
        <v>8</v>
      </c>
      <c r="J64" s="11">
        <v>3</v>
      </c>
      <c r="K64" s="11">
        <v>6</v>
      </c>
    </row>
    <row r="65" spans="1:12" x14ac:dyDescent="0.75">
      <c r="A65" s="11">
        <v>47</v>
      </c>
      <c r="B65" s="11"/>
      <c r="C65" s="11">
        <f>LOOKUP(I65/8,{0,0.25,0.5,0.7,0.85},{1,1.5,2,2.5,3})</f>
        <v>1</v>
      </c>
      <c r="D65" s="11"/>
      <c r="E65" s="11"/>
      <c r="G65" s="11">
        <v>0</v>
      </c>
      <c r="H65" s="11">
        <v>0</v>
      </c>
      <c r="I65" s="11">
        <v>0</v>
      </c>
      <c r="J65" s="11">
        <v>0</v>
      </c>
      <c r="K65" s="11">
        <v>0</v>
      </c>
    </row>
    <row r="66" spans="1:12" x14ac:dyDescent="0.75">
      <c r="A66" s="11">
        <v>48</v>
      </c>
      <c r="B66" s="11"/>
      <c r="C66" s="11">
        <f>LOOKUP(I66/8,{0,0.25,0.5,0.7,0.85},{1,1.5,2,2.5,3})</f>
        <v>2.5</v>
      </c>
      <c r="D66" s="11"/>
      <c r="E66" s="11"/>
      <c r="G66" s="11">
        <v>5</v>
      </c>
      <c r="H66" s="11">
        <v>0</v>
      </c>
      <c r="I66" s="11">
        <v>6</v>
      </c>
      <c r="J66" s="11">
        <v>0</v>
      </c>
      <c r="K66" s="11">
        <v>0</v>
      </c>
      <c r="L66" s="2"/>
    </row>
    <row r="67" spans="1:12" x14ac:dyDescent="0.75">
      <c r="A67" s="11">
        <v>49</v>
      </c>
      <c r="B67" s="11"/>
      <c r="C67" s="11">
        <f>LOOKUP(I67/8,{0,0.25,0.5,0.7,0.85},{1,1.5,2,2.5,3})</f>
        <v>1</v>
      </c>
      <c r="D67" s="11"/>
      <c r="E67" s="11"/>
      <c r="G67" s="11">
        <v>0</v>
      </c>
      <c r="H67" s="11">
        <v>0</v>
      </c>
      <c r="I67" s="11">
        <v>0</v>
      </c>
      <c r="J67" s="11">
        <v>0</v>
      </c>
      <c r="K67" s="11">
        <v>0</v>
      </c>
    </row>
    <row r="68" spans="1:12" x14ac:dyDescent="0.75">
      <c r="A68" s="11">
        <v>50</v>
      </c>
      <c r="B68" s="11"/>
      <c r="C68" s="11">
        <f>LOOKUP(I68/8,{0,0.25,0.5,0.7,0.85},{1,1.5,2,2.5,3})</f>
        <v>2</v>
      </c>
      <c r="D68" s="11"/>
      <c r="E68" s="11"/>
      <c r="G68" s="11">
        <v>3</v>
      </c>
      <c r="H68" s="11">
        <v>2</v>
      </c>
      <c r="I68" s="11">
        <v>5</v>
      </c>
      <c r="J68" s="11">
        <v>3</v>
      </c>
      <c r="K68" s="11">
        <v>4</v>
      </c>
    </row>
    <row r="69" spans="1:12" x14ac:dyDescent="0.75">
      <c r="A69" s="11">
        <v>51</v>
      </c>
      <c r="B69" s="11"/>
      <c r="C69" s="11">
        <f>LOOKUP(I69/8,{0,0.25,0.5,0.7,0.85},{1,1.5,2,2.5,3})</f>
        <v>1</v>
      </c>
      <c r="D69" s="11"/>
      <c r="E69" s="11"/>
      <c r="G69" s="11">
        <v>2</v>
      </c>
      <c r="H69" s="11">
        <v>1</v>
      </c>
      <c r="I69" s="11">
        <v>1</v>
      </c>
      <c r="J69" s="11">
        <v>3</v>
      </c>
      <c r="K69" s="11">
        <v>4</v>
      </c>
    </row>
    <row r="70" spans="1:12" x14ac:dyDescent="0.75">
      <c r="A70" s="11">
        <v>52</v>
      </c>
      <c r="B70" s="11"/>
      <c r="C70" s="11">
        <f>LOOKUP(I70/8,{0,0.25,0.5,0.7,0.85},{1,1.5,2,2.5,3})</f>
        <v>1.5</v>
      </c>
      <c r="D70" s="11"/>
      <c r="E70" s="11"/>
      <c r="G70" s="11">
        <v>5</v>
      </c>
      <c r="H70" s="11">
        <v>2</v>
      </c>
      <c r="I70" s="11">
        <v>3</v>
      </c>
      <c r="J70" s="11">
        <v>1</v>
      </c>
      <c r="K70" s="11">
        <v>0</v>
      </c>
    </row>
    <row r="71" spans="1:12" x14ac:dyDescent="0.75">
      <c r="A71" s="11">
        <v>53</v>
      </c>
      <c r="B71" s="11"/>
      <c r="C71" s="11">
        <f>LOOKUP(I71/8,{0,0.25,0.5,0.7,0.85},{1,1.5,2,2.5,3})</f>
        <v>1</v>
      </c>
      <c r="D71" s="11"/>
      <c r="E71" s="11"/>
      <c r="G71" s="11">
        <v>0</v>
      </c>
      <c r="H71" s="11">
        <v>0</v>
      </c>
      <c r="I71" s="11">
        <v>0</v>
      </c>
      <c r="J71" s="11">
        <v>3</v>
      </c>
      <c r="K71" s="11">
        <v>7</v>
      </c>
    </row>
    <row r="72" spans="1:12" x14ac:dyDescent="0.75">
      <c r="A72" s="11">
        <v>54</v>
      </c>
      <c r="B72" s="11"/>
      <c r="C72" s="11">
        <f>LOOKUP(I72/8,{0,0.25,0.5,0.7,0.85},{1,1.5,2,2.5,3})</f>
        <v>3</v>
      </c>
      <c r="D72" s="11"/>
      <c r="E72" s="11"/>
      <c r="G72" s="11">
        <v>4</v>
      </c>
      <c r="H72" s="11">
        <v>0</v>
      </c>
      <c r="I72" s="11">
        <v>7</v>
      </c>
      <c r="J72" s="11">
        <v>3</v>
      </c>
      <c r="K72" s="11">
        <v>1</v>
      </c>
    </row>
    <row r="73" spans="1:12" x14ac:dyDescent="0.75">
      <c r="A73" s="11">
        <v>55</v>
      </c>
      <c r="B73" s="11"/>
      <c r="C73" s="11">
        <f>LOOKUP(I73/8,{0,0.25,0.5,0.7,0.85},{1,1.5,2,2.5,3})</f>
        <v>3</v>
      </c>
      <c r="D73" s="11"/>
      <c r="E73" s="11"/>
      <c r="G73" s="11">
        <v>5</v>
      </c>
      <c r="H73" s="11">
        <v>3</v>
      </c>
      <c r="I73" s="11">
        <v>8</v>
      </c>
      <c r="J73" s="11">
        <v>1</v>
      </c>
      <c r="K73" s="11">
        <v>0</v>
      </c>
    </row>
    <row r="80" spans="1:12" x14ac:dyDescent="0.75">
      <c r="A80" s="7" t="s">
        <v>14</v>
      </c>
      <c r="B80" s="4"/>
      <c r="C80" s="4"/>
      <c r="D80" s="4"/>
      <c r="E80" s="4"/>
    </row>
    <row r="81" spans="1:9" x14ac:dyDescent="0.75">
      <c r="A81" s="12" t="s">
        <v>32</v>
      </c>
      <c r="B81" s="12"/>
      <c r="C81" s="12">
        <v>2</v>
      </c>
      <c r="D81" s="12"/>
      <c r="E81" s="12"/>
    </row>
    <row r="82" spans="1:9" x14ac:dyDescent="0.75">
      <c r="A82" s="12" t="s">
        <v>15</v>
      </c>
      <c r="B82" s="12"/>
      <c r="C82" s="12">
        <v>1</v>
      </c>
      <c r="D82" s="12"/>
      <c r="E82" s="12"/>
    </row>
    <row r="83" spans="1:9" x14ac:dyDescent="0.75">
      <c r="A83" s="12" t="s">
        <v>4</v>
      </c>
      <c r="B83" s="13"/>
      <c r="C83" s="13">
        <f>AVERAGE(C19:C73)</f>
        <v>2.3545454545454545</v>
      </c>
      <c r="D83" s="13"/>
      <c r="E83" s="13"/>
    </row>
    <row r="84" spans="1:9" x14ac:dyDescent="0.75">
      <c r="A84" s="12" t="s">
        <v>5</v>
      </c>
      <c r="B84" s="13"/>
      <c r="C84" s="13">
        <f>STDEV(C19:C73)</f>
        <v>0.77979536295159368</v>
      </c>
      <c r="D84" s="13"/>
      <c r="E84" s="13"/>
    </row>
    <row r="85" spans="1:9" x14ac:dyDescent="0.75">
      <c r="A85" s="12"/>
      <c r="B85" s="12"/>
      <c r="C85" s="12"/>
      <c r="D85" s="12"/>
      <c r="E85" s="4"/>
    </row>
    <row r="86" spans="1:9" x14ac:dyDescent="0.75">
      <c r="A86" s="12" t="s">
        <v>9</v>
      </c>
      <c r="B86" s="12"/>
      <c r="C86" s="12">
        <f t="shared" ref="C86" si="0">COUNTIFS(C19:C73,"&gt;=2.1",C19:C73,"&lt;=3")</f>
        <v>33</v>
      </c>
      <c r="D86" s="12"/>
      <c r="E86" s="12"/>
      <c r="G86" s="20">
        <f>AVERAGE(B86:E86)</f>
        <v>33</v>
      </c>
      <c r="H86" s="22">
        <f>G86/$C$89*100</f>
        <v>60</v>
      </c>
      <c r="I86" s="12" t="s">
        <v>9</v>
      </c>
    </row>
    <row r="87" spans="1:9" x14ac:dyDescent="0.75">
      <c r="A87" s="12" t="s">
        <v>10</v>
      </c>
      <c r="B87" s="12"/>
      <c r="C87" s="12">
        <f t="shared" ref="C87" si="1">COUNTIFS(C19:C73,"&gt;=1.1",C19:C73,"&lt;=2")</f>
        <v>12</v>
      </c>
      <c r="D87" s="12"/>
      <c r="E87" s="12"/>
      <c r="G87" s="20">
        <f t="shared" ref="G87:G88" si="2">AVERAGE(B87:E87)</f>
        <v>12</v>
      </c>
      <c r="H87" s="23">
        <f t="shared" ref="H87:H88" si="3">G87/$C$89*100</f>
        <v>21.818181818181817</v>
      </c>
      <c r="I87" t="s">
        <v>10</v>
      </c>
    </row>
    <row r="88" spans="1:9" x14ac:dyDescent="0.75">
      <c r="A88" s="12" t="s">
        <v>7</v>
      </c>
      <c r="B88" s="12"/>
      <c r="C88" s="12">
        <f t="shared" ref="C88" si="4">COUNTIF(C19:C73, 1)</f>
        <v>10</v>
      </c>
      <c r="D88" s="12"/>
      <c r="E88" s="12"/>
      <c r="G88" s="20">
        <f t="shared" si="2"/>
        <v>10</v>
      </c>
      <c r="H88" s="23">
        <f t="shared" si="3"/>
        <v>18.181818181818183</v>
      </c>
      <c r="I88" t="s">
        <v>7</v>
      </c>
    </row>
    <row r="89" spans="1:9" x14ac:dyDescent="0.75">
      <c r="A89" s="12" t="s">
        <v>8</v>
      </c>
      <c r="B89" s="12"/>
      <c r="C89" s="12">
        <f t="shared" ref="C89" si="5">SUM(C85:C88)</f>
        <v>55</v>
      </c>
      <c r="D89" s="12"/>
      <c r="E89" s="12"/>
      <c r="H89" s="12">
        <f t="shared" ref="H89" si="6">SUM(H85:H88)</f>
        <v>100</v>
      </c>
    </row>
    <row r="90" spans="1:9" x14ac:dyDescent="0.75">
      <c r="H90" s="22">
        <f>SUM(H86:H87)</f>
        <v>81.818181818181813</v>
      </c>
      <c r="I90" t="s">
        <v>73</v>
      </c>
    </row>
    <row r="91" spans="1:9" x14ac:dyDescent="0.75">
      <c r="A91" s="8" t="s">
        <v>13</v>
      </c>
      <c r="B91" s="5"/>
      <c r="C91" s="5"/>
      <c r="D91" s="5"/>
      <c r="E91" s="5"/>
    </row>
    <row r="92" spans="1:9" x14ac:dyDescent="0.75">
      <c r="A92" s="5" t="s">
        <v>0</v>
      </c>
      <c r="B92" s="5">
        <v>1</v>
      </c>
      <c r="C92" s="5"/>
      <c r="D92" s="5"/>
      <c r="E92" s="5"/>
    </row>
    <row r="93" spans="1:9" x14ac:dyDescent="0.75">
      <c r="A93" s="5" t="s">
        <v>11</v>
      </c>
      <c r="B93" s="6">
        <f>AVERAGE(B83:E83)</f>
        <v>2.3545454545454545</v>
      </c>
      <c r="C93" s="6"/>
      <c r="D93" s="6"/>
      <c r="E93" s="6"/>
    </row>
    <row r="94" spans="1:9" x14ac:dyDescent="0.75">
      <c r="A94" s="5" t="s">
        <v>12</v>
      </c>
      <c r="B94" s="6">
        <f>AVERAGE(B84:E84)</f>
        <v>0.77979536295159368</v>
      </c>
      <c r="C94" s="6"/>
      <c r="D94" s="6"/>
      <c r="E94" s="6"/>
    </row>
    <row r="151" spans="7:12" x14ac:dyDescent="0.75">
      <c r="G151" s="2"/>
      <c r="H151" s="2"/>
      <c r="I151" s="2"/>
      <c r="J151" s="2"/>
      <c r="K151" s="2"/>
      <c r="L151" s="2"/>
    </row>
    <row r="173" spans="2:2" x14ac:dyDescent="0.75">
      <c r="B173" s="9"/>
    </row>
    <row r="174" spans="2:2" x14ac:dyDescent="0.75">
      <c r="B174" s="9"/>
    </row>
    <row r="175" spans="2:2" x14ac:dyDescent="0.75">
      <c r="B175" s="9"/>
    </row>
    <row r="176" spans="2:2" x14ac:dyDescent="0.75">
      <c r="B176" s="9"/>
    </row>
    <row r="178" spans="1:1" x14ac:dyDescent="0.75">
      <c r="A178" s="1"/>
    </row>
  </sheetData>
  <sortState xmlns:xlrd2="http://schemas.microsoft.com/office/spreadsheetml/2017/richdata2" ref="D19:D39">
    <sortCondition ref="D19:D39"/>
  </sortState>
  <mergeCells count="1">
    <mergeCell ref="G17:K17"/>
  </mergeCells>
  <pageMargins left="0.7" right="0.7" top="0.75" bottom="0.75" header="0.3" footer="0.3"/>
  <pageSetup scale="38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selection activeCell="D8" sqref="D8"/>
    </sheetView>
  </sheetViews>
  <sheetFormatPr defaultRowHeight="14.75" x14ac:dyDescent="0.75"/>
  <cols>
    <col min="1" max="1" width="5.26953125" bestFit="1" customWidth="1"/>
    <col min="2" max="2" width="93.1328125" bestFit="1" customWidth="1"/>
    <col min="3" max="3" width="18.40625" bestFit="1" customWidth="1"/>
    <col min="4" max="4" width="11.40625" bestFit="1" customWidth="1"/>
  </cols>
  <sheetData>
    <row r="1" spans="1:8" x14ac:dyDescent="0.75">
      <c r="A1" t="s">
        <v>38</v>
      </c>
      <c r="B1" t="s">
        <v>39</v>
      </c>
      <c r="C1" t="s">
        <v>40</v>
      </c>
      <c r="D1" t="s">
        <v>41</v>
      </c>
    </row>
    <row r="2" spans="1:8" x14ac:dyDescent="0.75">
      <c r="A2">
        <v>1</v>
      </c>
      <c r="B2" t="s">
        <v>42</v>
      </c>
      <c r="C2" t="s">
        <v>43</v>
      </c>
      <c r="D2" s="11">
        <v>10</v>
      </c>
    </row>
    <row r="3" spans="1:8" x14ac:dyDescent="0.75">
      <c r="A3">
        <v>2</v>
      </c>
      <c r="B3" t="s">
        <v>44</v>
      </c>
      <c r="C3" s="17">
        <v>2</v>
      </c>
      <c r="D3" s="11">
        <v>8</v>
      </c>
    </row>
    <row r="4" spans="1:8" x14ac:dyDescent="0.75">
      <c r="A4">
        <v>3</v>
      </c>
      <c r="B4" t="s">
        <v>45</v>
      </c>
      <c r="C4" s="17" t="s">
        <v>46</v>
      </c>
      <c r="D4" s="11">
        <v>4</v>
      </c>
    </row>
    <row r="5" spans="1:8" x14ac:dyDescent="0.75">
      <c r="A5">
        <v>6</v>
      </c>
      <c r="B5" t="s">
        <v>47</v>
      </c>
      <c r="C5" t="s">
        <v>48</v>
      </c>
      <c r="D5" s="11">
        <v>6</v>
      </c>
    </row>
    <row r="7" spans="1:8" x14ac:dyDescent="0.75">
      <c r="D7" s="24" t="s">
        <v>66</v>
      </c>
      <c r="E7" s="24"/>
      <c r="F7" s="24"/>
      <c r="G7" s="24"/>
      <c r="H7" s="24"/>
    </row>
    <row r="8" spans="1:8" x14ac:dyDescent="0.75">
      <c r="A8" t="s">
        <v>38</v>
      </c>
      <c r="B8" t="s">
        <v>40</v>
      </c>
      <c r="C8" t="s">
        <v>41</v>
      </c>
      <c r="D8">
        <v>1</v>
      </c>
      <c r="E8">
        <v>1.5</v>
      </c>
      <c r="F8">
        <v>2</v>
      </c>
      <c r="G8">
        <v>2.5</v>
      </c>
      <c r="H8">
        <v>3</v>
      </c>
    </row>
    <row r="9" spans="1:8" x14ac:dyDescent="0.75">
      <c r="A9" t="s">
        <v>49</v>
      </c>
      <c r="B9" t="s">
        <v>50</v>
      </c>
      <c r="C9" t="s">
        <v>51</v>
      </c>
      <c r="D9" s="11" t="s">
        <v>52</v>
      </c>
      <c r="E9" s="11" t="s">
        <v>53</v>
      </c>
      <c r="F9" s="11" t="s">
        <v>54</v>
      </c>
      <c r="G9" s="11" t="s">
        <v>55</v>
      </c>
      <c r="H9" s="11" t="s">
        <v>56</v>
      </c>
    </row>
    <row r="10" spans="1:8" x14ac:dyDescent="0.75">
      <c r="A10" t="s">
        <v>57</v>
      </c>
      <c r="B10" s="17">
        <v>2</v>
      </c>
      <c r="C10" t="s">
        <v>58</v>
      </c>
      <c r="D10" s="11" t="s">
        <v>59</v>
      </c>
      <c r="E10" s="11" t="s">
        <v>60</v>
      </c>
      <c r="F10" s="11" t="s">
        <v>61</v>
      </c>
      <c r="G10" s="11">
        <v>6</v>
      </c>
      <c r="H10" s="11" t="s">
        <v>55</v>
      </c>
    </row>
    <row r="11" spans="1:8" x14ac:dyDescent="0.75">
      <c r="A11" t="s">
        <v>62</v>
      </c>
      <c r="B11" t="s">
        <v>46</v>
      </c>
      <c r="C11" t="s">
        <v>63</v>
      </c>
      <c r="D11" s="11">
        <v>0</v>
      </c>
      <c r="E11" s="11">
        <v>1</v>
      </c>
      <c r="F11" s="11">
        <v>2</v>
      </c>
      <c r="G11" s="11">
        <v>3</v>
      </c>
      <c r="H11" s="11">
        <v>4</v>
      </c>
    </row>
    <row r="12" spans="1:8" x14ac:dyDescent="0.75">
      <c r="A12" t="s">
        <v>64</v>
      </c>
      <c r="B12" t="s">
        <v>48</v>
      </c>
      <c r="C12" t="s">
        <v>65</v>
      </c>
      <c r="D12" s="11" t="s">
        <v>59</v>
      </c>
      <c r="E12" s="11">
        <v>2</v>
      </c>
      <c r="F12" s="11" t="s">
        <v>53</v>
      </c>
      <c r="G12" s="11">
        <v>5</v>
      </c>
      <c r="H12" s="11">
        <v>6</v>
      </c>
    </row>
  </sheetData>
  <mergeCells count="1">
    <mergeCell ref="D7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Zdunek, Alan</cp:lastModifiedBy>
  <cp:lastPrinted>2020-03-06T20:00:58Z</cp:lastPrinted>
  <dcterms:created xsi:type="dcterms:W3CDTF">2013-01-15T05:38:26Z</dcterms:created>
  <dcterms:modified xsi:type="dcterms:W3CDTF">2026-06-02T23:35:05Z</dcterms:modified>
</cp:coreProperties>
</file>