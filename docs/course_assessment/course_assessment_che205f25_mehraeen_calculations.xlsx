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E:\Documents\ABET_2026_InProgress\2026 Self-Study Report\Criterion4-ContinuousImprovement\Course Assessments\CHE200-Level Assessment\"/>
    </mc:Choice>
  </mc:AlternateContent>
  <xr:revisionPtr revIDLastSave="0" documentId="13_ncr:1_{FD99A5F9-1D73-466E-8666-DB27378A2765}" xr6:coauthVersionLast="47" xr6:coauthVersionMax="47" xr10:uidLastSave="{00000000-0000-0000-0000-000000000000}"/>
  <bookViews>
    <workbookView xWindow="48480" yWindow="-120" windowWidth="29040" windowHeight="1522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55" i="1" l="1"/>
  <c r="G54" i="1"/>
  <c r="G53" i="1"/>
  <c r="C55" i="1"/>
  <c r="D55" i="1"/>
  <c r="E55" i="1"/>
  <c r="B55" i="1"/>
  <c r="C54" i="1"/>
  <c r="D54" i="1"/>
  <c r="E54" i="1"/>
  <c r="B54" i="1"/>
  <c r="C53" i="1"/>
  <c r="D53" i="1"/>
  <c r="E53" i="1"/>
  <c r="B53" i="1"/>
  <c r="E50" i="1"/>
  <c r="C51" i="1"/>
  <c r="D51" i="1"/>
  <c r="E51" i="1"/>
  <c r="B51" i="1"/>
  <c r="C50" i="1"/>
  <c r="D50" i="1"/>
  <c r="B50" i="1"/>
  <c r="E56" i="1" l="1"/>
  <c r="D56" i="1"/>
  <c r="C56" i="1"/>
  <c r="B61" i="1"/>
  <c r="B56" i="1"/>
  <c r="B60" i="1"/>
</calcChain>
</file>

<file path=xl/sharedStrings.xml><?xml version="1.0" encoding="utf-8"?>
<sst xmlns="http://schemas.openxmlformats.org/spreadsheetml/2006/main" count="56" uniqueCount="46">
  <si>
    <t>SO</t>
  </si>
  <si>
    <t>Unsatisfactory</t>
  </si>
  <si>
    <t>Developing</t>
  </si>
  <si>
    <t>Satisfactory</t>
  </si>
  <si>
    <t>Average</t>
  </si>
  <si>
    <t>Std Dev</t>
  </si>
  <si>
    <t>Student</t>
  </si>
  <si>
    <t>U</t>
  </si>
  <si>
    <t>Checksum</t>
  </si>
  <si>
    <t>S</t>
  </si>
  <si>
    <t>D</t>
  </si>
  <si>
    <t>Average Score</t>
  </si>
  <si>
    <t>Standard dev.</t>
  </si>
  <si>
    <t>RESULTS BY STUDENT OUTCOME</t>
  </si>
  <si>
    <t>RESULTS BY PERFORMANCE INDICATOR</t>
  </si>
  <si>
    <t>Mapped SO</t>
  </si>
  <si>
    <t>RATINGS</t>
  </si>
  <si>
    <t>Rubric #</t>
  </si>
  <si>
    <t>Problem</t>
  </si>
  <si>
    <t>Rubric</t>
  </si>
  <si>
    <t>PI</t>
  </si>
  <si>
    <t>&lt;3</t>
  </si>
  <si>
    <t>Total pts</t>
  </si>
  <si>
    <t>an ability to identify, formulate, and solve complex engineering problems by applying principles of engineering, science, and mathematics.</t>
  </si>
  <si>
    <t>Student Learning Outcome 1</t>
  </si>
  <si>
    <t>Emphasized</t>
  </si>
  <si>
    <t>Performance Indicators:</t>
  </si>
  <si>
    <t>1. Apply mathematical and scientific principles to formulate models and systems relevant to the subject</t>
  </si>
  <si>
    <t xml:space="preserve">2. Solve engineering problems by using the concepts of algebra, calculus, differential equations and/or linear algebra </t>
  </si>
  <si>
    <t>3. Appropriate engineering interpretation of mathematical and scientific terms</t>
  </si>
  <si>
    <t>Assessment of student outcome 1 (SO1)</t>
  </si>
  <si>
    <t>Performance Indicators used</t>
  </si>
  <si>
    <t>`</t>
  </si>
  <si>
    <t>4. Translates academic theory into engineering applications</t>
  </si>
  <si>
    <t xml:space="preserve">5. Predict and defend problem outcomes </t>
  </si>
  <si>
    <t xml:space="preserve">6. The uses of appropriate resources needed to solve problems </t>
  </si>
  <si>
    <t xml:space="preserve">7. Solution creativity  and alternatives </t>
  </si>
  <si>
    <t xml:space="preserve">Computational Methods in Chemical Engineering </t>
  </si>
  <si>
    <t>Prepared by S. Mehraeen</t>
  </si>
  <si>
    <t>4 to 7</t>
  </si>
  <si>
    <t>&gt;7</t>
  </si>
  <si>
    <t>CHE 205 Fall 2025</t>
  </si>
  <si>
    <t>&lt;1.5</t>
  </si>
  <si>
    <t>&gt;1.5 and &lt;3.5</t>
  </si>
  <si>
    <t>&gt;3.5</t>
  </si>
  <si>
    <t>Assessment rubric: Final exam,  Problems,  1, 2, 5, and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</si>
</sst>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Georgia"/>
      <family val="1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right"/>
    </xf>
    <xf numFmtId="0" fontId="0" fillId="4" borderId="0" xfId="0" applyFill="1"/>
    <xf numFmtId="2" fontId="0" fillId="4" borderId="0" xfId="0" applyNumberFormat="1" applyFill="1"/>
    <xf numFmtId="0" fontId="1" fillId="3" borderId="0" xfId="0" applyFont="1" applyFill="1"/>
    <xf numFmtId="0" fontId="1" fillId="4" borderId="0" xfId="0" applyFont="1" applyFill="1"/>
    <xf numFmtId="0" fontId="2" fillId="0" borderId="0" xfId="0" applyFont="1"/>
    <xf numFmtId="0" fontId="0" fillId="5" borderId="0" xfId="0" applyFill="1"/>
    <xf numFmtId="0" fontId="0" fillId="5" borderId="0" xfId="0" applyFill="1" applyAlignment="1">
      <alignment horizontal="right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2" fontId="0" fillId="3" borderId="0" xfId="0" applyNumberFormat="1" applyFill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3" fillId="0" borderId="0" xfId="0" applyFont="1"/>
    <xf numFmtId="2" fontId="0" fillId="4" borderId="1" xfId="0" applyNumberFormat="1" applyFill="1" applyBorder="1" applyAlignment="1">
      <alignment horizontal="center" vertical="center"/>
    </xf>
    <xf numFmtId="0" fontId="0" fillId="6" borderId="0" xfId="0" applyFill="1"/>
    <xf numFmtId="0" fontId="6" fillId="0" borderId="0" xfId="0" applyFont="1" applyAlignment="1">
      <alignment horizontal="center"/>
    </xf>
    <xf numFmtId="1" fontId="0" fillId="3" borderId="0" xfId="0" applyNumberFormat="1" applyFill="1" applyAlignment="1">
      <alignment horizontal="center"/>
    </xf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185"/>
  <sheetViews>
    <sheetView tabSelected="1" topLeftCell="A45" zoomScale="150" zoomScaleNormal="150" zoomScalePageLayoutView="150" workbookViewId="0">
      <selection activeCell="K51" sqref="K51"/>
    </sheetView>
  </sheetViews>
  <sheetFormatPr defaultColWidth="8.81640625" defaultRowHeight="14.75" x14ac:dyDescent="0.75"/>
  <cols>
    <col min="1" max="1" width="22.6796875" customWidth="1"/>
    <col min="2" max="2" width="5.5" customWidth="1"/>
    <col min="3" max="5" width="4.5" customWidth="1"/>
    <col min="8" max="8" width="2.6796875" customWidth="1"/>
    <col min="9" max="9" width="7.6796875" customWidth="1"/>
    <col min="10" max="10" width="7.81640625" customWidth="1"/>
    <col min="11" max="11" width="12" customWidth="1"/>
    <col min="12" max="12" width="13.31640625" customWidth="1"/>
    <col min="13" max="13" width="10" customWidth="1"/>
    <col min="15" max="15" width="9.1796875" customWidth="1"/>
  </cols>
  <sheetData>
    <row r="1" spans="1:22" x14ac:dyDescent="0.75">
      <c r="A1" s="1" t="s">
        <v>41</v>
      </c>
      <c r="F1" s="1" t="s">
        <v>24</v>
      </c>
    </row>
    <row r="2" spans="1:22" ht="16" x14ac:dyDescent="0.8">
      <c r="A2" s="1" t="s">
        <v>37</v>
      </c>
      <c r="H2" s="18" t="s">
        <v>23</v>
      </c>
    </row>
    <row r="3" spans="1:22" x14ac:dyDescent="0.75">
      <c r="A3" s="1" t="s">
        <v>30</v>
      </c>
      <c r="H3" t="s">
        <v>25</v>
      </c>
    </row>
    <row r="4" spans="1:22" x14ac:dyDescent="0.75">
      <c r="A4" t="s">
        <v>45</v>
      </c>
    </row>
    <row r="5" spans="1:22" x14ac:dyDescent="0.75">
      <c r="A5" t="s">
        <v>38</v>
      </c>
      <c r="H5" s="1" t="s">
        <v>26</v>
      </c>
    </row>
    <row r="6" spans="1:22" x14ac:dyDescent="0.75">
      <c r="H6" s="20" t="s">
        <v>27</v>
      </c>
      <c r="I6" s="20"/>
      <c r="J6" s="20"/>
      <c r="K6" s="20"/>
      <c r="L6" s="20"/>
      <c r="M6" s="20"/>
    </row>
    <row r="7" spans="1:22" x14ac:dyDescent="0.75">
      <c r="H7" s="20" t="s">
        <v>28</v>
      </c>
      <c r="I7" s="20"/>
      <c r="J7" s="20"/>
      <c r="K7" s="20"/>
      <c r="L7" s="20"/>
      <c r="M7" s="20"/>
    </row>
    <row r="8" spans="1:22" x14ac:dyDescent="0.75">
      <c r="H8" t="s">
        <v>29</v>
      </c>
    </row>
    <row r="9" spans="1:22" x14ac:dyDescent="0.75">
      <c r="A9" s="3" t="s">
        <v>16</v>
      </c>
      <c r="B9" s="3"/>
      <c r="C9" s="3"/>
      <c r="D9" s="3"/>
      <c r="H9" s="20" t="s">
        <v>33</v>
      </c>
      <c r="I9" s="20"/>
      <c r="J9" s="20"/>
      <c r="K9" s="20"/>
    </row>
    <row r="10" spans="1:22" x14ac:dyDescent="0.75">
      <c r="A10" s="3">
        <v>1</v>
      </c>
      <c r="B10" s="3" t="s">
        <v>1</v>
      </c>
      <c r="C10" s="3"/>
      <c r="D10" s="3"/>
      <c r="H10" t="s">
        <v>34</v>
      </c>
    </row>
    <row r="11" spans="1:22" x14ac:dyDescent="0.75">
      <c r="A11" s="3">
        <v>2</v>
      </c>
      <c r="B11" s="3" t="s">
        <v>2</v>
      </c>
      <c r="C11" s="3"/>
      <c r="D11" s="3"/>
      <c r="H11" s="20" t="s">
        <v>35</v>
      </c>
      <c r="I11" s="20"/>
      <c r="J11" s="20"/>
      <c r="K11" s="20"/>
    </row>
    <row r="12" spans="1:22" x14ac:dyDescent="0.75">
      <c r="A12" s="3">
        <v>3</v>
      </c>
      <c r="B12" s="3" t="s">
        <v>3</v>
      </c>
      <c r="C12" s="3"/>
      <c r="D12" s="3"/>
      <c r="H12" t="s">
        <v>36</v>
      </c>
    </row>
    <row r="13" spans="1:22" x14ac:dyDescent="0.75">
      <c r="A13" s="3"/>
      <c r="B13" s="3"/>
      <c r="C13" s="3"/>
      <c r="D13" s="3"/>
      <c r="V13" t="s">
        <v>32</v>
      </c>
    </row>
    <row r="14" spans="1:22" x14ac:dyDescent="0.75">
      <c r="H14" t="s">
        <v>19</v>
      </c>
    </row>
    <row r="15" spans="1:22" x14ac:dyDescent="0.75">
      <c r="A15" s="11" t="s">
        <v>31</v>
      </c>
      <c r="B15" s="11">
        <v>1</v>
      </c>
      <c r="C15" s="11">
        <v>2</v>
      </c>
      <c r="D15" s="11">
        <v>4</v>
      </c>
      <c r="E15" s="11">
        <v>6</v>
      </c>
      <c r="H15" s="16" t="s">
        <v>20</v>
      </c>
      <c r="I15" s="16" t="s">
        <v>18</v>
      </c>
      <c r="J15" s="16" t="s">
        <v>22</v>
      </c>
      <c r="K15" s="16" t="s">
        <v>1</v>
      </c>
      <c r="L15" s="16" t="s">
        <v>2</v>
      </c>
      <c r="M15" s="16" t="s">
        <v>3</v>
      </c>
    </row>
    <row r="16" spans="1:22" x14ac:dyDescent="0.75">
      <c r="A16" s="11" t="s">
        <v>18</v>
      </c>
      <c r="B16" s="12">
        <v>1</v>
      </c>
      <c r="C16" s="12">
        <v>2</v>
      </c>
      <c r="D16" s="12">
        <v>5</v>
      </c>
      <c r="E16" s="12">
        <v>3</v>
      </c>
      <c r="F16" s="2"/>
      <c r="G16" s="2"/>
      <c r="H16" s="16">
        <v>1</v>
      </c>
      <c r="I16" s="16">
        <v>1</v>
      </c>
      <c r="J16" s="16">
        <v>10</v>
      </c>
      <c r="K16" s="17" t="s">
        <v>21</v>
      </c>
      <c r="L16" s="19" t="s">
        <v>39</v>
      </c>
      <c r="M16" s="17" t="s">
        <v>40</v>
      </c>
    </row>
    <row r="17" spans="1:23" x14ac:dyDescent="0.75">
      <c r="B17" s="2"/>
      <c r="H17" s="16">
        <v>2</v>
      </c>
      <c r="I17" s="16">
        <v>2</v>
      </c>
      <c r="J17" s="16">
        <v>10</v>
      </c>
      <c r="K17" s="17" t="s">
        <v>21</v>
      </c>
      <c r="L17" s="19" t="s">
        <v>39</v>
      </c>
      <c r="M17" s="17" t="s">
        <v>40</v>
      </c>
    </row>
    <row r="18" spans="1:23" x14ac:dyDescent="0.75">
      <c r="A18" t="s">
        <v>6</v>
      </c>
      <c r="B18" s="21"/>
      <c r="C18" s="21"/>
      <c r="D18" s="21"/>
      <c r="E18" s="21"/>
      <c r="H18" s="16">
        <v>4</v>
      </c>
      <c r="I18" s="16">
        <v>5</v>
      </c>
      <c r="J18" s="16">
        <v>5</v>
      </c>
      <c r="K18" s="17" t="s">
        <v>42</v>
      </c>
      <c r="L18" s="17" t="s">
        <v>43</v>
      </c>
      <c r="M18" s="17" t="s">
        <v>44</v>
      </c>
    </row>
    <row r="19" spans="1:23" x14ac:dyDescent="0.75">
      <c r="A19" s="13">
        <v>1</v>
      </c>
      <c r="B19">
        <v>3</v>
      </c>
      <c r="C19">
        <v>3</v>
      </c>
      <c r="D19">
        <v>2</v>
      </c>
      <c r="E19">
        <v>3</v>
      </c>
      <c r="H19" s="16">
        <v>6</v>
      </c>
      <c r="I19" s="16">
        <v>3</v>
      </c>
      <c r="J19" s="16">
        <v>10</v>
      </c>
      <c r="K19" s="17" t="s">
        <v>21</v>
      </c>
      <c r="L19" s="19" t="s">
        <v>39</v>
      </c>
      <c r="M19" s="17" t="s">
        <v>40</v>
      </c>
      <c r="T19" s="13"/>
      <c r="U19" s="13"/>
      <c r="V19" s="13"/>
      <c r="W19" s="13"/>
    </row>
    <row r="20" spans="1:23" x14ac:dyDescent="0.75">
      <c r="A20" s="13">
        <v>2</v>
      </c>
      <c r="B20">
        <v>3</v>
      </c>
      <c r="C20">
        <v>3</v>
      </c>
      <c r="D20">
        <v>2</v>
      </c>
      <c r="E20">
        <v>3</v>
      </c>
      <c r="T20" s="13"/>
      <c r="U20" s="13"/>
      <c r="V20" s="13"/>
      <c r="W20" s="13"/>
    </row>
    <row r="21" spans="1:23" x14ac:dyDescent="0.75">
      <c r="A21" s="13">
        <v>3</v>
      </c>
      <c r="B21">
        <v>3</v>
      </c>
      <c r="C21">
        <v>3</v>
      </c>
      <c r="D21">
        <v>2</v>
      </c>
      <c r="E21">
        <v>3</v>
      </c>
      <c r="T21" s="13"/>
      <c r="U21" s="13"/>
      <c r="V21" s="13"/>
      <c r="W21" s="13"/>
    </row>
    <row r="22" spans="1:23" x14ac:dyDescent="0.75">
      <c r="A22" s="13">
        <v>4</v>
      </c>
      <c r="B22">
        <v>3</v>
      </c>
      <c r="C22">
        <v>3</v>
      </c>
      <c r="D22">
        <v>2</v>
      </c>
      <c r="E22">
        <v>3</v>
      </c>
      <c r="T22" s="13"/>
      <c r="U22" s="13"/>
      <c r="V22" s="13"/>
      <c r="W22" s="13"/>
    </row>
    <row r="23" spans="1:23" x14ac:dyDescent="0.75">
      <c r="A23" s="13">
        <v>5</v>
      </c>
      <c r="B23">
        <v>3</v>
      </c>
      <c r="C23">
        <v>3</v>
      </c>
      <c r="D23">
        <v>1</v>
      </c>
      <c r="E23">
        <v>1</v>
      </c>
      <c r="T23" s="13"/>
      <c r="U23" s="13"/>
      <c r="V23" s="13"/>
      <c r="W23" s="13"/>
    </row>
    <row r="24" spans="1:23" x14ac:dyDescent="0.75">
      <c r="A24" s="13">
        <v>6</v>
      </c>
      <c r="B24">
        <v>3</v>
      </c>
      <c r="C24">
        <v>3</v>
      </c>
      <c r="D24">
        <v>2</v>
      </c>
      <c r="E24">
        <v>3</v>
      </c>
      <c r="T24" s="13"/>
      <c r="U24" s="13"/>
      <c r="V24" s="13"/>
      <c r="W24" s="13"/>
    </row>
    <row r="25" spans="1:23" x14ac:dyDescent="0.75">
      <c r="A25" s="13">
        <v>7</v>
      </c>
      <c r="B25">
        <v>3</v>
      </c>
      <c r="C25">
        <v>3</v>
      </c>
      <c r="D25">
        <v>2</v>
      </c>
      <c r="E25">
        <v>3</v>
      </c>
      <c r="T25" s="13"/>
      <c r="U25" s="13"/>
      <c r="V25" s="13"/>
      <c r="W25" s="13"/>
    </row>
    <row r="26" spans="1:23" x14ac:dyDescent="0.75">
      <c r="A26" s="13">
        <v>8</v>
      </c>
      <c r="B26">
        <v>3</v>
      </c>
      <c r="C26">
        <v>3</v>
      </c>
      <c r="D26">
        <v>2</v>
      </c>
      <c r="E26">
        <v>3</v>
      </c>
      <c r="T26" s="13"/>
      <c r="U26" s="13"/>
      <c r="V26" s="13"/>
      <c r="W26" s="13"/>
    </row>
    <row r="27" spans="1:23" x14ac:dyDescent="0.75">
      <c r="A27" s="13">
        <v>9</v>
      </c>
      <c r="B27">
        <v>3</v>
      </c>
      <c r="C27">
        <v>3</v>
      </c>
      <c r="D27">
        <v>2</v>
      </c>
      <c r="E27">
        <v>3</v>
      </c>
      <c r="T27" s="13"/>
      <c r="U27" s="13"/>
      <c r="V27" s="13"/>
      <c r="W27" s="13"/>
    </row>
    <row r="28" spans="1:23" x14ac:dyDescent="0.75">
      <c r="A28" s="13">
        <v>10</v>
      </c>
      <c r="B28">
        <v>3</v>
      </c>
      <c r="C28">
        <v>3</v>
      </c>
      <c r="D28">
        <v>2</v>
      </c>
      <c r="E28">
        <v>3</v>
      </c>
      <c r="T28" s="13"/>
      <c r="U28" s="13"/>
      <c r="V28" s="13"/>
      <c r="W28" s="13"/>
    </row>
    <row r="29" spans="1:23" x14ac:dyDescent="0.75">
      <c r="A29" s="13">
        <v>11</v>
      </c>
      <c r="B29">
        <v>3</v>
      </c>
      <c r="C29">
        <v>3</v>
      </c>
      <c r="D29">
        <v>2</v>
      </c>
      <c r="E29">
        <v>3</v>
      </c>
      <c r="T29" s="13"/>
      <c r="U29" s="13"/>
      <c r="V29" s="13"/>
      <c r="W29" s="13"/>
    </row>
    <row r="30" spans="1:23" x14ac:dyDescent="0.75">
      <c r="A30" s="13">
        <v>12</v>
      </c>
      <c r="B30">
        <v>3</v>
      </c>
      <c r="C30">
        <v>3</v>
      </c>
      <c r="D30">
        <v>2</v>
      </c>
      <c r="E30">
        <v>3</v>
      </c>
      <c r="T30" s="13"/>
      <c r="U30" s="13"/>
      <c r="V30" s="13"/>
      <c r="W30" s="13"/>
    </row>
    <row r="31" spans="1:23" x14ac:dyDescent="0.75">
      <c r="A31" s="13">
        <v>13</v>
      </c>
      <c r="B31">
        <v>3</v>
      </c>
      <c r="C31">
        <v>3</v>
      </c>
      <c r="D31">
        <v>2</v>
      </c>
      <c r="E31">
        <v>3</v>
      </c>
      <c r="T31" s="13"/>
      <c r="U31" s="13"/>
      <c r="V31" s="13"/>
      <c r="W31" s="13"/>
    </row>
    <row r="32" spans="1:23" x14ac:dyDescent="0.75">
      <c r="A32" s="13">
        <v>14</v>
      </c>
      <c r="B32">
        <v>3</v>
      </c>
      <c r="C32">
        <v>3</v>
      </c>
      <c r="D32">
        <v>2</v>
      </c>
      <c r="E32">
        <v>3</v>
      </c>
      <c r="T32" s="13"/>
      <c r="U32" s="13"/>
      <c r="V32" s="13"/>
      <c r="W32" s="13"/>
    </row>
    <row r="33" spans="1:23" x14ac:dyDescent="0.75">
      <c r="A33" s="13">
        <v>15</v>
      </c>
      <c r="B33">
        <v>3</v>
      </c>
      <c r="C33">
        <v>2</v>
      </c>
      <c r="D33">
        <v>2</v>
      </c>
      <c r="E33">
        <v>3</v>
      </c>
      <c r="T33" s="13"/>
      <c r="U33" s="13"/>
      <c r="V33" s="13"/>
      <c r="W33" s="13"/>
    </row>
    <row r="34" spans="1:23" x14ac:dyDescent="0.75">
      <c r="A34" s="13">
        <v>16</v>
      </c>
      <c r="B34">
        <v>3</v>
      </c>
      <c r="C34">
        <v>3</v>
      </c>
      <c r="D34">
        <v>2</v>
      </c>
      <c r="E34">
        <v>3</v>
      </c>
      <c r="T34" s="13"/>
      <c r="U34" s="13"/>
      <c r="V34" s="13"/>
      <c r="W34" s="13"/>
    </row>
    <row r="35" spans="1:23" x14ac:dyDescent="0.75">
      <c r="A35" s="13">
        <v>17</v>
      </c>
      <c r="B35">
        <v>3</v>
      </c>
      <c r="C35">
        <v>3</v>
      </c>
      <c r="D35">
        <v>2</v>
      </c>
      <c r="E35">
        <v>3</v>
      </c>
      <c r="T35" s="13"/>
      <c r="U35" s="13"/>
      <c r="V35" s="13"/>
      <c r="W35" s="13"/>
    </row>
    <row r="36" spans="1:23" x14ac:dyDescent="0.75">
      <c r="A36" s="13">
        <v>18</v>
      </c>
      <c r="B36">
        <v>3</v>
      </c>
      <c r="C36">
        <v>3</v>
      </c>
      <c r="D36">
        <v>2</v>
      </c>
      <c r="E36">
        <v>3</v>
      </c>
      <c r="T36" s="13"/>
      <c r="U36" s="13"/>
      <c r="V36" s="13"/>
      <c r="W36" s="13"/>
    </row>
    <row r="37" spans="1:23" x14ac:dyDescent="0.75">
      <c r="A37" s="13">
        <v>19</v>
      </c>
      <c r="B37">
        <v>3</v>
      </c>
      <c r="C37">
        <v>3</v>
      </c>
      <c r="D37">
        <v>2</v>
      </c>
      <c r="E37">
        <v>3</v>
      </c>
      <c r="T37" s="13"/>
      <c r="U37" s="13"/>
      <c r="V37" s="13"/>
      <c r="W37" s="13"/>
    </row>
    <row r="38" spans="1:23" x14ac:dyDescent="0.75">
      <c r="A38" s="13">
        <v>20</v>
      </c>
      <c r="B38">
        <v>3</v>
      </c>
      <c r="C38">
        <v>3</v>
      </c>
      <c r="D38">
        <v>2</v>
      </c>
      <c r="E38">
        <v>3</v>
      </c>
      <c r="T38" s="13"/>
      <c r="U38" s="13"/>
      <c r="V38" s="13"/>
      <c r="W38" s="13"/>
    </row>
    <row r="39" spans="1:23" x14ac:dyDescent="0.75">
      <c r="A39" s="13">
        <v>21</v>
      </c>
      <c r="B39">
        <v>3</v>
      </c>
      <c r="C39">
        <v>3</v>
      </c>
      <c r="D39">
        <v>2</v>
      </c>
      <c r="E39">
        <v>3</v>
      </c>
      <c r="T39" s="13"/>
      <c r="U39" s="13"/>
      <c r="V39" s="13"/>
      <c r="W39" s="13"/>
    </row>
    <row r="40" spans="1:23" x14ac:dyDescent="0.75">
      <c r="A40" s="13">
        <v>22</v>
      </c>
      <c r="B40">
        <v>2</v>
      </c>
      <c r="C40">
        <v>3</v>
      </c>
      <c r="D40">
        <v>2</v>
      </c>
      <c r="E40">
        <v>3</v>
      </c>
      <c r="T40" s="13"/>
      <c r="U40" s="13"/>
      <c r="V40" s="13"/>
      <c r="W40" s="13"/>
    </row>
    <row r="41" spans="1:23" x14ac:dyDescent="0.75">
      <c r="A41" s="13">
        <v>23</v>
      </c>
      <c r="B41">
        <v>2</v>
      </c>
      <c r="C41">
        <v>2</v>
      </c>
      <c r="D41">
        <v>2</v>
      </c>
      <c r="E41">
        <v>3</v>
      </c>
      <c r="T41" s="13"/>
      <c r="U41" s="13"/>
      <c r="V41" s="13"/>
      <c r="W41" s="13"/>
    </row>
    <row r="42" spans="1:23" x14ac:dyDescent="0.75">
      <c r="A42" s="13">
        <v>24</v>
      </c>
      <c r="B42">
        <v>2</v>
      </c>
      <c r="C42">
        <v>3</v>
      </c>
      <c r="D42">
        <v>1</v>
      </c>
      <c r="E42">
        <v>3</v>
      </c>
      <c r="T42" s="13"/>
      <c r="U42" s="13"/>
      <c r="V42" s="13"/>
      <c r="W42" s="13"/>
    </row>
    <row r="43" spans="1:23" x14ac:dyDescent="0.75">
      <c r="A43" s="13">
        <v>25</v>
      </c>
      <c r="B43">
        <v>3</v>
      </c>
      <c r="C43">
        <v>3</v>
      </c>
      <c r="D43">
        <v>2</v>
      </c>
      <c r="E43">
        <v>2</v>
      </c>
      <c r="T43" s="13"/>
      <c r="U43" s="13"/>
      <c r="V43" s="13"/>
      <c r="W43" s="13"/>
    </row>
    <row r="44" spans="1:23" x14ac:dyDescent="0.75">
      <c r="A44" s="13">
        <v>26</v>
      </c>
      <c r="B44">
        <v>2</v>
      </c>
      <c r="C44">
        <v>3</v>
      </c>
      <c r="D44">
        <v>2</v>
      </c>
      <c r="E44">
        <v>2</v>
      </c>
      <c r="T44" s="13"/>
      <c r="U44" s="13"/>
      <c r="V44" s="13"/>
      <c r="W44" s="13"/>
    </row>
    <row r="45" spans="1:23" x14ac:dyDescent="0.75">
      <c r="A45" s="13">
        <v>27</v>
      </c>
      <c r="B45">
        <v>3</v>
      </c>
      <c r="C45">
        <v>3</v>
      </c>
      <c r="D45">
        <v>2</v>
      </c>
      <c r="E45">
        <v>3</v>
      </c>
      <c r="T45" s="13"/>
      <c r="U45" s="13"/>
      <c r="V45" s="13"/>
      <c r="W45" s="13"/>
    </row>
    <row r="46" spans="1:23" x14ac:dyDescent="0.75">
      <c r="A46" s="13">
        <v>28</v>
      </c>
      <c r="B46">
        <v>3</v>
      </c>
      <c r="C46">
        <v>3</v>
      </c>
      <c r="D46">
        <v>2</v>
      </c>
      <c r="E46">
        <v>3</v>
      </c>
      <c r="T46" s="13"/>
      <c r="U46" s="13"/>
      <c r="V46" s="13"/>
      <c r="W46" s="13"/>
    </row>
    <row r="47" spans="1:23" x14ac:dyDescent="0.75">
      <c r="A47" s="8" t="s">
        <v>14</v>
      </c>
      <c r="B47" s="4"/>
      <c r="C47" s="4"/>
      <c r="D47" s="4"/>
      <c r="E47" s="4"/>
    </row>
    <row r="48" spans="1:23" x14ac:dyDescent="0.75">
      <c r="A48" s="14" t="s">
        <v>17</v>
      </c>
      <c r="B48" s="14">
        <v>1</v>
      </c>
      <c r="C48" s="14">
        <v>2</v>
      </c>
      <c r="D48" s="14">
        <v>4</v>
      </c>
      <c r="E48" s="4">
        <v>6</v>
      </c>
    </row>
    <row r="49" spans="1:7" x14ac:dyDescent="0.75">
      <c r="A49" s="14" t="s">
        <v>15</v>
      </c>
      <c r="B49" s="14">
        <v>1</v>
      </c>
      <c r="C49" s="14">
        <v>1</v>
      </c>
      <c r="D49" s="14">
        <v>1</v>
      </c>
      <c r="E49" s="5">
        <v>1</v>
      </c>
    </row>
    <row r="50" spans="1:7" x14ac:dyDescent="0.75">
      <c r="A50" s="14" t="s">
        <v>4</v>
      </c>
      <c r="B50" s="15">
        <f>AVERAGE(B19:B46)</f>
        <v>2.8571428571428572</v>
      </c>
      <c r="C50" s="15">
        <f t="shared" ref="C50:E50" si="0">AVERAGE(C19:C46)</f>
        <v>2.9285714285714284</v>
      </c>
      <c r="D50" s="15">
        <f t="shared" si="0"/>
        <v>1.9285714285714286</v>
      </c>
      <c r="E50" s="15">
        <f t="shared" si="0"/>
        <v>2.8571428571428572</v>
      </c>
    </row>
    <row r="51" spans="1:7" x14ac:dyDescent="0.75">
      <c r="A51" s="14" t="s">
        <v>5</v>
      </c>
      <c r="B51" s="15">
        <f>STDEV(B19:B46)</f>
        <v>0.35634832254989857</v>
      </c>
      <c r="C51" s="15">
        <f t="shared" ref="C51:E51" si="1">STDEV(C19:C46)</f>
        <v>0.26226526415648105</v>
      </c>
      <c r="D51" s="15">
        <f t="shared" si="1"/>
        <v>0.26226526415648133</v>
      </c>
      <c r="E51" s="15">
        <f t="shared" si="1"/>
        <v>0.44839513942303233</v>
      </c>
    </row>
    <row r="52" spans="1:7" x14ac:dyDescent="0.75">
      <c r="A52" s="14"/>
      <c r="B52" s="14"/>
      <c r="C52" s="14"/>
      <c r="D52" s="14"/>
      <c r="E52" s="4"/>
    </row>
    <row r="53" spans="1:7" x14ac:dyDescent="0.75">
      <c r="A53" s="14" t="s">
        <v>9</v>
      </c>
      <c r="B53" s="14">
        <f>COUNTIF(B$19:B$46,"=3")</f>
        <v>24</v>
      </c>
      <c r="C53" s="14">
        <f t="shared" ref="C53:E53" si="2">COUNTIF(C$19:C$46,"=3")</f>
        <v>26</v>
      </c>
      <c r="D53" s="14">
        <f t="shared" si="2"/>
        <v>0</v>
      </c>
      <c r="E53" s="14">
        <f t="shared" si="2"/>
        <v>25</v>
      </c>
      <c r="G53" s="22">
        <f>AVERAGE(B53:E53)</f>
        <v>18.75</v>
      </c>
    </row>
    <row r="54" spans="1:7" x14ac:dyDescent="0.75">
      <c r="A54" s="14" t="s">
        <v>10</v>
      </c>
      <c r="B54" s="14">
        <f>COUNTIF(B$19:B$46,"=2")</f>
        <v>4</v>
      </c>
      <c r="C54" s="14">
        <f t="shared" ref="C54:E54" si="3">COUNTIF(C$19:C$46,"=2")</f>
        <v>2</v>
      </c>
      <c r="D54" s="14">
        <f t="shared" si="3"/>
        <v>26</v>
      </c>
      <c r="E54" s="14">
        <f t="shared" si="3"/>
        <v>2</v>
      </c>
      <c r="G54" s="22">
        <f t="shared" ref="G54:G55" si="4">AVERAGE(B54:E54)</f>
        <v>8.5</v>
      </c>
    </row>
    <row r="55" spans="1:7" x14ac:dyDescent="0.75">
      <c r="A55" s="14" t="s">
        <v>7</v>
      </c>
      <c r="B55" s="14">
        <f>COUNTIF(B$19:B$46,"=1")</f>
        <v>0</v>
      </c>
      <c r="C55" s="14">
        <f t="shared" ref="C55:E55" si="5">COUNTIF(C$19:C$46,"=1")</f>
        <v>0</v>
      </c>
      <c r="D55" s="14">
        <f t="shared" si="5"/>
        <v>2</v>
      </c>
      <c r="E55" s="14">
        <f t="shared" si="5"/>
        <v>1</v>
      </c>
      <c r="G55" s="22">
        <f t="shared" si="4"/>
        <v>0.75</v>
      </c>
    </row>
    <row r="56" spans="1:7" x14ac:dyDescent="0.75">
      <c r="A56" s="14" t="s">
        <v>8</v>
      </c>
      <c r="B56" s="14">
        <f>SUM(B$53:B$55)</f>
        <v>28</v>
      </c>
      <c r="C56" s="14">
        <f t="shared" ref="C56:E56" si="6">SUM(C$53:C$55)</f>
        <v>28</v>
      </c>
      <c r="D56" s="14">
        <f t="shared" si="6"/>
        <v>28</v>
      </c>
      <c r="E56" s="14">
        <f t="shared" si="6"/>
        <v>28</v>
      </c>
    </row>
    <row r="58" spans="1:7" x14ac:dyDescent="0.75">
      <c r="A58" s="9" t="s">
        <v>13</v>
      </c>
      <c r="B58" s="6"/>
      <c r="C58" s="6"/>
      <c r="D58" s="6"/>
      <c r="E58" s="6"/>
      <c r="F58" s="6"/>
    </row>
    <row r="59" spans="1:7" x14ac:dyDescent="0.75">
      <c r="A59" s="6" t="s">
        <v>0</v>
      </c>
      <c r="B59" s="6">
        <v>1</v>
      </c>
      <c r="C59" s="6"/>
      <c r="D59" s="6"/>
      <c r="E59" s="6"/>
      <c r="F59" s="6"/>
    </row>
    <row r="60" spans="1:7" x14ac:dyDescent="0.75">
      <c r="A60" s="6" t="s">
        <v>11</v>
      </c>
      <c r="B60" s="7">
        <f>AVERAGE(B50:E50)</f>
        <v>2.6428571428571428</v>
      </c>
      <c r="C60" s="7"/>
      <c r="D60" s="7"/>
      <c r="E60" s="7"/>
      <c r="F60" s="7"/>
    </row>
    <row r="61" spans="1:7" x14ac:dyDescent="0.75">
      <c r="A61" s="6" t="s">
        <v>12</v>
      </c>
      <c r="B61" s="7">
        <f>_xlfn.STDEV.P(B50:E50)</f>
        <v>0.41342274652822258</v>
      </c>
      <c r="C61" s="7"/>
      <c r="D61" s="7"/>
      <c r="E61" s="7"/>
      <c r="F61" s="7"/>
    </row>
    <row r="73" spans="9:13" x14ac:dyDescent="0.75">
      <c r="I73" s="2"/>
      <c r="J73" s="2"/>
      <c r="K73" s="2"/>
      <c r="L73" s="2"/>
      <c r="M73" s="2"/>
    </row>
    <row r="158" spans="8:13" x14ac:dyDescent="0.75">
      <c r="H158" s="2"/>
      <c r="I158" s="2"/>
      <c r="J158" s="2"/>
      <c r="K158" s="2"/>
      <c r="L158" s="2"/>
      <c r="M158" s="2"/>
    </row>
    <row r="180" spans="1:2" x14ac:dyDescent="0.75">
      <c r="B180" s="10"/>
    </row>
    <row r="181" spans="1:2" x14ac:dyDescent="0.75">
      <c r="B181" s="10"/>
    </row>
    <row r="182" spans="1:2" x14ac:dyDescent="0.75">
      <c r="B182" s="10"/>
    </row>
    <row r="183" spans="1:2" x14ac:dyDescent="0.75">
      <c r="B183" s="10"/>
    </row>
    <row r="185" spans="1:2" x14ac:dyDescent="0.75">
      <c r="A185" s="1"/>
    </row>
  </sheetData>
  <sortState xmlns:xlrd2="http://schemas.microsoft.com/office/spreadsheetml/2017/richdata2" ref="V19:V39">
    <sortCondition ref="V19:V39"/>
  </sortState>
  <phoneticPr fontId="7" type="noConversion"/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ColWidth="8.81640625" defaultRowHeight="14.75" x14ac:dyDescent="0.7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ColWidth="8.81640625" defaultRowHeight="14.75" x14ac:dyDescent="0.7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Ludwig C. Nitsche</dc:creator>
  <cp:lastModifiedBy>Zdunek, Alan</cp:lastModifiedBy>
  <dcterms:created xsi:type="dcterms:W3CDTF">2013-01-15T05:38:26Z</dcterms:created>
  <dcterms:modified xsi:type="dcterms:W3CDTF">2026-05-21T21:21:22Z</dcterms:modified>
</cp:coreProperties>
</file>