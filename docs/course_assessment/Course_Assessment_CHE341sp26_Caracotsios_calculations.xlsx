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"/>
    </mc:Choice>
  </mc:AlternateContent>
  <xr:revisionPtr revIDLastSave="0" documentId="13_ncr:1_{49F369CE-8B06-42CB-9888-25BFE15A295D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CHE 34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0" i="1" l="1"/>
  <c r="N29" i="1"/>
  <c r="N28" i="1"/>
  <c r="I19" i="1"/>
  <c r="I18" i="1"/>
  <c r="I17" i="1"/>
  <c r="I16" i="1"/>
  <c r="E16" i="1"/>
  <c r="D16" i="1"/>
  <c r="C16" i="1"/>
  <c r="B16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19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L28" i="1" l="1"/>
  <c r="L30" i="1"/>
  <c r="K30" i="1"/>
  <c r="L29" i="1"/>
  <c r="K28" i="1"/>
  <c r="K29" i="1"/>
  <c r="L26" i="1"/>
  <c r="L25" i="1"/>
  <c r="L31" i="1" l="1"/>
  <c r="I30" i="1"/>
  <c r="I29" i="1"/>
  <c r="I28" i="1"/>
  <c r="J30" i="1"/>
  <c r="J29" i="1"/>
  <c r="J28" i="1"/>
  <c r="I25" i="1"/>
  <c r="J26" i="1"/>
  <c r="I26" i="1"/>
  <c r="J25" i="1"/>
  <c r="K26" i="1" l="1"/>
  <c r="K25" i="1"/>
  <c r="I35" i="1" s="1"/>
  <c r="J31" i="1"/>
  <c r="I31" i="1"/>
  <c r="I36" i="1" l="1"/>
  <c r="K31" i="1"/>
</calcChain>
</file>

<file path=xl/sharedStrings.xml><?xml version="1.0" encoding="utf-8"?>
<sst xmlns="http://schemas.openxmlformats.org/spreadsheetml/2006/main" count="60" uniqueCount="50">
  <si>
    <t>SO</t>
  </si>
  <si>
    <t>Unsatisfactory</t>
  </si>
  <si>
    <t>Developing</t>
  </si>
  <si>
    <t>Satisfactory</t>
  </si>
  <si>
    <t>Average</t>
  </si>
  <si>
    <t>Student</t>
  </si>
  <si>
    <t>U</t>
  </si>
  <si>
    <t>Checksum</t>
  </si>
  <si>
    <t>S</t>
  </si>
  <si>
    <t>D</t>
  </si>
  <si>
    <t>Average Score</t>
  </si>
  <si>
    <t>RESULTS BY STUDENT OUTCOME</t>
  </si>
  <si>
    <t>RESULTS BY PERFORMANCE INDICATOR</t>
  </si>
  <si>
    <t>Mapped SO</t>
  </si>
  <si>
    <t>RATINGS</t>
  </si>
  <si>
    <t>Rubric #</t>
  </si>
  <si>
    <t>Problem</t>
  </si>
  <si>
    <t>Rubric</t>
  </si>
  <si>
    <t>PI</t>
  </si>
  <si>
    <t>Total pts</t>
  </si>
  <si>
    <t>Student Learning Outcome 1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</si>
  <si>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</si>
  <si>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</si>
  <si>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</si>
  <si>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</si>
  <si>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</si>
  <si>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</si>
  <si>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</si>
  <si>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</si>
  <si>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</si>
  <si>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</si>
  <si>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</si>
  <si>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r>
      <rPr>
        <b/>
        <sz val="11"/>
        <color rgb="FF0000FF"/>
        <rFont val="Calibri"/>
        <family val="2"/>
        <scheme val="minor"/>
      </rPr>
      <t>U</t>
    </r>
    <r>
      <rPr>
        <b/>
        <sz val="11"/>
        <color theme="1"/>
        <rFont val="Calibri"/>
        <family val="2"/>
        <scheme val="minor"/>
      </rPr>
      <t>nsatisfactory</t>
    </r>
  </si>
  <si>
    <r>
      <rPr>
        <b/>
        <sz val="11"/>
        <color rgb="FF0000FF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eveloping</t>
    </r>
  </si>
  <si>
    <r>
      <rPr>
        <b/>
        <sz val="11"/>
        <color rgb="FF0000FF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>atisfactory</t>
    </r>
  </si>
  <si>
    <t>An ability to identify, formulate, and solve complex engineering problems by applying principles of engineering, science, and mathematics.</t>
  </si>
  <si>
    <t>RAW DATA</t>
  </si>
  <si>
    <t>Chemical Process Control</t>
  </si>
  <si>
    <t>&lt;40</t>
  </si>
  <si>
    <t>40-60</t>
  </si>
  <si>
    <t>&gt;60</t>
  </si>
  <si>
    <t>Standard Dev.</t>
  </si>
  <si>
    <t>Std Deviation</t>
  </si>
  <si>
    <t>CHE 341 Spring 2026</t>
  </si>
  <si>
    <t>Prepared by: Michael Caracotsios</t>
  </si>
  <si>
    <t>2[Assign #7]</t>
  </si>
  <si>
    <t>4[Assign #2]</t>
  </si>
  <si>
    <t>1[Assign #6]</t>
  </si>
  <si>
    <t>7[Exam #2]</t>
  </si>
  <si>
    <t>Assessment rubric: Exam #2, Assignments #2, #6, #7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</si>
</sst>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b/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0" fontId="0" fillId="0" borderId="0" xfId="0" applyAlignment="1">
      <alignment horizontal="center"/>
    </xf>
    <xf numFmtId="0" fontId="3" fillId="6" borderId="0" xfId="0" applyFont="1" applyFill="1"/>
    <xf numFmtId="2" fontId="0" fillId="0" borderId="0" xfId="0" applyNumberFormat="1"/>
    <xf numFmtId="0" fontId="1" fillId="4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left" indent="1"/>
    </xf>
    <xf numFmtId="0" fontId="0" fillId="3" borderId="3" xfId="0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left" indent="1"/>
    </xf>
    <xf numFmtId="0" fontId="0" fillId="3" borderId="5" xfId="0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2" fontId="0" fillId="4" borderId="3" xfId="0" applyNumberFormat="1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16" fontId="0" fillId="4" borderId="3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4" fillId="4" borderId="5" xfId="0" applyFont="1" applyFill="1" applyBorder="1"/>
    <xf numFmtId="0" fontId="1" fillId="3" borderId="9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0" fillId="5" borderId="2" xfId="0" applyFill="1" applyBorder="1"/>
    <xf numFmtId="0" fontId="0" fillId="5" borderId="4" xfId="0" applyFill="1" applyBorder="1"/>
    <xf numFmtId="0" fontId="0" fillId="5" borderId="4" xfId="0" applyFill="1" applyBorder="1" applyAlignment="1">
      <alignment horizontal="right"/>
    </xf>
    <xf numFmtId="0" fontId="1" fillId="4" borderId="10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7" borderId="1" xfId="0" applyFill="1" applyBorder="1"/>
    <xf numFmtId="1" fontId="1" fillId="0" borderId="5" xfId="0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6" fontId="0" fillId="4" borderId="4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indent="1"/>
    </xf>
    <xf numFmtId="0" fontId="1" fillId="3" borderId="1" xfId="0" applyFont="1" applyFill="1" applyBorder="1" applyAlignment="1">
      <alignment horizontal="center"/>
    </xf>
    <xf numFmtId="0" fontId="5" fillId="8" borderId="0" xfId="0" applyFont="1" applyFill="1"/>
    <xf numFmtId="0" fontId="0" fillId="8" borderId="0" xfId="0" applyFill="1"/>
    <xf numFmtId="0" fontId="6" fillId="0" borderId="0" xfId="0" applyFont="1"/>
    <xf numFmtId="0" fontId="7" fillId="0" borderId="0" xfId="0" applyFont="1"/>
    <xf numFmtId="0" fontId="8" fillId="0" borderId="0" xfId="0" applyFont="1"/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5" borderId="2" xfId="0" applyFont="1" applyFill="1" applyBorder="1"/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3" fillId="6" borderId="0" xfId="0" applyFont="1" applyFill="1" applyAlignment="1">
      <alignment horizontal="left"/>
    </xf>
    <xf numFmtId="0" fontId="3" fillId="6" borderId="6" xfId="0" applyFont="1" applyFill="1" applyBorder="1" applyAlignment="1">
      <alignment horizontal="left"/>
    </xf>
    <xf numFmtId="0" fontId="3" fillId="6" borderId="7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" fontId="0" fillId="3" borderId="1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4"/>
  <sheetViews>
    <sheetView tabSelected="1" topLeftCell="A9" workbookViewId="0">
      <selection activeCell="N28" sqref="N28:N30"/>
    </sheetView>
  </sheetViews>
  <sheetFormatPr defaultRowHeight="14.75" x14ac:dyDescent="0.75"/>
  <cols>
    <col min="1" max="1" width="27.7265625" customWidth="1"/>
    <col min="2" max="2" width="17" customWidth="1"/>
    <col min="3" max="3" width="11" customWidth="1"/>
    <col min="4" max="4" width="12.26953125" customWidth="1"/>
    <col min="5" max="5" width="12.86328125" customWidth="1"/>
    <col min="8" max="8" width="14.54296875" customWidth="1"/>
    <col min="9" max="9" width="18" customWidth="1"/>
    <col min="11" max="11" width="16" customWidth="1"/>
    <col min="12" max="12" width="17.40625" customWidth="1"/>
    <col min="13" max="13" width="16.1328125" customWidth="1"/>
    <col min="15" max="15" width="9.1328125" customWidth="1"/>
    <col min="17" max="17" width="11.54296875" customWidth="1"/>
    <col min="18" max="19" width="11.86328125" customWidth="1"/>
    <col min="20" max="20" width="11.1328125" customWidth="1"/>
  </cols>
  <sheetData>
    <row r="1" spans="1:21" x14ac:dyDescent="0.75">
      <c r="A1" s="6" t="s">
        <v>43</v>
      </c>
      <c r="F1" s="62" t="s">
        <v>20</v>
      </c>
      <c r="G1" s="62"/>
      <c r="H1" s="62"/>
      <c r="Q1" s="63" t="s">
        <v>36</v>
      </c>
      <c r="R1" s="64"/>
      <c r="S1" s="64"/>
      <c r="T1" s="64"/>
    </row>
    <row r="2" spans="1:21" ht="16" x14ac:dyDescent="0.8">
      <c r="A2" s="1" t="s">
        <v>37</v>
      </c>
      <c r="F2" s="54" t="s">
        <v>35</v>
      </c>
      <c r="G2" s="53"/>
      <c r="H2" s="53"/>
      <c r="I2" s="53"/>
      <c r="J2" s="53"/>
      <c r="K2" s="53"/>
      <c r="L2" s="53"/>
      <c r="M2" s="53"/>
      <c r="N2" s="53"/>
      <c r="O2" s="53"/>
      <c r="P2" s="53"/>
      <c r="Q2" s="41" t="s">
        <v>45</v>
      </c>
      <c r="R2" s="41" t="s">
        <v>47</v>
      </c>
      <c r="S2" s="41" t="s">
        <v>46</v>
      </c>
      <c r="T2" s="41" t="s">
        <v>48</v>
      </c>
    </row>
    <row r="3" spans="1:21" x14ac:dyDescent="0.75">
      <c r="A3" t="s">
        <v>25</v>
      </c>
      <c r="Q3" s="42">
        <v>70</v>
      </c>
      <c r="R3" s="43">
        <v>94</v>
      </c>
      <c r="S3" s="42">
        <v>93</v>
      </c>
      <c r="T3" s="43">
        <v>65</v>
      </c>
    </row>
    <row r="4" spans="1:21" x14ac:dyDescent="0.75">
      <c r="A4" t="s">
        <v>49</v>
      </c>
      <c r="Q4" s="44">
        <v>90</v>
      </c>
      <c r="R4" s="45">
        <v>90</v>
      </c>
      <c r="S4" s="44">
        <v>90</v>
      </c>
      <c r="T4" s="45">
        <v>75</v>
      </c>
    </row>
    <row r="5" spans="1:21" x14ac:dyDescent="0.75">
      <c r="A5" s="1" t="s">
        <v>44</v>
      </c>
      <c r="F5" s="55" t="s">
        <v>21</v>
      </c>
      <c r="Q5" s="44">
        <v>70</v>
      </c>
      <c r="R5" s="45">
        <v>83</v>
      </c>
      <c r="S5" s="44">
        <v>96</v>
      </c>
      <c r="T5" s="45">
        <v>70</v>
      </c>
    </row>
    <row r="6" spans="1:21" x14ac:dyDescent="0.75">
      <c r="F6" s="51" t="s">
        <v>22</v>
      </c>
      <c r="G6" s="52"/>
      <c r="H6" s="52"/>
      <c r="I6" s="52"/>
      <c r="J6" s="52"/>
      <c r="K6" s="52"/>
      <c r="L6" s="52"/>
      <c r="M6" s="52"/>
      <c r="Q6" s="44">
        <v>90</v>
      </c>
      <c r="R6" s="45">
        <v>76</v>
      </c>
      <c r="S6" s="44">
        <v>89</v>
      </c>
      <c r="T6" s="45">
        <v>65</v>
      </c>
    </row>
    <row r="7" spans="1:21" x14ac:dyDescent="0.75">
      <c r="F7" s="51" t="s">
        <v>23</v>
      </c>
      <c r="G7" s="51"/>
      <c r="H7" s="51"/>
      <c r="I7" s="51"/>
      <c r="J7" s="51"/>
      <c r="K7" s="51"/>
      <c r="L7" s="51"/>
      <c r="M7" s="51"/>
      <c r="Q7" s="44">
        <v>90</v>
      </c>
      <c r="R7" s="45">
        <v>86</v>
      </c>
      <c r="S7" s="44">
        <v>97</v>
      </c>
      <c r="T7" s="45">
        <v>80</v>
      </c>
    </row>
    <row r="8" spans="1:21" x14ac:dyDescent="0.75">
      <c r="F8" t="s">
        <v>24</v>
      </c>
      <c r="Q8" s="44">
        <v>85</v>
      </c>
      <c r="R8" s="45">
        <v>99</v>
      </c>
      <c r="S8" s="44">
        <v>93</v>
      </c>
      <c r="T8" s="45">
        <v>65</v>
      </c>
    </row>
    <row r="9" spans="1:21" x14ac:dyDescent="0.75">
      <c r="A9" s="3" t="s">
        <v>14</v>
      </c>
      <c r="B9" s="3"/>
      <c r="C9" s="3"/>
      <c r="F9" s="51" t="s">
        <v>28</v>
      </c>
      <c r="G9" s="51"/>
      <c r="H9" s="51"/>
      <c r="I9" s="51"/>
      <c r="J9" s="51"/>
      <c r="K9" s="51"/>
      <c r="L9" s="51"/>
      <c r="M9" s="51"/>
      <c r="Q9" s="44">
        <v>50</v>
      </c>
      <c r="R9" s="45">
        <v>86</v>
      </c>
      <c r="S9" s="44">
        <v>72</v>
      </c>
      <c r="T9" s="45">
        <v>55</v>
      </c>
    </row>
    <row r="10" spans="1:21" x14ac:dyDescent="0.75">
      <c r="A10" s="3">
        <v>1</v>
      </c>
      <c r="B10" s="3" t="s">
        <v>1</v>
      </c>
      <c r="C10" s="3"/>
      <c r="F10" t="s">
        <v>29</v>
      </c>
      <c r="Q10" s="44">
        <v>50</v>
      </c>
      <c r="R10" s="45">
        <v>93</v>
      </c>
      <c r="S10" s="44">
        <v>93</v>
      </c>
      <c r="T10" s="45">
        <v>80</v>
      </c>
    </row>
    <row r="11" spans="1:21" x14ac:dyDescent="0.75">
      <c r="A11" s="3">
        <v>2</v>
      </c>
      <c r="B11" s="3" t="s">
        <v>2</v>
      </c>
      <c r="C11" s="3"/>
      <c r="F11" t="s">
        <v>30</v>
      </c>
      <c r="N11" s="40"/>
      <c r="O11" s="40"/>
      <c r="Q11" s="44">
        <v>80</v>
      </c>
      <c r="R11" s="45">
        <v>88</v>
      </c>
      <c r="S11" s="44">
        <v>84</v>
      </c>
      <c r="T11" s="45">
        <v>70</v>
      </c>
    </row>
    <row r="12" spans="1:21" x14ac:dyDescent="0.75">
      <c r="A12" s="3">
        <v>3</v>
      </c>
      <c r="B12" s="3" t="s">
        <v>3</v>
      </c>
      <c r="C12" s="3"/>
      <c r="F12" s="51" t="s">
        <v>31</v>
      </c>
      <c r="G12" s="51"/>
      <c r="H12" s="51"/>
      <c r="I12" s="51"/>
      <c r="J12" s="51"/>
      <c r="K12" s="51"/>
      <c r="L12" s="51"/>
      <c r="M12" s="51"/>
      <c r="Q12" s="44">
        <v>90</v>
      </c>
      <c r="R12" s="45">
        <v>91</v>
      </c>
      <c r="S12" s="44">
        <v>95</v>
      </c>
      <c r="T12" s="45">
        <v>55</v>
      </c>
    </row>
    <row r="13" spans="1:21" x14ac:dyDescent="0.75">
      <c r="A13" s="3"/>
      <c r="B13" s="3"/>
      <c r="C13" s="3"/>
      <c r="Q13" s="44">
        <v>90</v>
      </c>
      <c r="R13" s="45">
        <v>0</v>
      </c>
      <c r="S13" s="44">
        <v>0</v>
      </c>
      <c r="T13" s="45">
        <v>70</v>
      </c>
      <c r="U13" t="s">
        <v>27</v>
      </c>
    </row>
    <row r="14" spans="1:21" x14ac:dyDescent="0.75">
      <c r="H14" s="6" t="s">
        <v>17</v>
      </c>
      <c r="Q14" s="44">
        <v>20</v>
      </c>
      <c r="R14" s="45">
        <v>88</v>
      </c>
      <c r="S14" s="44">
        <v>83</v>
      </c>
      <c r="T14" s="45">
        <v>60</v>
      </c>
    </row>
    <row r="15" spans="1:21" x14ac:dyDescent="0.75">
      <c r="A15" s="35" t="s">
        <v>26</v>
      </c>
      <c r="B15" s="58">
        <v>1</v>
      </c>
      <c r="C15" s="58">
        <v>2</v>
      </c>
      <c r="D15" s="58">
        <v>4</v>
      </c>
      <c r="E15" s="58">
        <v>7</v>
      </c>
      <c r="H15" s="8" t="s">
        <v>18</v>
      </c>
      <c r="I15" s="8" t="s">
        <v>16</v>
      </c>
      <c r="J15" s="8" t="s">
        <v>19</v>
      </c>
      <c r="K15" s="8" t="s">
        <v>32</v>
      </c>
      <c r="L15" s="8" t="s">
        <v>33</v>
      </c>
      <c r="M15" s="8" t="s">
        <v>34</v>
      </c>
      <c r="Q15" s="44">
        <v>60</v>
      </c>
      <c r="R15" s="45">
        <v>83</v>
      </c>
      <c r="S15" s="44">
        <v>66</v>
      </c>
      <c r="T15" s="45">
        <v>70</v>
      </c>
    </row>
    <row r="16" spans="1:21" x14ac:dyDescent="0.75">
      <c r="A16" s="36" t="s">
        <v>16</v>
      </c>
      <c r="B16" s="37" t="str">
        <f>R2</f>
        <v>1[Assign #6]</v>
      </c>
      <c r="C16" s="37" t="str">
        <f>Q2</f>
        <v>2[Assign #7]</v>
      </c>
      <c r="D16" s="37" t="str">
        <f>S2</f>
        <v>4[Assign #2]</v>
      </c>
      <c r="E16" s="37" t="str">
        <f>T2</f>
        <v>7[Exam #2]</v>
      </c>
      <c r="F16" s="2"/>
      <c r="G16" s="2"/>
      <c r="H16" s="29">
        <v>1</v>
      </c>
      <c r="I16" s="22" t="str">
        <f>B16</f>
        <v>1[Assign #6]</v>
      </c>
      <c r="J16" s="22">
        <v>100</v>
      </c>
      <c r="K16" s="24" t="s">
        <v>38</v>
      </c>
      <c r="L16" s="25" t="s">
        <v>39</v>
      </c>
      <c r="M16" s="24" t="s">
        <v>40</v>
      </c>
      <c r="Q16" s="44">
        <v>70</v>
      </c>
      <c r="R16" s="45">
        <v>89</v>
      </c>
      <c r="S16" s="44">
        <v>94</v>
      </c>
      <c r="T16" s="45">
        <v>75</v>
      </c>
    </row>
    <row r="17" spans="1:20" x14ac:dyDescent="0.75">
      <c r="B17" s="2"/>
      <c r="H17" s="30">
        <v>2</v>
      </c>
      <c r="I17" s="23" t="str">
        <f>C16</f>
        <v>2[Assign #7]</v>
      </c>
      <c r="J17" s="23">
        <v>100</v>
      </c>
      <c r="K17" s="24" t="s">
        <v>38</v>
      </c>
      <c r="L17" s="25" t="s">
        <v>39</v>
      </c>
      <c r="M17" s="24" t="s">
        <v>40</v>
      </c>
      <c r="Q17" s="44">
        <v>70</v>
      </c>
      <c r="R17" s="45">
        <v>97</v>
      </c>
      <c r="S17" s="44">
        <v>91</v>
      </c>
      <c r="T17" s="45">
        <v>80</v>
      </c>
    </row>
    <row r="18" spans="1:20" x14ac:dyDescent="0.75">
      <c r="A18" s="28" t="s">
        <v>5</v>
      </c>
      <c r="B18" s="2"/>
      <c r="H18" s="38">
        <v>4</v>
      </c>
      <c r="I18" s="39" t="str">
        <f>D16</f>
        <v>4[Assign #2]</v>
      </c>
      <c r="J18" s="23">
        <v>100</v>
      </c>
      <c r="K18" s="24" t="s">
        <v>38</v>
      </c>
      <c r="L18" s="25" t="s">
        <v>39</v>
      </c>
      <c r="M18" s="24" t="s">
        <v>40</v>
      </c>
      <c r="Q18" s="44">
        <v>50</v>
      </c>
      <c r="R18" s="45">
        <v>75</v>
      </c>
      <c r="S18" s="44">
        <v>95</v>
      </c>
      <c r="T18" s="45">
        <v>75</v>
      </c>
    </row>
    <row r="19" spans="1:20" x14ac:dyDescent="0.75">
      <c r="A19" s="5">
        <v>1</v>
      </c>
      <c r="B19" s="5">
        <f>IF(Q3&gt;=60,3,IF(AND(Q3&lt;60,Q3&gt;=40),2,1))</f>
        <v>3</v>
      </c>
      <c r="C19" s="5">
        <f>IF(R3&gt;=60,3,IF(AND(R3&lt;60,R3&gt;=40),2,1))</f>
        <v>3</v>
      </c>
      <c r="D19" s="5">
        <f>IF(S3&gt;=60,3,IF(AND(S3&lt;60,S3&gt;=40),2,1))</f>
        <v>3</v>
      </c>
      <c r="E19" s="5">
        <f>IF(T3&gt;=60,3,IF(AND(T3&lt;60,T3&gt;=40),2,1))</f>
        <v>3</v>
      </c>
      <c r="H19" s="31">
        <v>7</v>
      </c>
      <c r="I19" s="26" t="str">
        <f>E16</f>
        <v>7[Exam #2]</v>
      </c>
      <c r="J19" s="26">
        <v>100</v>
      </c>
      <c r="K19" s="27" t="s">
        <v>38</v>
      </c>
      <c r="L19" s="48" t="s">
        <v>39</v>
      </c>
      <c r="M19" s="27" t="s">
        <v>40</v>
      </c>
      <c r="Q19" s="44">
        <v>90</v>
      </c>
      <c r="R19" s="45">
        <v>86</v>
      </c>
      <c r="S19" s="44">
        <v>90</v>
      </c>
      <c r="T19" s="45">
        <v>85</v>
      </c>
    </row>
    <row r="20" spans="1:20" x14ac:dyDescent="0.75">
      <c r="A20" s="5">
        <f>A19+1</f>
        <v>2</v>
      </c>
      <c r="B20" s="5">
        <f t="shared" ref="B20:B43" si="0">IF(Q4&gt;=60,3,IF(AND(Q4&lt;60,Q4&gt;=40),2,1))</f>
        <v>3</v>
      </c>
      <c r="C20" s="5">
        <f t="shared" ref="C20:C43" si="1">IF(R4&gt;=60,3,IF(AND(R4&lt;60,R4&gt;=40),2,1))</f>
        <v>3</v>
      </c>
      <c r="D20" s="5">
        <f t="shared" ref="D20:D43" si="2">IF(S4&gt;=60,3,IF(AND(S4&lt;60,S4&gt;=40),2,1))</f>
        <v>3</v>
      </c>
      <c r="E20" s="5">
        <f t="shared" ref="E20:E43" si="3">IF(T4&gt;=60,3,IF(AND(T4&lt;60,T4&gt;=40),2,1))</f>
        <v>3</v>
      </c>
      <c r="Q20" s="44">
        <v>80</v>
      </c>
      <c r="R20" s="45">
        <v>91</v>
      </c>
      <c r="S20" s="44">
        <v>97</v>
      </c>
      <c r="T20" s="45">
        <v>80</v>
      </c>
    </row>
    <row r="21" spans="1:20" x14ac:dyDescent="0.75">
      <c r="A21" s="5">
        <f t="shared" ref="A21:A43" si="4">A20+1</f>
        <v>3</v>
      </c>
      <c r="B21" s="5">
        <f t="shared" si="0"/>
        <v>3</v>
      </c>
      <c r="C21" s="5">
        <f t="shared" si="1"/>
        <v>3</v>
      </c>
      <c r="D21" s="5">
        <f t="shared" si="2"/>
        <v>3</v>
      </c>
      <c r="E21" s="5">
        <f t="shared" si="3"/>
        <v>3</v>
      </c>
      <c r="Q21" s="44">
        <v>80</v>
      </c>
      <c r="R21" s="45">
        <v>98</v>
      </c>
      <c r="S21" s="44">
        <v>85</v>
      </c>
      <c r="T21" s="45">
        <v>75</v>
      </c>
    </row>
    <row r="22" spans="1:20" x14ac:dyDescent="0.75">
      <c r="A22" s="5">
        <f t="shared" si="4"/>
        <v>4</v>
      </c>
      <c r="B22" s="5">
        <f t="shared" si="0"/>
        <v>3</v>
      </c>
      <c r="C22" s="5">
        <f t="shared" si="1"/>
        <v>3</v>
      </c>
      <c r="D22" s="5">
        <f t="shared" si="2"/>
        <v>3</v>
      </c>
      <c r="E22" s="5">
        <f t="shared" si="3"/>
        <v>3</v>
      </c>
      <c r="H22" s="65" t="s">
        <v>12</v>
      </c>
      <c r="I22" s="66"/>
      <c r="J22" s="66"/>
      <c r="K22" s="66"/>
      <c r="L22" s="67"/>
      <c r="Q22" s="44">
        <v>80</v>
      </c>
      <c r="R22" s="45">
        <v>93</v>
      </c>
      <c r="S22" s="44">
        <v>92</v>
      </c>
      <c r="T22" s="45">
        <v>75</v>
      </c>
    </row>
    <row r="23" spans="1:20" x14ac:dyDescent="0.75">
      <c r="A23" s="5">
        <f t="shared" si="4"/>
        <v>5</v>
      </c>
      <c r="B23" s="5">
        <f t="shared" si="0"/>
        <v>3</v>
      </c>
      <c r="C23" s="5">
        <f t="shared" si="1"/>
        <v>3</v>
      </c>
      <c r="D23" s="5">
        <f t="shared" si="2"/>
        <v>3</v>
      </c>
      <c r="E23" s="5">
        <f t="shared" si="3"/>
        <v>3</v>
      </c>
      <c r="H23" s="49" t="s">
        <v>15</v>
      </c>
      <c r="I23" s="50">
        <v>1</v>
      </c>
      <c r="J23" s="50">
        <v>2</v>
      </c>
      <c r="K23" s="50">
        <v>4</v>
      </c>
      <c r="L23" s="50">
        <v>7</v>
      </c>
      <c r="Q23" s="44">
        <v>90</v>
      </c>
      <c r="R23" s="45">
        <v>84</v>
      </c>
      <c r="S23" s="44">
        <v>92</v>
      </c>
      <c r="T23" s="45">
        <v>85</v>
      </c>
    </row>
    <row r="24" spans="1:20" x14ac:dyDescent="0.75">
      <c r="A24" s="5">
        <f t="shared" si="4"/>
        <v>6</v>
      </c>
      <c r="B24" s="5">
        <f t="shared" si="0"/>
        <v>3</v>
      </c>
      <c r="C24" s="5">
        <f t="shared" si="1"/>
        <v>3</v>
      </c>
      <c r="D24" s="5">
        <f t="shared" si="2"/>
        <v>3</v>
      </c>
      <c r="E24" s="5">
        <f t="shared" si="3"/>
        <v>3</v>
      </c>
      <c r="H24" s="14" t="s">
        <v>13</v>
      </c>
      <c r="I24" s="15">
        <v>1</v>
      </c>
      <c r="J24" s="15">
        <v>1</v>
      </c>
      <c r="K24" s="15">
        <v>1</v>
      </c>
      <c r="L24" s="15">
        <v>1</v>
      </c>
      <c r="Q24" s="44">
        <v>90</v>
      </c>
      <c r="R24" s="45">
        <v>99</v>
      </c>
      <c r="S24" s="44">
        <v>96</v>
      </c>
      <c r="T24" s="45">
        <v>55</v>
      </c>
    </row>
    <row r="25" spans="1:20" x14ac:dyDescent="0.75">
      <c r="A25" s="5">
        <f t="shared" si="4"/>
        <v>7</v>
      </c>
      <c r="B25" s="5">
        <f t="shared" si="0"/>
        <v>2</v>
      </c>
      <c r="C25" s="5">
        <f t="shared" si="1"/>
        <v>3</v>
      </c>
      <c r="D25" s="5">
        <f t="shared" si="2"/>
        <v>3</v>
      </c>
      <c r="E25" s="5">
        <f t="shared" si="3"/>
        <v>2</v>
      </c>
      <c r="H25" s="9" t="s">
        <v>4</v>
      </c>
      <c r="I25" s="11">
        <f>AVERAGE(B19:B36)</f>
        <v>2.7222222222222223</v>
      </c>
      <c r="J25" s="11">
        <f>AVERAGE(C19:C36)</f>
        <v>2.8888888888888888</v>
      </c>
      <c r="K25" s="11">
        <f>AVERAGE(D19:D36)</f>
        <v>2.8888888888888888</v>
      </c>
      <c r="L25" s="11">
        <f>AVERAGE(E19:E36)</f>
        <v>2.8888888888888888</v>
      </c>
      <c r="Q25" s="44">
        <v>50</v>
      </c>
      <c r="R25" s="45">
        <v>100</v>
      </c>
      <c r="S25" s="44">
        <v>93</v>
      </c>
      <c r="T25" s="45">
        <v>55</v>
      </c>
    </row>
    <row r="26" spans="1:20" x14ac:dyDescent="0.75">
      <c r="A26" s="5">
        <f t="shared" si="4"/>
        <v>8</v>
      </c>
      <c r="B26" s="5">
        <f t="shared" si="0"/>
        <v>2</v>
      </c>
      <c r="C26" s="5">
        <f t="shared" si="1"/>
        <v>3</v>
      </c>
      <c r="D26" s="5">
        <f t="shared" si="2"/>
        <v>3</v>
      </c>
      <c r="E26" s="5">
        <f t="shared" si="3"/>
        <v>3</v>
      </c>
      <c r="H26" s="9" t="s">
        <v>42</v>
      </c>
      <c r="I26" s="11">
        <f>STDEV(B19:B36)</f>
        <v>0.5745131499601418</v>
      </c>
      <c r="J26" s="11">
        <f>STDEV(C19:C36)</f>
        <v>0.47140452079103129</v>
      </c>
      <c r="K26" s="11">
        <f>STDEV(D19:D36)</f>
        <v>0.47140452079103129</v>
      </c>
      <c r="L26" s="11">
        <f>STDEV(E19:E36)</f>
        <v>0.3233808333817767</v>
      </c>
      <c r="Q26" s="44">
        <v>90</v>
      </c>
      <c r="R26" s="45">
        <v>95</v>
      </c>
      <c r="S26" s="44">
        <v>97</v>
      </c>
      <c r="T26" s="45">
        <v>85</v>
      </c>
    </row>
    <row r="27" spans="1:20" x14ac:dyDescent="0.75">
      <c r="A27" s="5">
        <f t="shared" si="4"/>
        <v>9</v>
      </c>
      <c r="B27" s="5">
        <f t="shared" si="0"/>
        <v>3</v>
      </c>
      <c r="C27" s="5">
        <f t="shared" si="1"/>
        <v>3</v>
      </c>
      <c r="D27" s="5">
        <f t="shared" si="2"/>
        <v>3</v>
      </c>
      <c r="E27" s="5">
        <f t="shared" si="3"/>
        <v>3</v>
      </c>
      <c r="H27" s="10"/>
      <c r="I27" s="10"/>
      <c r="J27" s="10"/>
      <c r="K27" s="10"/>
      <c r="L27" s="10"/>
      <c r="Q27" s="46">
        <v>90</v>
      </c>
      <c r="R27" s="47">
        <v>100</v>
      </c>
      <c r="S27" s="46">
        <v>97</v>
      </c>
      <c r="T27" s="47">
        <v>85</v>
      </c>
    </row>
    <row r="28" spans="1:20" x14ac:dyDescent="0.75">
      <c r="A28" s="5">
        <f t="shared" si="4"/>
        <v>10</v>
      </c>
      <c r="B28" s="5">
        <f t="shared" si="0"/>
        <v>3</v>
      </c>
      <c r="C28" s="5">
        <f t="shared" si="1"/>
        <v>3</v>
      </c>
      <c r="D28" s="5">
        <f t="shared" si="2"/>
        <v>3</v>
      </c>
      <c r="E28" s="5">
        <f t="shared" si="3"/>
        <v>2</v>
      </c>
      <c r="H28" s="12" t="s">
        <v>8</v>
      </c>
      <c r="I28" s="10">
        <f>COUNTIF(B19:B70,3)</f>
        <v>20</v>
      </c>
      <c r="J28" s="10">
        <f>COUNTIF(C19:C70,3)</f>
        <v>24</v>
      </c>
      <c r="K28" s="10">
        <f>COUNTIF(D19:D70,3)</f>
        <v>24</v>
      </c>
      <c r="L28" s="10">
        <f>COUNTIF(E19:E70,3)</f>
        <v>21</v>
      </c>
      <c r="N28" s="68">
        <f>AVERAGE(I28:L28)</f>
        <v>22.25</v>
      </c>
      <c r="Q28" s="56"/>
      <c r="R28" s="57"/>
      <c r="S28" s="56"/>
      <c r="T28" s="57"/>
    </row>
    <row r="29" spans="1:20" x14ac:dyDescent="0.75">
      <c r="A29" s="5">
        <f t="shared" si="4"/>
        <v>11</v>
      </c>
      <c r="B29" s="5">
        <f t="shared" si="0"/>
        <v>3</v>
      </c>
      <c r="C29" s="5">
        <f t="shared" si="1"/>
        <v>1</v>
      </c>
      <c r="D29" s="5">
        <f t="shared" si="2"/>
        <v>1</v>
      </c>
      <c r="E29" s="5">
        <f t="shared" si="3"/>
        <v>3</v>
      </c>
      <c r="H29" s="12" t="s">
        <v>9</v>
      </c>
      <c r="I29" s="10">
        <f>COUNTIF(B19:B70,2)</f>
        <v>4</v>
      </c>
      <c r="J29" s="10">
        <f>COUNTIF(C19:C70,2)</f>
        <v>0</v>
      </c>
      <c r="K29" s="10">
        <f>COUNTIF(D19:D70,2)</f>
        <v>0</v>
      </c>
      <c r="L29" s="10">
        <f>COUNTIF(E19:E70,2)</f>
        <v>4</v>
      </c>
      <c r="N29" s="68">
        <f t="shared" ref="N29:N30" si="5">AVERAGE(I29:L29)</f>
        <v>2</v>
      </c>
      <c r="Q29" s="56"/>
      <c r="R29" s="57"/>
      <c r="S29" s="56"/>
      <c r="T29" s="57"/>
    </row>
    <row r="30" spans="1:20" x14ac:dyDescent="0.75">
      <c r="A30" s="5">
        <f t="shared" si="4"/>
        <v>12</v>
      </c>
      <c r="B30" s="5">
        <f t="shared" si="0"/>
        <v>1</v>
      </c>
      <c r="C30" s="5">
        <f t="shared" si="1"/>
        <v>3</v>
      </c>
      <c r="D30" s="5">
        <f t="shared" si="2"/>
        <v>3</v>
      </c>
      <c r="E30" s="5">
        <f t="shared" si="3"/>
        <v>3</v>
      </c>
      <c r="H30" s="34" t="s">
        <v>6</v>
      </c>
      <c r="I30" s="13">
        <f>COUNTIF(B19:B70,1)</f>
        <v>1</v>
      </c>
      <c r="J30" s="13">
        <f>COUNTIF(C19:C70,1)</f>
        <v>1</v>
      </c>
      <c r="K30" s="13">
        <f>COUNTIF(D19:D70,1)</f>
        <v>1</v>
      </c>
      <c r="L30" s="13">
        <f>COUNTIF(E19:E70,1)</f>
        <v>0</v>
      </c>
      <c r="N30" s="68">
        <f t="shared" si="5"/>
        <v>0.75</v>
      </c>
      <c r="Q30" s="56"/>
      <c r="R30" s="57"/>
      <c r="S30" s="56"/>
      <c r="T30" s="57"/>
    </row>
    <row r="31" spans="1:20" x14ac:dyDescent="0.75">
      <c r="A31" s="5">
        <f t="shared" si="4"/>
        <v>13</v>
      </c>
      <c r="B31" s="5">
        <f t="shared" si="0"/>
        <v>3</v>
      </c>
      <c r="C31" s="5">
        <f t="shared" si="1"/>
        <v>3</v>
      </c>
      <c r="D31" s="5">
        <f t="shared" si="2"/>
        <v>3</v>
      </c>
      <c r="E31" s="5">
        <f t="shared" si="3"/>
        <v>3</v>
      </c>
      <c r="H31" s="33" t="s">
        <v>7</v>
      </c>
      <c r="I31" s="33">
        <f>SUM(I27:I30)</f>
        <v>25</v>
      </c>
      <c r="J31" s="33">
        <f t="shared" ref="J31:K31" si="6">SUM(J27:J30)</f>
        <v>25</v>
      </c>
      <c r="K31" s="33">
        <f t="shared" si="6"/>
        <v>25</v>
      </c>
      <c r="L31" s="33">
        <f t="shared" ref="L31" si="7">SUM(L27:L30)</f>
        <v>25</v>
      </c>
      <c r="Q31" s="56"/>
      <c r="R31" s="57"/>
      <c r="S31" s="56"/>
      <c r="T31" s="57"/>
    </row>
    <row r="32" spans="1:20" x14ac:dyDescent="0.75">
      <c r="A32" s="5">
        <f t="shared" si="4"/>
        <v>14</v>
      </c>
      <c r="B32" s="5">
        <f t="shared" si="0"/>
        <v>3</v>
      </c>
      <c r="C32" s="5">
        <f t="shared" si="1"/>
        <v>3</v>
      </c>
      <c r="D32" s="5">
        <f t="shared" si="2"/>
        <v>3</v>
      </c>
      <c r="E32" s="5">
        <f t="shared" si="3"/>
        <v>3</v>
      </c>
      <c r="Q32" s="56"/>
      <c r="R32" s="57"/>
      <c r="S32" s="56"/>
      <c r="T32" s="57"/>
    </row>
    <row r="33" spans="1:20" x14ac:dyDescent="0.75">
      <c r="A33" s="5">
        <f t="shared" si="4"/>
        <v>15</v>
      </c>
      <c r="B33" s="5">
        <f t="shared" si="0"/>
        <v>3</v>
      </c>
      <c r="C33" s="5">
        <f t="shared" si="1"/>
        <v>3</v>
      </c>
      <c r="D33" s="5">
        <f t="shared" si="2"/>
        <v>3</v>
      </c>
      <c r="E33" s="5">
        <f t="shared" si="3"/>
        <v>3</v>
      </c>
      <c r="H33" s="59" t="s">
        <v>11</v>
      </c>
      <c r="I33" s="60"/>
      <c r="J33" s="61"/>
      <c r="K33" s="16"/>
      <c r="Q33" s="56"/>
      <c r="R33" s="57"/>
      <c r="S33" s="56"/>
      <c r="T33" s="57"/>
    </row>
    <row r="34" spans="1:20" x14ac:dyDescent="0.75">
      <c r="A34" s="5">
        <f t="shared" si="4"/>
        <v>16</v>
      </c>
      <c r="B34" s="5">
        <f t="shared" si="0"/>
        <v>2</v>
      </c>
      <c r="C34" s="5">
        <f t="shared" si="1"/>
        <v>3</v>
      </c>
      <c r="D34" s="5">
        <f t="shared" si="2"/>
        <v>3</v>
      </c>
      <c r="E34" s="5">
        <f t="shared" si="3"/>
        <v>3</v>
      </c>
      <c r="H34" s="21" t="s">
        <v>0</v>
      </c>
      <c r="I34" s="32">
        <v>1</v>
      </c>
      <c r="J34" s="21"/>
      <c r="K34" s="17"/>
      <c r="Q34" s="56"/>
      <c r="R34" s="57"/>
      <c r="S34" s="56"/>
      <c r="T34" s="57"/>
    </row>
    <row r="35" spans="1:20" x14ac:dyDescent="0.75">
      <c r="A35" s="5">
        <f t="shared" si="4"/>
        <v>17</v>
      </c>
      <c r="B35" s="5">
        <f t="shared" si="0"/>
        <v>3</v>
      </c>
      <c r="C35" s="5">
        <f t="shared" si="1"/>
        <v>3</v>
      </c>
      <c r="D35" s="5">
        <f t="shared" si="2"/>
        <v>3</v>
      </c>
      <c r="E35" s="5">
        <f t="shared" si="3"/>
        <v>3</v>
      </c>
      <c r="H35" s="17" t="s">
        <v>10</v>
      </c>
      <c r="I35" s="18">
        <f>AVERAGE(I25:L25)</f>
        <v>2.8472222222222223</v>
      </c>
      <c r="J35" s="18"/>
      <c r="K35" s="18"/>
      <c r="L35" s="7"/>
      <c r="Q35" s="56"/>
      <c r="R35" s="57"/>
      <c r="S35" s="56"/>
      <c r="T35" s="57"/>
    </row>
    <row r="36" spans="1:20" x14ac:dyDescent="0.75">
      <c r="A36" s="5">
        <f t="shared" si="4"/>
        <v>18</v>
      </c>
      <c r="B36" s="5">
        <f t="shared" si="0"/>
        <v>3</v>
      </c>
      <c r="C36" s="5">
        <f t="shared" si="1"/>
        <v>3</v>
      </c>
      <c r="D36" s="5">
        <f t="shared" si="2"/>
        <v>3</v>
      </c>
      <c r="E36" s="5">
        <f t="shared" si="3"/>
        <v>3</v>
      </c>
      <c r="H36" s="19" t="s">
        <v>41</v>
      </c>
      <c r="I36" s="20">
        <f>_xlfn.STDEV.P(I25:L25)</f>
        <v>7.2168783648703147E-2</v>
      </c>
      <c r="J36" s="20"/>
      <c r="K36" s="20"/>
      <c r="L36" s="7"/>
      <c r="Q36" s="56"/>
      <c r="R36" s="57"/>
      <c r="S36" s="56"/>
      <c r="T36" s="57"/>
    </row>
    <row r="37" spans="1:20" x14ac:dyDescent="0.75">
      <c r="A37" s="5">
        <f t="shared" si="4"/>
        <v>19</v>
      </c>
      <c r="B37" s="5">
        <f t="shared" si="0"/>
        <v>3</v>
      </c>
      <c r="C37" s="5">
        <f t="shared" si="1"/>
        <v>3</v>
      </c>
      <c r="D37" s="5">
        <f t="shared" si="2"/>
        <v>3</v>
      </c>
      <c r="E37" s="5">
        <f t="shared" si="3"/>
        <v>3</v>
      </c>
      <c r="Q37" s="56"/>
      <c r="R37" s="57"/>
      <c r="S37" s="56"/>
      <c r="T37" s="57"/>
    </row>
    <row r="38" spans="1:20" x14ac:dyDescent="0.75">
      <c r="A38" s="5">
        <f t="shared" si="4"/>
        <v>20</v>
      </c>
      <c r="B38" s="5">
        <f t="shared" si="0"/>
        <v>3</v>
      </c>
      <c r="C38" s="5">
        <f t="shared" si="1"/>
        <v>3</v>
      </c>
      <c r="D38" s="5">
        <f t="shared" si="2"/>
        <v>3</v>
      </c>
      <c r="E38" s="5">
        <f t="shared" si="3"/>
        <v>3</v>
      </c>
      <c r="Q38" s="56"/>
      <c r="R38" s="57"/>
      <c r="S38" s="56"/>
      <c r="T38" s="57"/>
    </row>
    <row r="39" spans="1:20" x14ac:dyDescent="0.75">
      <c r="A39" s="5">
        <f t="shared" si="4"/>
        <v>21</v>
      </c>
      <c r="B39" s="5">
        <f t="shared" si="0"/>
        <v>3</v>
      </c>
      <c r="C39" s="5">
        <f t="shared" si="1"/>
        <v>3</v>
      </c>
      <c r="D39" s="5">
        <f t="shared" si="2"/>
        <v>3</v>
      </c>
      <c r="E39" s="5">
        <f t="shared" si="3"/>
        <v>3</v>
      </c>
      <c r="Q39" s="56"/>
      <c r="R39" s="57"/>
      <c r="S39" s="56"/>
      <c r="T39" s="57"/>
    </row>
    <row r="40" spans="1:20" x14ac:dyDescent="0.75">
      <c r="A40" s="5">
        <f t="shared" si="4"/>
        <v>22</v>
      </c>
      <c r="B40" s="5">
        <f t="shared" si="0"/>
        <v>3</v>
      </c>
      <c r="C40" s="5">
        <f t="shared" si="1"/>
        <v>3</v>
      </c>
      <c r="D40" s="5">
        <f t="shared" si="2"/>
        <v>3</v>
      </c>
      <c r="E40" s="5">
        <f t="shared" si="3"/>
        <v>2</v>
      </c>
      <c r="Q40" s="56"/>
      <c r="R40" s="57"/>
      <c r="S40" s="56"/>
      <c r="T40" s="57"/>
    </row>
    <row r="41" spans="1:20" x14ac:dyDescent="0.75">
      <c r="A41" s="5">
        <f t="shared" si="4"/>
        <v>23</v>
      </c>
      <c r="B41" s="5">
        <f t="shared" si="0"/>
        <v>2</v>
      </c>
      <c r="C41" s="5">
        <f t="shared" si="1"/>
        <v>3</v>
      </c>
      <c r="D41" s="5">
        <f t="shared" si="2"/>
        <v>3</v>
      </c>
      <c r="E41" s="5">
        <f t="shared" si="3"/>
        <v>2</v>
      </c>
      <c r="Q41" s="56"/>
      <c r="R41" s="57"/>
      <c r="S41" s="56"/>
      <c r="T41" s="57"/>
    </row>
    <row r="42" spans="1:20" x14ac:dyDescent="0.75">
      <c r="A42" s="5">
        <f t="shared" si="4"/>
        <v>24</v>
      </c>
      <c r="B42" s="5">
        <f t="shared" si="0"/>
        <v>3</v>
      </c>
      <c r="C42" s="5">
        <f t="shared" si="1"/>
        <v>3</v>
      </c>
      <c r="D42" s="5">
        <f t="shared" si="2"/>
        <v>3</v>
      </c>
      <c r="E42" s="5">
        <f t="shared" si="3"/>
        <v>3</v>
      </c>
      <c r="Q42" s="56"/>
      <c r="R42" s="57"/>
      <c r="S42" s="56"/>
      <c r="T42" s="57"/>
    </row>
    <row r="43" spans="1:20" x14ac:dyDescent="0.75">
      <c r="A43" s="5">
        <f t="shared" si="4"/>
        <v>25</v>
      </c>
      <c r="B43" s="5">
        <f t="shared" si="0"/>
        <v>3</v>
      </c>
      <c r="C43" s="5">
        <f t="shared" si="1"/>
        <v>3</v>
      </c>
      <c r="D43" s="5">
        <f t="shared" si="2"/>
        <v>3</v>
      </c>
      <c r="E43" s="5">
        <f t="shared" si="3"/>
        <v>3</v>
      </c>
      <c r="Q43" s="56"/>
      <c r="R43" s="57"/>
      <c r="S43" s="56"/>
      <c r="T43" s="57"/>
    </row>
    <row r="44" spans="1:20" x14ac:dyDescent="0.75">
      <c r="A44" s="5"/>
      <c r="B44" s="5"/>
      <c r="C44" s="5"/>
      <c r="D44" s="5"/>
      <c r="E44" s="5"/>
      <c r="Q44" s="56"/>
      <c r="R44" s="57"/>
      <c r="S44" s="56"/>
      <c r="T44" s="57"/>
    </row>
    <row r="45" spans="1:20" x14ac:dyDescent="0.75">
      <c r="A45" s="5"/>
      <c r="B45" s="5"/>
      <c r="C45" s="5"/>
      <c r="D45" s="5"/>
      <c r="E45" s="5"/>
      <c r="Q45" s="56"/>
      <c r="R45" s="57"/>
      <c r="S45" s="56"/>
      <c r="T45" s="57"/>
    </row>
    <row r="46" spans="1:20" x14ac:dyDescent="0.75">
      <c r="A46" s="5"/>
      <c r="B46" s="5"/>
      <c r="C46" s="5"/>
      <c r="D46" s="5"/>
      <c r="E46" s="5"/>
      <c r="Q46" s="56"/>
      <c r="R46" s="57"/>
      <c r="S46" s="56"/>
      <c r="T46" s="57"/>
    </row>
    <row r="47" spans="1:20" x14ac:dyDescent="0.75">
      <c r="A47" s="5"/>
      <c r="B47" s="5"/>
      <c r="C47" s="5"/>
      <c r="D47" s="5"/>
      <c r="E47" s="5"/>
      <c r="Q47" s="56"/>
      <c r="R47" s="57"/>
      <c r="S47" s="56"/>
      <c r="T47" s="57"/>
    </row>
    <row r="48" spans="1:20" x14ac:dyDescent="0.75">
      <c r="A48" s="5"/>
      <c r="B48" s="5"/>
      <c r="C48" s="5"/>
      <c r="D48" s="5"/>
      <c r="E48" s="5"/>
      <c r="Q48" s="56"/>
      <c r="R48" s="57"/>
      <c r="S48" s="56"/>
      <c r="T48" s="57"/>
    </row>
    <row r="49" spans="1:20" x14ac:dyDescent="0.75">
      <c r="A49" s="5"/>
      <c r="B49" s="5"/>
      <c r="C49" s="5"/>
      <c r="D49" s="5"/>
      <c r="E49" s="5"/>
      <c r="Q49" s="56"/>
      <c r="R49" s="57"/>
      <c r="S49" s="56"/>
      <c r="T49" s="57"/>
    </row>
    <row r="50" spans="1:20" x14ac:dyDescent="0.75">
      <c r="A50" s="5"/>
      <c r="B50" s="5"/>
      <c r="C50" s="5"/>
      <c r="D50" s="5"/>
      <c r="E50" s="5"/>
      <c r="Q50" s="56"/>
      <c r="R50" s="57"/>
      <c r="S50" s="56"/>
      <c r="T50" s="57"/>
    </row>
    <row r="51" spans="1:20" x14ac:dyDescent="0.75">
      <c r="A51" s="5"/>
      <c r="B51" s="5"/>
      <c r="C51" s="5"/>
      <c r="D51" s="5"/>
      <c r="E51" s="5"/>
      <c r="Q51" s="56"/>
      <c r="R51" s="57"/>
      <c r="S51" s="56"/>
      <c r="T51" s="57"/>
    </row>
    <row r="52" spans="1:20" x14ac:dyDescent="0.75">
      <c r="A52" s="5"/>
      <c r="B52" s="5"/>
      <c r="C52" s="5"/>
      <c r="D52" s="5"/>
      <c r="E52" s="5"/>
      <c r="Q52" s="56"/>
      <c r="R52" s="57"/>
      <c r="S52" s="56"/>
      <c r="T52" s="57"/>
    </row>
    <row r="53" spans="1:20" x14ac:dyDescent="0.75">
      <c r="A53" s="5"/>
      <c r="B53" s="5"/>
      <c r="C53" s="5"/>
      <c r="D53" s="5"/>
      <c r="E53" s="5"/>
      <c r="Q53" s="56"/>
      <c r="R53" s="57"/>
      <c r="S53" s="56"/>
      <c r="T53" s="57"/>
    </row>
    <row r="54" spans="1:20" x14ac:dyDescent="0.75">
      <c r="A54" s="5"/>
      <c r="B54" s="5"/>
      <c r="C54" s="5"/>
      <c r="D54" s="5"/>
      <c r="E54" s="5"/>
      <c r="Q54" s="56"/>
      <c r="R54" s="57"/>
      <c r="S54" s="56"/>
      <c r="T54" s="57"/>
    </row>
    <row r="55" spans="1:20" x14ac:dyDescent="0.75">
      <c r="A55" s="5"/>
      <c r="B55" s="5"/>
      <c r="C55" s="5"/>
      <c r="D55" s="5"/>
      <c r="E55" s="5"/>
      <c r="F55" s="7"/>
    </row>
    <row r="56" spans="1:20" x14ac:dyDescent="0.75">
      <c r="A56" s="5"/>
      <c r="B56" s="5"/>
      <c r="C56" s="5"/>
      <c r="D56" s="5"/>
      <c r="E56" s="5"/>
      <c r="F56" s="7"/>
    </row>
    <row r="57" spans="1:20" x14ac:dyDescent="0.75">
      <c r="A57" s="5"/>
      <c r="B57" s="5"/>
      <c r="C57" s="5"/>
      <c r="D57" s="5"/>
      <c r="E57" s="5"/>
    </row>
    <row r="58" spans="1:20" x14ac:dyDescent="0.75">
      <c r="A58" s="5"/>
      <c r="B58" s="5"/>
      <c r="C58" s="5"/>
      <c r="D58" s="5"/>
      <c r="E58" s="5"/>
    </row>
    <row r="59" spans="1:20" x14ac:dyDescent="0.75">
      <c r="A59" s="5"/>
      <c r="B59" s="5"/>
      <c r="C59" s="5"/>
      <c r="D59" s="5"/>
      <c r="E59" s="5"/>
    </row>
    <row r="60" spans="1:20" x14ac:dyDescent="0.75">
      <c r="A60" s="5"/>
      <c r="B60" s="5"/>
      <c r="C60" s="5"/>
      <c r="D60" s="5"/>
      <c r="E60" s="5"/>
    </row>
    <row r="61" spans="1:20" x14ac:dyDescent="0.75">
      <c r="A61" s="5"/>
      <c r="B61" s="5"/>
      <c r="C61" s="5"/>
      <c r="D61" s="5"/>
      <c r="E61" s="5"/>
    </row>
    <row r="62" spans="1:20" x14ac:dyDescent="0.75">
      <c r="A62" s="5"/>
      <c r="B62" s="5"/>
      <c r="C62" s="5"/>
      <c r="D62" s="5"/>
      <c r="E62" s="5"/>
    </row>
    <row r="63" spans="1:20" x14ac:dyDescent="0.75">
      <c r="A63" s="5"/>
      <c r="B63" s="5"/>
      <c r="C63" s="5"/>
      <c r="D63" s="5"/>
      <c r="E63" s="5"/>
    </row>
    <row r="64" spans="1:20" x14ac:dyDescent="0.75">
      <c r="A64" s="5"/>
      <c r="B64" s="5"/>
      <c r="C64" s="5"/>
      <c r="D64" s="5"/>
      <c r="E64" s="5"/>
    </row>
    <row r="65" spans="1:13" x14ac:dyDescent="0.75">
      <c r="A65" s="5"/>
      <c r="B65" s="5"/>
      <c r="C65" s="5"/>
      <c r="D65" s="5"/>
      <c r="E65" s="5"/>
    </row>
    <row r="66" spans="1:13" x14ac:dyDescent="0.75">
      <c r="A66" s="5"/>
      <c r="B66" s="5"/>
      <c r="C66" s="5"/>
      <c r="D66" s="5"/>
      <c r="E66" s="5"/>
    </row>
    <row r="67" spans="1:13" x14ac:dyDescent="0.75">
      <c r="A67" s="5"/>
      <c r="B67" s="5"/>
      <c r="C67" s="5"/>
      <c r="D67" s="5"/>
      <c r="E67" s="5"/>
    </row>
    <row r="68" spans="1:13" x14ac:dyDescent="0.75">
      <c r="A68" s="5"/>
      <c r="B68" s="5"/>
      <c r="C68" s="5"/>
      <c r="D68" s="5"/>
      <c r="E68" s="5"/>
    </row>
    <row r="69" spans="1:13" x14ac:dyDescent="0.75">
      <c r="A69" s="5"/>
      <c r="B69" s="5"/>
      <c r="C69" s="5"/>
      <c r="D69" s="5"/>
      <c r="E69" s="5"/>
      <c r="I69" s="2"/>
      <c r="J69" s="2"/>
      <c r="K69" s="2"/>
      <c r="L69" s="2"/>
      <c r="M69" s="2"/>
    </row>
    <row r="70" spans="1:13" x14ac:dyDescent="0.75">
      <c r="A70" s="5"/>
      <c r="B70" s="5"/>
      <c r="C70" s="5"/>
      <c r="D70" s="5"/>
      <c r="E70" s="5"/>
    </row>
    <row r="138" spans="8:13" x14ac:dyDescent="0.75">
      <c r="H138" s="2"/>
      <c r="I138" s="2"/>
      <c r="J138" s="2"/>
      <c r="K138" s="2"/>
      <c r="L138" s="2"/>
      <c r="M138" s="2"/>
    </row>
    <row r="159" spans="2:2" x14ac:dyDescent="0.75">
      <c r="B159" s="4"/>
    </row>
    <row r="160" spans="2:2" x14ac:dyDescent="0.75">
      <c r="B160" s="4"/>
    </row>
    <row r="161" spans="1:2" x14ac:dyDescent="0.75">
      <c r="B161" s="4"/>
    </row>
    <row r="162" spans="1:2" x14ac:dyDescent="0.75">
      <c r="B162" s="4"/>
    </row>
    <row r="164" spans="1:2" x14ac:dyDescent="0.75">
      <c r="A164" s="1"/>
    </row>
  </sheetData>
  <sortState xmlns:xlrd2="http://schemas.microsoft.com/office/spreadsheetml/2017/richdata2" ref="D19:D39">
    <sortCondition ref="D19:D39"/>
  </sortState>
  <mergeCells count="4">
    <mergeCell ref="H33:J33"/>
    <mergeCell ref="F1:H1"/>
    <mergeCell ref="Q1:T1"/>
    <mergeCell ref="H22:L2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 341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dcterms:created xsi:type="dcterms:W3CDTF">2013-01-15T05:38:26Z</dcterms:created>
  <dcterms:modified xsi:type="dcterms:W3CDTF">2026-05-21T22:31:48Z</dcterms:modified>
</cp:coreProperties>
</file>