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ocuments\ABET_2026_InProgress\2026 Self-Study Report\Criterion4-ContinuousImprovement\Course Assessments\CHE200-Level Assessment\"/>
    </mc:Choice>
  </mc:AlternateContent>
  <xr:revisionPtr revIDLastSave="0" documentId="13_ncr:1_{63AB5436-3B97-4071-837F-641C32FA268C}" xr6:coauthVersionLast="47" xr6:coauthVersionMax="47" xr10:uidLastSave="{00000000-0000-0000-0000-000000000000}"/>
  <bookViews>
    <workbookView xWindow="-90" yWindow="-90" windowWidth="16380" windowHeight="9765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4" i="1" l="1"/>
  <c r="G43" i="1"/>
  <c r="G42" i="1"/>
  <c r="B39" i="1"/>
  <c r="B45" i="1" l="1"/>
  <c r="C40" i="1"/>
  <c r="B40" i="1"/>
  <c r="C39" i="1"/>
  <c r="D39" i="1" l="1"/>
  <c r="B49" i="1" l="1"/>
  <c r="B50" i="1"/>
  <c r="C45" i="1"/>
  <c r="D45" i="1"/>
  <c r="D40" i="1" l="1"/>
</calcChain>
</file>

<file path=xl/sharedStrings.xml><?xml version="1.0" encoding="utf-8"?>
<sst xmlns="http://schemas.openxmlformats.org/spreadsheetml/2006/main" count="37" uniqueCount="37">
  <si>
    <t>SO</t>
  </si>
  <si>
    <t>Unsatisfactory</t>
  </si>
  <si>
    <t>Developing</t>
  </si>
  <si>
    <t>Satisfactory</t>
  </si>
  <si>
    <t>Average</t>
  </si>
  <si>
    <t>Std Dev</t>
  </si>
  <si>
    <t>Student</t>
  </si>
  <si>
    <t>U</t>
  </si>
  <si>
    <t>Checksum</t>
  </si>
  <si>
    <t>S</t>
  </si>
  <si>
    <t>D</t>
  </si>
  <si>
    <t>Average Score</t>
  </si>
  <si>
    <t>Standard dev.</t>
  </si>
  <si>
    <t>RESULTS BY STUDENT OUTCOME</t>
  </si>
  <si>
    <t>RESULTS BY PERFORMANCE INDICATOR</t>
  </si>
  <si>
    <t>Mapped SO</t>
  </si>
  <si>
    <t>RATINGS</t>
  </si>
  <si>
    <t>an ability to identify, formulate, and solve complex engineering problems by applying principles of engineering, science, and mathematics.</t>
  </si>
  <si>
    <t>Student Learning Outcome 1</t>
  </si>
  <si>
    <t>Emphasized</t>
  </si>
  <si>
    <t>Performance Indicators:</t>
  </si>
  <si>
    <t>1. Apply mathematical and scientific principles to formulate models and systems relevant to the subject</t>
  </si>
  <si>
    <t xml:space="preserve">2. Solve engineering problems by using the concepts of algebra, calculus, differential equations and/or linear algebra </t>
  </si>
  <si>
    <t>3. Appropriate engineering interpretation of mathematical and scientific terms</t>
  </si>
  <si>
    <t>Assessment of student outcome 1 (SO1)</t>
  </si>
  <si>
    <t>Performance Indicators used</t>
  </si>
  <si>
    <t>`</t>
  </si>
  <si>
    <t>4. Translates academic theory into engineering applications</t>
  </si>
  <si>
    <t xml:space="preserve">5. Predict and defend problem outcomes </t>
  </si>
  <si>
    <t xml:space="preserve">6. The uses of appropriate resources needed to solve problems </t>
  </si>
  <si>
    <t xml:space="preserve">7. Solution creativity  and alternatives </t>
  </si>
  <si>
    <t xml:space="preserve"> </t>
  </si>
  <si>
    <t>Material and Energy Balances</t>
  </si>
  <si>
    <t>Prepared by L.E. Wedgewood</t>
  </si>
  <si>
    <t>CHE 210 Fall 2023</t>
  </si>
  <si>
    <t>Assessment rubric: First Midterm Exam,  Problem 2</t>
  </si>
  <si>
    <t>Rubric item (PI)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</si>
</sst>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Georgia"/>
      <family val="1"/>
    </font>
    <font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2" borderId="0" xfId="0" applyFill="1"/>
    <xf numFmtId="0" fontId="0" fillId="3" borderId="0" xfId="0" applyFill="1"/>
    <xf numFmtId="0" fontId="0" fillId="3" borderId="0" xfId="0" applyFill="1" applyAlignment="1">
      <alignment horizontal="right"/>
    </xf>
    <xf numFmtId="0" fontId="0" fillId="4" borderId="0" xfId="0" applyFill="1"/>
    <xf numFmtId="2" fontId="0" fillId="4" borderId="0" xfId="0" applyNumberFormat="1" applyFill="1"/>
    <xf numFmtId="2" fontId="0" fillId="3" borderId="0" xfId="0" applyNumberFormat="1" applyFill="1"/>
    <xf numFmtId="0" fontId="1" fillId="3" borderId="0" xfId="0" applyFont="1" applyFill="1"/>
    <xf numFmtId="0" fontId="1" fillId="4" borderId="0" xfId="0" applyFont="1" applyFill="1"/>
    <xf numFmtId="0" fontId="2" fillId="0" borderId="0" xfId="0" applyFont="1"/>
    <xf numFmtId="0" fontId="0" fillId="5" borderId="0" xfId="0" applyFill="1"/>
    <xf numFmtId="0" fontId="0" fillId="5" borderId="0" xfId="0" applyFill="1" applyAlignment="1">
      <alignment horizontal="right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2" fontId="0" fillId="3" borderId="0" xfId="0" applyNumberFormat="1" applyFill="1" applyAlignment="1">
      <alignment horizontal="center"/>
    </xf>
    <xf numFmtId="0" fontId="3" fillId="0" borderId="0" xfId="0" applyFont="1"/>
    <xf numFmtId="0" fontId="0" fillId="6" borderId="0" xfId="0" applyFill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74"/>
  <sheetViews>
    <sheetView tabSelected="1" topLeftCell="A36" workbookViewId="0">
      <selection activeCell="H38" sqref="H38"/>
    </sheetView>
  </sheetViews>
  <sheetFormatPr defaultRowHeight="14.75" x14ac:dyDescent="0.75"/>
  <cols>
    <col min="1" max="1" width="27.76953125" customWidth="1"/>
    <col min="2" max="2" width="11.54296875" customWidth="1"/>
    <col min="3" max="3" width="11" customWidth="1"/>
    <col min="7" max="7" width="10.1796875" bestFit="1" customWidth="1"/>
    <col min="8" max="8" width="9.08984375" customWidth="1"/>
    <col min="11" max="11" width="16" customWidth="1"/>
    <col min="12" max="12" width="17.453125" customWidth="1"/>
    <col min="13" max="13" width="16.08984375" customWidth="1"/>
    <col min="15" max="15" width="9.08984375" customWidth="1"/>
  </cols>
  <sheetData>
    <row r="1" spans="1:22" x14ac:dyDescent="0.75">
      <c r="A1" s="1" t="s">
        <v>34</v>
      </c>
      <c r="F1" s="1" t="s">
        <v>18</v>
      </c>
    </row>
    <row r="2" spans="1:22" ht="16" x14ac:dyDescent="0.8">
      <c r="A2" s="1" t="s">
        <v>32</v>
      </c>
      <c r="F2" s="17" t="s">
        <v>17</v>
      </c>
    </row>
    <row r="3" spans="1:22" x14ac:dyDescent="0.75">
      <c r="A3" s="1" t="s">
        <v>24</v>
      </c>
      <c r="F3" t="s">
        <v>19</v>
      </c>
    </row>
    <row r="4" spans="1:22" x14ac:dyDescent="0.75">
      <c r="A4" t="s">
        <v>35</v>
      </c>
    </row>
    <row r="5" spans="1:22" x14ac:dyDescent="0.75">
      <c r="A5" t="s">
        <v>33</v>
      </c>
      <c r="F5" s="1" t="s">
        <v>20</v>
      </c>
    </row>
    <row r="6" spans="1:22" x14ac:dyDescent="0.75">
      <c r="F6" s="18" t="s">
        <v>21</v>
      </c>
      <c r="G6" s="18"/>
      <c r="H6" s="18"/>
      <c r="I6" s="18"/>
      <c r="J6" s="18"/>
      <c r="K6" s="18"/>
      <c r="L6" s="18"/>
      <c r="M6" s="18"/>
    </row>
    <row r="7" spans="1:22" x14ac:dyDescent="0.75">
      <c r="F7" s="18" t="s">
        <v>22</v>
      </c>
      <c r="G7" s="18"/>
      <c r="H7" s="18"/>
      <c r="I7" s="18"/>
      <c r="J7" s="18"/>
      <c r="K7" s="18"/>
      <c r="L7" s="18"/>
      <c r="M7" s="18"/>
      <c r="N7" s="18"/>
    </row>
    <row r="8" spans="1:22" x14ac:dyDescent="0.75">
      <c r="F8" t="s">
        <v>23</v>
      </c>
    </row>
    <row r="9" spans="1:22" x14ac:dyDescent="0.75">
      <c r="A9" s="3" t="s">
        <v>16</v>
      </c>
      <c r="B9" s="3"/>
      <c r="C9" s="3"/>
      <c r="F9" s="18" t="s">
        <v>27</v>
      </c>
      <c r="G9" s="18"/>
      <c r="H9" s="18"/>
      <c r="I9" s="18"/>
      <c r="J9" s="18"/>
      <c r="K9" s="18"/>
    </row>
    <row r="10" spans="1:22" x14ac:dyDescent="0.75">
      <c r="A10" s="3">
        <v>1</v>
      </c>
      <c r="B10" s="3" t="s">
        <v>1</v>
      </c>
      <c r="C10" s="3"/>
      <c r="F10" t="s">
        <v>28</v>
      </c>
      <c r="N10" t="s">
        <v>31</v>
      </c>
    </row>
    <row r="11" spans="1:22" x14ac:dyDescent="0.75">
      <c r="A11" s="3">
        <v>2</v>
      </c>
      <c r="B11" s="3" t="s">
        <v>2</v>
      </c>
      <c r="C11" s="3"/>
      <c r="F11" t="s">
        <v>29</v>
      </c>
    </row>
    <row r="12" spans="1:22" x14ac:dyDescent="0.75">
      <c r="A12" s="3">
        <v>3</v>
      </c>
      <c r="B12" s="3" t="s">
        <v>3</v>
      </c>
      <c r="C12" s="3"/>
      <c r="F12" t="s">
        <v>30</v>
      </c>
    </row>
    <row r="13" spans="1:22" x14ac:dyDescent="0.75">
      <c r="A13" s="3"/>
      <c r="B13" s="3"/>
      <c r="C13" s="3"/>
      <c r="V13" t="s">
        <v>26</v>
      </c>
    </row>
    <row r="15" spans="1:22" x14ac:dyDescent="0.75">
      <c r="A15" s="12" t="s">
        <v>25</v>
      </c>
      <c r="B15" s="12">
        <v>1</v>
      </c>
      <c r="C15" s="12">
        <v>2</v>
      </c>
      <c r="D15" s="12">
        <v>4</v>
      </c>
      <c r="E15" s="12"/>
    </row>
    <row r="16" spans="1:22" x14ac:dyDescent="0.75">
      <c r="A16" s="12"/>
      <c r="B16" s="13"/>
      <c r="C16" s="13"/>
      <c r="D16" s="13"/>
      <c r="E16" s="13"/>
      <c r="F16" s="2"/>
      <c r="G16" s="2"/>
    </row>
    <row r="17" spans="1:4" x14ac:dyDescent="0.75">
      <c r="B17" s="2"/>
    </row>
    <row r="18" spans="1:4" x14ac:dyDescent="0.75">
      <c r="A18" t="s">
        <v>6</v>
      </c>
    </row>
    <row r="19" spans="1:4" x14ac:dyDescent="0.75">
      <c r="A19" s="14">
        <v>1</v>
      </c>
      <c r="B19" s="14">
        <v>3</v>
      </c>
      <c r="C19" s="14">
        <v>2</v>
      </c>
      <c r="D19" s="14">
        <v>2</v>
      </c>
    </row>
    <row r="20" spans="1:4" x14ac:dyDescent="0.75">
      <c r="A20" s="14">
        <v>2</v>
      </c>
      <c r="B20" s="14">
        <v>2</v>
      </c>
      <c r="C20" s="14">
        <v>1</v>
      </c>
      <c r="D20" s="14">
        <v>2</v>
      </c>
    </row>
    <row r="21" spans="1:4" x14ac:dyDescent="0.75">
      <c r="A21" s="14">
        <v>3</v>
      </c>
      <c r="B21" s="14">
        <v>2</v>
      </c>
      <c r="C21" s="14">
        <v>1</v>
      </c>
      <c r="D21" s="14">
        <v>1</v>
      </c>
    </row>
    <row r="22" spans="1:4" x14ac:dyDescent="0.75">
      <c r="A22" s="14">
        <v>4</v>
      </c>
      <c r="B22" s="14">
        <v>1</v>
      </c>
      <c r="C22" s="14">
        <v>2</v>
      </c>
      <c r="D22" s="14">
        <v>1</v>
      </c>
    </row>
    <row r="23" spans="1:4" x14ac:dyDescent="0.75">
      <c r="A23" s="14">
        <v>5</v>
      </c>
      <c r="B23" s="14">
        <v>3</v>
      </c>
      <c r="C23" s="14">
        <v>3</v>
      </c>
      <c r="D23" s="14">
        <v>3</v>
      </c>
    </row>
    <row r="24" spans="1:4" x14ac:dyDescent="0.75">
      <c r="A24" s="14">
        <v>6</v>
      </c>
      <c r="B24" s="14">
        <v>3</v>
      </c>
      <c r="C24" s="14">
        <v>2</v>
      </c>
      <c r="D24" s="14">
        <v>2</v>
      </c>
    </row>
    <row r="25" spans="1:4" x14ac:dyDescent="0.75">
      <c r="A25" s="14">
        <v>7</v>
      </c>
      <c r="B25" s="14">
        <v>3</v>
      </c>
      <c r="C25" s="14">
        <v>2</v>
      </c>
      <c r="D25" s="14">
        <v>2</v>
      </c>
    </row>
    <row r="26" spans="1:4" x14ac:dyDescent="0.75">
      <c r="A26" s="14">
        <v>8</v>
      </c>
      <c r="B26" s="14">
        <v>1</v>
      </c>
      <c r="C26" s="14">
        <v>1</v>
      </c>
      <c r="D26" s="14">
        <v>1</v>
      </c>
    </row>
    <row r="27" spans="1:4" x14ac:dyDescent="0.75">
      <c r="A27" s="14">
        <v>9</v>
      </c>
      <c r="B27" s="14">
        <v>3</v>
      </c>
      <c r="C27" s="14">
        <v>2</v>
      </c>
      <c r="D27" s="14">
        <v>3</v>
      </c>
    </row>
    <row r="28" spans="1:4" x14ac:dyDescent="0.75">
      <c r="A28" s="14">
        <v>10</v>
      </c>
      <c r="B28" s="14">
        <v>2</v>
      </c>
      <c r="C28" s="14">
        <v>1</v>
      </c>
      <c r="D28" s="14">
        <v>1</v>
      </c>
    </row>
    <row r="29" spans="1:4" x14ac:dyDescent="0.75">
      <c r="A29" s="14">
        <v>11</v>
      </c>
      <c r="B29" s="14">
        <v>3</v>
      </c>
      <c r="C29" s="14">
        <v>3</v>
      </c>
      <c r="D29" s="14">
        <v>3</v>
      </c>
    </row>
    <row r="30" spans="1:4" x14ac:dyDescent="0.75">
      <c r="A30" s="14">
        <v>12</v>
      </c>
      <c r="B30" s="14">
        <v>3</v>
      </c>
      <c r="C30" s="14">
        <v>3</v>
      </c>
      <c r="D30" s="14">
        <v>3</v>
      </c>
    </row>
    <row r="31" spans="1:4" x14ac:dyDescent="0.75">
      <c r="A31" s="14">
        <v>13</v>
      </c>
      <c r="B31" s="14">
        <v>2</v>
      </c>
      <c r="C31" s="14">
        <v>1</v>
      </c>
      <c r="D31" s="14">
        <v>1</v>
      </c>
    </row>
    <row r="32" spans="1:4" x14ac:dyDescent="0.75">
      <c r="A32" s="14">
        <v>14</v>
      </c>
      <c r="B32" s="14">
        <v>2</v>
      </c>
      <c r="C32" s="14">
        <v>2</v>
      </c>
      <c r="D32" s="14">
        <v>1</v>
      </c>
    </row>
    <row r="33" spans="1:7" x14ac:dyDescent="0.75">
      <c r="A33" s="14">
        <v>15</v>
      </c>
      <c r="B33" s="14">
        <v>3</v>
      </c>
      <c r="C33" s="14">
        <v>3</v>
      </c>
      <c r="D33" s="14">
        <v>3</v>
      </c>
    </row>
    <row r="34" spans="1:7" x14ac:dyDescent="0.75">
      <c r="B34" s="2"/>
    </row>
    <row r="36" spans="1:7" x14ac:dyDescent="0.75">
      <c r="A36" s="9" t="s">
        <v>14</v>
      </c>
      <c r="B36" s="4"/>
      <c r="C36" s="4"/>
      <c r="D36" s="4"/>
      <c r="E36" s="4"/>
    </row>
    <row r="37" spans="1:7" x14ac:dyDescent="0.75">
      <c r="A37" s="15" t="s">
        <v>36</v>
      </c>
      <c r="B37" s="15">
        <v>1</v>
      </c>
      <c r="C37" s="15">
        <v>2</v>
      </c>
      <c r="D37" s="15">
        <v>4</v>
      </c>
      <c r="E37" s="4"/>
    </row>
    <row r="38" spans="1:7" x14ac:dyDescent="0.75">
      <c r="A38" s="15" t="s">
        <v>15</v>
      </c>
      <c r="B38" s="15">
        <v>1</v>
      </c>
      <c r="C38" s="15">
        <v>1</v>
      </c>
      <c r="D38" s="15">
        <v>1</v>
      </c>
      <c r="E38" s="5"/>
    </row>
    <row r="39" spans="1:7" x14ac:dyDescent="0.75">
      <c r="A39" s="15" t="s">
        <v>4</v>
      </c>
      <c r="B39" s="16">
        <f>AVERAGE(B19:B33)</f>
        <v>2.4</v>
      </c>
      <c r="C39" s="16">
        <f>AVERAGE(C19:C33)</f>
        <v>1.9333333333333333</v>
      </c>
      <c r="D39" s="16">
        <f>AVERAGE(D19:D33)</f>
        <v>1.9333333333333333</v>
      </c>
      <c r="E39" s="8"/>
    </row>
    <row r="40" spans="1:7" x14ac:dyDescent="0.75">
      <c r="A40" s="15" t="s">
        <v>5</v>
      </c>
      <c r="B40" s="16">
        <f>STDEV(B19:B33)</f>
        <v>0.73678839761300696</v>
      </c>
      <c r="C40" s="16">
        <f>STDEV(C19:C33)</f>
        <v>0.79880863671798008</v>
      </c>
      <c r="D40" s="16">
        <f>STDEV(D19:D34)</f>
        <v>0.88371510168853673</v>
      </c>
      <c r="E40" s="8"/>
    </row>
    <row r="41" spans="1:7" x14ac:dyDescent="0.75">
      <c r="A41" s="15"/>
      <c r="B41" s="15"/>
      <c r="C41" s="15"/>
      <c r="D41" s="15"/>
      <c r="E41" s="4"/>
    </row>
    <row r="42" spans="1:7" x14ac:dyDescent="0.75">
      <c r="A42" s="15" t="s">
        <v>9</v>
      </c>
      <c r="B42" s="15">
        <v>8</v>
      </c>
      <c r="C42" s="15">
        <v>4</v>
      </c>
      <c r="D42" s="15">
        <v>5</v>
      </c>
      <c r="E42" s="4"/>
      <c r="G42" s="19">
        <f>AVERAGE(B42:D42)</f>
        <v>5.666666666666667</v>
      </c>
    </row>
    <row r="43" spans="1:7" x14ac:dyDescent="0.75">
      <c r="A43" s="15" t="s">
        <v>10</v>
      </c>
      <c r="B43" s="15">
        <v>5</v>
      </c>
      <c r="C43" s="15">
        <v>6</v>
      </c>
      <c r="D43" s="15">
        <v>4</v>
      </c>
      <c r="E43" s="4"/>
      <c r="G43" s="19">
        <f t="shared" ref="G43:G44" si="0">AVERAGE(B43:D43)</f>
        <v>5</v>
      </c>
    </row>
    <row r="44" spans="1:7" x14ac:dyDescent="0.75">
      <c r="A44" s="15" t="s">
        <v>7</v>
      </c>
      <c r="B44" s="15">
        <v>2</v>
      </c>
      <c r="C44" s="15">
        <v>5</v>
      </c>
      <c r="D44" s="15">
        <v>6</v>
      </c>
      <c r="E44" s="4"/>
      <c r="G44" s="19">
        <f t="shared" si="0"/>
        <v>4.333333333333333</v>
      </c>
    </row>
    <row r="45" spans="1:7" x14ac:dyDescent="0.75">
      <c r="A45" s="15" t="s">
        <v>8</v>
      </c>
      <c r="B45" s="15">
        <f>SUM(B41:B44)</f>
        <v>15</v>
      </c>
      <c r="C45" s="15">
        <f t="shared" ref="C45:D45" si="1">SUM(C41:C44)</f>
        <v>15</v>
      </c>
      <c r="D45" s="15">
        <f t="shared" si="1"/>
        <v>15</v>
      </c>
      <c r="E45" s="4"/>
    </row>
    <row r="47" spans="1:7" x14ac:dyDescent="0.75">
      <c r="A47" s="10" t="s">
        <v>13</v>
      </c>
      <c r="B47" s="6"/>
      <c r="C47" s="6"/>
      <c r="D47" s="6"/>
      <c r="E47" s="6"/>
      <c r="F47" s="6"/>
    </row>
    <row r="48" spans="1:7" x14ac:dyDescent="0.75">
      <c r="A48" s="6" t="s">
        <v>0</v>
      </c>
      <c r="B48" s="6">
        <v>1</v>
      </c>
      <c r="C48" s="6"/>
      <c r="D48" s="6"/>
      <c r="E48" s="6"/>
      <c r="F48" s="6"/>
    </row>
    <row r="49" spans="1:13" x14ac:dyDescent="0.75">
      <c r="A49" s="6" t="s">
        <v>11</v>
      </c>
      <c r="B49" s="7">
        <f>AVERAGE(B39:D39)</f>
        <v>2.088888888888889</v>
      </c>
      <c r="C49" s="7"/>
      <c r="D49" s="7"/>
      <c r="E49" s="7"/>
      <c r="F49" s="7"/>
    </row>
    <row r="50" spans="1:13" x14ac:dyDescent="0.75">
      <c r="A50" s="6" t="s">
        <v>12</v>
      </c>
      <c r="B50" s="7">
        <f>_xlfn.STDEV.P(B39:D39)</f>
        <v>0.21998877636914738</v>
      </c>
      <c r="C50" s="7"/>
      <c r="D50" s="7"/>
      <c r="E50" s="7"/>
      <c r="F50" s="7"/>
    </row>
    <row r="62" spans="1:13" x14ac:dyDescent="0.75">
      <c r="I62" s="2"/>
      <c r="J62" s="2"/>
      <c r="K62" s="2"/>
      <c r="L62" s="2"/>
      <c r="M62" s="2"/>
    </row>
    <row r="147" spans="8:13" x14ac:dyDescent="0.75">
      <c r="H147" s="2"/>
      <c r="I147" s="2"/>
      <c r="J147" s="2"/>
      <c r="K147" s="2"/>
      <c r="L147" s="2"/>
      <c r="M147" s="2"/>
    </row>
    <row r="169" spans="1:2" x14ac:dyDescent="0.75">
      <c r="B169" s="11"/>
    </row>
    <row r="170" spans="1:2" x14ac:dyDescent="0.75">
      <c r="B170" s="11"/>
    </row>
    <row r="171" spans="1:2" x14ac:dyDescent="0.75">
      <c r="B171" s="11"/>
    </row>
    <row r="172" spans="1:2" x14ac:dyDescent="0.75">
      <c r="B172" s="11"/>
    </row>
    <row r="174" spans="1:2" x14ac:dyDescent="0.75">
      <c r="A174" s="1"/>
    </row>
  </sheetData>
  <sortState xmlns:xlrd2="http://schemas.microsoft.com/office/spreadsheetml/2017/richdata2" ref="M19:O33">
    <sortCondition descending="1" ref="O19:O33"/>
  </sortState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Ludwig C. Nitsche</dc:creator>
  <cp:lastModifiedBy>Zdunek, Alan</cp:lastModifiedBy>
  <cp:lastPrinted>2020-03-06T20:00:58Z</cp:lastPrinted>
  <dcterms:created xsi:type="dcterms:W3CDTF">2013-01-15T05:38:26Z</dcterms:created>
  <dcterms:modified xsi:type="dcterms:W3CDTF">2026-05-21T18:38:34Z</dcterms:modified>
</cp:coreProperties>
</file>