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D718B85E-4C46-4D64-8255-383C6025A340}" xr6:coauthVersionLast="47" xr6:coauthVersionMax="47" xr10:uidLastSave="{00000000-0000-0000-0000-000000000000}"/>
  <bookViews>
    <workbookView xWindow="48480" yWindow="-120" windowWidth="29040" windowHeight="15225" xr2:uid="{6C429DC3-9424-AE44-90E3-1F937AA75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8" i="1" l="1"/>
  <c r="O58" i="1"/>
  <c r="P57" i="1"/>
  <c r="P56" i="1"/>
  <c r="P55" i="1"/>
  <c r="O57" i="1"/>
  <c r="O56" i="1"/>
  <c r="O55" i="1"/>
  <c r="M58" i="1"/>
  <c r="L58" i="1"/>
  <c r="K58" i="1"/>
  <c r="J58" i="1"/>
  <c r="I58" i="1"/>
  <c r="H58" i="1"/>
  <c r="G58" i="1"/>
  <c r="F58" i="1"/>
  <c r="E58" i="1"/>
  <c r="D58" i="1"/>
  <c r="E63" i="1"/>
  <c r="F63" i="1"/>
  <c r="G63" i="1"/>
  <c r="H63" i="1"/>
  <c r="I63" i="1"/>
  <c r="J63" i="1"/>
  <c r="K63" i="1"/>
  <c r="L63" i="1"/>
  <c r="M63" i="1"/>
  <c r="D63" i="1"/>
  <c r="E62" i="1"/>
  <c r="F62" i="1"/>
  <c r="G62" i="1"/>
  <c r="H62" i="1"/>
  <c r="I62" i="1"/>
  <c r="J62" i="1"/>
  <c r="K62" i="1"/>
  <c r="L62" i="1"/>
  <c r="M62" i="1"/>
  <c r="D62" i="1"/>
  <c r="G68" i="1" l="1"/>
  <c r="J68" i="1"/>
  <c r="J67" i="1"/>
  <c r="G67" i="1"/>
  <c r="D68" i="1"/>
  <c r="D67" i="1"/>
  <c r="E68" i="1"/>
  <c r="E67" i="1"/>
  <c r="F68" i="1"/>
  <c r="F67" i="1"/>
  <c r="H68" i="1"/>
  <c r="H67" i="1"/>
  <c r="I68" i="1"/>
  <c r="I67" i="1"/>
</calcChain>
</file>

<file path=xl/sharedStrings.xml><?xml version="1.0" encoding="utf-8"?>
<sst xmlns="http://schemas.openxmlformats.org/spreadsheetml/2006/main" count="57" uniqueCount="41">
  <si>
    <t>Group number</t>
  </si>
  <si>
    <t>Student number</t>
  </si>
  <si>
    <t>Clarity of Report</t>
  </si>
  <si>
    <t>Report Formatting</t>
  </si>
  <si>
    <t>Clarity/Relevance/Heading/Numbering of Figures/Tables</t>
  </si>
  <si>
    <t>Referencing</t>
  </si>
  <si>
    <t>Raw Total</t>
  </si>
  <si>
    <t>Number of Significant Figures/Consistent Units</t>
  </si>
  <si>
    <t>Safety and Environmental Hazards</t>
  </si>
  <si>
    <t>Process Safety Analysis (HAZOP)</t>
  </si>
  <si>
    <t>Process Control</t>
  </si>
  <si>
    <t>Economic Analysis</t>
  </si>
  <si>
    <t>Sensitivity Analysis</t>
  </si>
  <si>
    <t>Column1</t>
  </si>
  <si>
    <t xml:space="preserve">Rubric Item </t>
  </si>
  <si>
    <t>Mapped SLO</t>
  </si>
  <si>
    <t>Avg</t>
  </si>
  <si>
    <t>STD</t>
  </si>
  <si>
    <t>CHE 397 Spring 2022 HW 3</t>
  </si>
  <si>
    <t>Student Learning Outcome</t>
  </si>
  <si>
    <r>
      <t>(1)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an ability to identify, formulate, and solve complex engineering problems by applying principles of engineering, science, and mathematics.</t>
    </r>
  </si>
  <si>
    <r>
      <t>(2)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an ability to apply engineering design to produce solutions that meet specified needs with consideration of public health, safety, and welfare, as well as global, cultural, social, environmental, and economic factors.</t>
    </r>
  </si>
  <si>
    <r>
      <t>(3)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an ability to communicate effectively with a range of audiences.</t>
    </r>
  </si>
  <si>
    <r>
      <t>(4)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an ability to recognize ethical and professional responsibilities in engineering situations and make informed judgments, which must consider the impact of engineering solutions in global, economic, environmental, and societal contexts.</t>
    </r>
  </si>
  <si>
    <r>
      <t>(5)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an ability to function effectively on a team whose members together provide leadership, create a collaborative and inclusive environment, establish goals, plan tasks, and meet objectives.</t>
    </r>
  </si>
  <si>
    <r>
      <t>(6)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an ability to develop and conduct appropriate experimentation, analyze and interpret data, and use engineering judgment to draw conclusions.</t>
    </r>
  </si>
  <si>
    <r>
      <t>(7)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an ability to acquire and apply new knowledge as needed, using appropriate learning strategies.</t>
    </r>
  </si>
  <si>
    <t>1,2,3,5,6,7</t>
  </si>
  <si>
    <t>1,2,3,4,5,6,7</t>
  </si>
  <si>
    <t>Clarity/Relevance/Heading/ Numbering of Figures/ Tables</t>
  </si>
  <si>
    <t>References</t>
  </si>
  <si>
    <t>SO</t>
  </si>
  <si>
    <t>Average Score</t>
  </si>
  <si>
    <t>Standard dev.</t>
  </si>
  <si>
    <t>RESULTS BY STUDENT OUTCOME ALL ASSESSMENTS</t>
  </si>
  <si>
    <t>Satisfactory</t>
  </si>
  <si>
    <t>Developing</t>
  </si>
  <si>
    <t>Unsatisfactory</t>
  </si>
  <si>
    <t>Total</t>
  </si>
  <si>
    <t>Average for SO 1,2,3,5,6,7</t>
  </si>
  <si>
    <t>Average for SO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</si>
</sst>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5" xfId="0" applyFill="1" applyBorder="1"/>
    <xf numFmtId="0" fontId="1" fillId="2" borderId="4" xfId="0" applyFont="1" applyFill="1" applyBorder="1"/>
    <xf numFmtId="0" fontId="0" fillId="4" borderId="5" xfId="0" applyFill="1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left" vertical="center" wrapText="1" indent="6"/>
    </xf>
    <xf numFmtId="0" fontId="1" fillId="2" borderId="4" xfId="0" applyFont="1" applyFill="1" applyBorder="1" applyAlignment="1">
      <alignment wrapText="1"/>
    </xf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0" fillId="5" borderId="5" xfId="0" applyFill="1" applyBorder="1"/>
    <xf numFmtId="2" fontId="0" fillId="5" borderId="5" xfId="0" applyNumberFormat="1" applyFill="1" applyBorder="1" applyAlignment="1">
      <alignment horizontal="center"/>
    </xf>
    <xf numFmtId="0" fontId="5" fillId="5" borderId="5" xfId="0" applyFont="1" applyFill="1" applyBorder="1"/>
    <xf numFmtId="0" fontId="0" fillId="5" borderId="5" xfId="0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0" borderId="8" xfId="0" applyBorder="1" applyAlignment="1">
      <alignment horizontal="left" vertical="center" wrapText="1" indent="6"/>
    </xf>
    <xf numFmtId="0" fontId="0" fillId="0" borderId="7" xfId="0" applyBorder="1" applyAlignment="1">
      <alignment horizontal="left" vertical="center" wrapText="1" indent="6"/>
    </xf>
    <xf numFmtId="0" fontId="1" fillId="2" borderId="0" xfId="0" applyFont="1" applyFill="1" applyBorder="1" applyAlignment="1">
      <alignment wrapText="1"/>
    </xf>
    <xf numFmtId="1" fontId="0" fillId="0" borderId="0" xfId="0" applyNumberFormat="1"/>
    <xf numFmtId="1" fontId="2" fillId="0" borderId="0" xfId="0" applyNumberFormat="1" applyFont="1"/>
    <xf numFmtId="0" fontId="6" fillId="2" borderId="0" xfId="0" applyFont="1" applyFill="1" applyBorder="1" applyAlignment="1">
      <alignment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border outline="0">
        <bottom style="thin">
          <color theme="5" tint="0.39997558519241921"/>
        </bottom>
      </border>
    </dxf>
    <dxf>
      <border outline="0">
        <top style="thin">
          <color theme="5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65DF2-836E-984E-B564-6D4FACDF49CA}" name="Table1" displayName="Table1" ref="B2:O54" totalsRowShown="0" headerRowDxfId="15" dataDxfId="14" headerRowBorderDxfId="12" tableBorderDxfId="13">
  <autoFilter ref="B2:O54" xr:uid="{13065DF2-836E-984E-B564-6D4FACDF49CA}"/>
  <sortState xmlns:xlrd2="http://schemas.microsoft.com/office/spreadsheetml/2017/richdata2" ref="B3:O53">
    <sortCondition descending="1" ref="M2:M53"/>
  </sortState>
  <tableColumns count="14">
    <tableColumn id="1" xr3:uid="{5FDDE7C5-FAAE-E64D-A4FE-598826AEF139}" name="Group number"/>
    <tableColumn id="2" xr3:uid="{C73648D2-F2AC-DF4E-8039-FB37222AA469}" name="Student number"/>
    <tableColumn id="3" xr3:uid="{057E349E-7B3C-3E46-A1A7-543FF01ACA83}" name="Clarity of Report" dataDxfId="11"/>
    <tableColumn id="4" xr3:uid="{1C3AFF5D-1805-8F49-BC1D-1E666E43FDA8}" name="Report Formatting" dataDxfId="10"/>
    <tableColumn id="5" xr3:uid="{6B7C1566-4D89-D74C-B824-4668C0C600C5}" name="Number of Significant Figures/Consistent Units" dataDxfId="9"/>
    <tableColumn id="6" xr3:uid="{BFB66667-846F-D84C-A82F-0555951CA45F}" name="Clarity/Relevance/Heading/Numbering of Figures/Tables" dataDxfId="8"/>
    <tableColumn id="7" xr3:uid="{DDA8BC2B-4EB0-5349-BBBD-16BC0C1C5320}" name="Referencing" dataDxfId="7"/>
    <tableColumn id="8" xr3:uid="{84E3B869-9E69-7749-92E7-20706ABEF807}" name="Safety and Environmental Hazards" dataDxfId="6"/>
    <tableColumn id="9" xr3:uid="{93E41619-6725-CE44-89CE-7E2C127C9ACA}" name="Process Safety Analysis (HAZOP)" dataDxfId="5"/>
    <tableColumn id="10" xr3:uid="{B64B1217-0A5C-294B-A240-C4A1E3EB03DC}" name="Process Control" dataDxfId="4"/>
    <tableColumn id="11" xr3:uid="{1509E013-A5CD-AA42-8A7B-535687D948C7}" name="Economic Analysis" dataDxfId="3"/>
    <tableColumn id="12" xr3:uid="{9639A785-DF66-DA4D-B1CA-7DDB2E9EEE25}" name="Sensitivity Analysis" dataDxfId="2"/>
    <tableColumn id="13" xr3:uid="{47026998-EC26-1F4A-8E23-62B0EE4CD62E}" name="Column1" dataDxfId="1"/>
    <tableColumn id="14" xr3:uid="{831B89F5-B097-F247-BCD3-3137A9DBB7CE}" name="Raw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AE13-6FD4-D849-BF77-4CB5CD019672}">
  <dimension ref="A1:Q76"/>
  <sheetViews>
    <sheetView tabSelected="1" topLeftCell="A40" workbookViewId="0">
      <selection activeCell="Q51" sqref="Q51"/>
    </sheetView>
  </sheetViews>
  <sheetFormatPr defaultColWidth="10.6640625" defaultRowHeight="16" x14ac:dyDescent="0.8"/>
  <cols>
    <col min="3" max="3" width="26.1640625" customWidth="1"/>
    <col min="4" max="4" width="13.7890625" customWidth="1"/>
    <col min="5" max="5" width="15.7890625" customWidth="1"/>
    <col min="6" max="6" width="19.6640625" customWidth="1"/>
    <col min="7" max="7" width="15.4140625" customWidth="1"/>
    <col min="9" max="9" width="13.0390625" customWidth="1"/>
    <col min="11" max="15" width="11.5" customWidth="1"/>
    <col min="17" max="17" width="46.5" customWidth="1"/>
  </cols>
  <sheetData>
    <row r="1" spans="1:15" x14ac:dyDescent="0.8">
      <c r="A1" t="s">
        <v>18</v>
      </c>
    </row>
    <row r="2" spans="1:15" x14ac:dyDescent="0.8">
      <c r="B2" s="2" t="s">
        <v>0</v>
      </c>
      <c r="C2" s="3" t="s">
        <v>1</v>
      </c>
      <c r="D2" s="3" t="s">
        <v>2</v>
      </c>
      <c r="E2" s="3" t="s">
        <v>3</v>
      </c>
      <c r="F2" s="3" t="s">
        <v>7</v>
      </c>
      <c r="G2" s="3" t="s">
        <v>4</v>
      </c>
      <c r="H2" s="3" t="s">
        <v>5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4" t="s">
        <v>6</v>
      </c>
    </row>
    <row r="3" spans="1:15" x14ac:dyDescent="0.8">
      <c r="B3">
        <v>3</v>
      </c>
      <c r="C3">
        <v>1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O3">
        <v>100</v>
      </c>
    </row>
    <row r="4" spans="1:15" x14ac:dyDescent="0.8">
      <c r="B4">
        <v>3</v>
      </c>
      <c r="C4">
        <v>2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O4">
        <v>100</v>
      </c>
    </row>
    <row r="5" spans="1:15" x14ac:dyDescent="0.8"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O5">
        <v>100</v>
      </c>
    </row>
    <row r="6" spans="1:15" x14ac:dyDescent="0.8">
      <c r="B6">
        <v>3</v>
      </c>
      <c r="C6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O6">
        <v>100</v>
      </c>
    </row>
    <row r="7" spans="1:15" x14ac:dyDescent="0.8">
      <c r="B7">
        <v>4</v>
      </c>
      <c r="C7">
        <v>1</v>
      </c>
      <c r="D7" s="1">
        <v>3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/>
      <c r="O7" s="1">
        <v>98.4</v>
      </c>
    </row>
    <row r="8" spans="1:15" x14ac:dyDescent="0.8">
      <c r="B8">
        <v>4</v>
      </c>
      <c r="C8">
        <v>2</v>
      </c>
      <c r="D8" s="1">
        <v>3</v>
      </c>
      <c r="E8" s="1">
        <v>3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3</v>
      </c>
      <c r="L8" s="1">
        <v>3</v>
      </c>
      <c r="M8" s="1">
        <v>3</v>
      </c>
      <c r="N8" s="1"/>
      <c r="O8" s="1">
        <v>98.4</v>
      </c>
    </row>
    <row r="9" spans="1:15" x14ac:dyDescent="0.8">
      <c r="B9">
        <v>4</v>
      </c>
      <c r="C9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/>
      <c r="O9" s="1">
        <v>98.4</v>
      </c>
    </row>
    <row r="10" spans="1:15" x14ac:dyDescent="0.8">
      <c r="B10">
        <v>4</v>
      </c>
      <c r="C10">
        <v>4</v>
      </c>
      <c r="D10" s="1">
        <v>3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  <c r="J10" s="1">
        <v>3</v>
      </c>
      <c r="K10" s="1">
        <v>3</v>
      </c>
      <c r="L10" s="1">
        <v>3</v>
      </c>
      <c r="M10" s="1">
        <v>3</v>
      </c>
      <c r="N10" s="1"/>
      <c r="O10" s="1">
        <v>98.4</v>
      </c>
    </row>
    <row r="11" spans="1:15" x14ac:dyDescent="0.8">
      <c r="B11">
        <v>4</v>
      </c>
      <c r="C11">
        <v>5</v>
      </c>
      <c r="D11" s="1">
        <v>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/>
      <c r="O11" s="1">
        <v>98.4</v>
      </c>
    </row>
    <row r="12" spans="1:15" x14ac:dyDescent="0.8">
      <c r="B12">
        <v>5</v>
      </c>
      <c r="C12">
        <v>1</v>
      </c>
      <c r="D12" s="1">
        <v>3</v>
      </c>
      <c r="E12" s="1">
        <v>3</v>
      </c>
      <c r="F12" s="1">
        <v>3</v>
      </c>
      <c r="G12" s="1">
        <v>3</v>
      </c>
      <c r="H12" s="1">
        <v>3</v>
      </c>
      <c r="I12" s="1">
        <v>1</v>
      </c>
      <c r="J12" s="1">
        <v>2</v>
      </c>
      <c r="K12" s="1">
        <v>1</v>
      </c>
      <c r="L12" s="1">
        <v>3</v>
      </c>
      <c r="M12" s="1">
        <v>3</v>
      </c>
      <c r="N12" s="1"/>
      <c r="O12" s="1">
        <v>77.400000000000006</v>
      </c>
    </row>
    <row r="13" spans="1:15" x14ac:dyDescent="0.8">
      <c r="B13">
        <v>5</v>
      </c>
      <c r="C13">
        <v>2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1</v>
      </c>
      <c r="J13" s="1">
        <v>2</v>
      </c>
      <c r="K13" s="1">
        <v>1</v>
      </c>
      <c r="L13" s="1">
        <v>3</v>
      </c>
      <c r="M13" s="1">
        <v>3</v>
      </c>
      <c r="N13" s="1"/>
      <c r="O13" s="1">
        <v>77.400000000000006</v>
      </c>
    </row>
    <row r="14" spans="1:15" x14ac:dyDescent="0.8">
      <c r="B14">
        <v>5</v>
      </c>
      <c r="C14">
        <v>3</v>
      </c>
      <c r="D14" s="1">
        <v>3</v>
      </c>
      <c r="E14" s="1">
        <v>3</v>
      </c>
      <c r="F14" s="1">
        <v>3</v>
      </c>
      <c r="G14" s="1">
        <v>3</v>
      </c>
      <c r="H14" s="1">
        <v>3</v>
      </c>
      <c r="I14" s="1">
        <v>1</v>
      </c>
      <c r="J14" s="1">
        <v>2</v>
      </c>
      <c r="K14" s="1">
        <v>1</v>
      </c>
      <c r="L14" s="1">
        <v>3</v>
      </c>
      <c r="M14" s="1">
        <v>3</v>
      </c>
      <c r="N14" s="1"/>
      <c r="O14" s="1">
        <v>77.400000000000006</v>
      </c>
    </row>
    <row r="15" spans="1:15" x14ac:dyDescent="0.8">
      <c r="B15">
        <v>5</v>
      </c>
      <c r="C15">
        <v>4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1</v>
      </c>
      <c r="J15" s="1">
        <v>2</v>
      </c>
      <c r="K15" s="1">
        <v>1</v>
      </c>
      <c r="L15" s="1">
        <v>3</v>
      </c>
      <c r="M15" s="1">
        <v>3</v>
      </c>
      <c r="N15" s="1"/>
      <c r="O15" s="1">
        <v>77.400000000000006</v>
      </c>
    </row>
    <row r="16" spans="1:15" x14ac:dyDescent="0.8">
      <c r="B16">
        <v>5</v>
      </c>
      <c r="C16">
        <v>5</v>
      </c>
      <c r="D16" s="1">
        <v>3</v>
      </c>
      <c r="E16" s="1">
        <v>3</v>
      </c>
      <c r="F16" s="1">
        <v>3</v>
      </c>
      <c r="G16" s="1">
        <v>3</v>
      </c>
      <c r="H16" s="1">
        <v>3</v>
      </c>
      <c r="I16" s="1">
        <v>1</v>
      </c>
      <c r="J16" s="1">
        <v>2</v>
      </c>
      <c r="K16" s="1">
        <v>1</v>
      </c>
      <c r="L16" s="1">
        <v>3</v>
      </c>
      <c r="M16" s="1">
        <v>3</v>
      </c>
      <c r="N16" s="1"/>
      <c r="O16" s="1">
        <v>77.400000000000006</v>
      </c>
    </row>
    <row r="17" spans="2:15" x14ac:dyDescent="0.8">
      <c r="B17">
        <v>7</v>
      </c>
      <c r="C17">
        <v>1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  <c r="L17" s="1">
        <v>3</v>
      </c>
      <c r="M17" s="1">
        <v>3</v>
      </c>
      <c r="N17" s="1"/>
      <c r="O17" s="1">
        <v>98.4</v>
      </c>
    </row>
    <row r="18" spans="2:15" x14ac:dyDescent="0.8">
      <c r="B18">
        <v>7</v>
      </c>
      <c r="C18">
        <v>2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  <c r="K18" s="1">
        <v>3</v>
      </c>
      <c r="L18" s="1">
        <v>3</v>
      </c>
      <c r="M18" s="1">
        <v>3</v>
      </c>
      <c r="N18" s="1"/>
      <c r="O18" s="1">
        <v>98.4</v>
      </c>
    </row>
    <row r="19" spans="2:15" x14ac:dyDescent="0.8">
      <c r="B19">
        <v>7</v>
      </c>
      <c r="C19">
        <v>3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/>
      <c r="O19" s="1">
        <v>98.4</v>
      </c>
    </row>
    <row r="20" spans="2:15" x14ac:dyDescent="0.8">
      <c r="B20">
        <v>7</v>
      </c>
      <c r="C20">
        <v>4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/>
      <c r="O20" s="1">
        <v>98.4</v>
      </c>
    </row>
    <row r="21" spans="2:15" x14ac:dyDescent="0.8">
      <c r="B21">
        <v>7</v>
      </c>
      <c r="C21">
        <v>5</v>
      </c>
      <c r="D21" s="1">
        <v>3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/>
      <c r="O21" s="1">
        <v>98.4</v>
      </c>
    </row>
    <row r="22" spans="2:15" x14ac:dyDescent="0.8">
      <c r="B22">
        <v>11</v>
      </c>
      <c r="C22">
        <v>1</v>
      </c>
      <c r="D22" s="1">
        <v>3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3</v>
      </c>
      <c r="M22" s="1">
        <v>3</v>
      </c>
      <c r="N22" s="1"/>
      <c r="O22" s="1">
        <v>100</v>
      </c>
    </row>
    <row r="23" spans="2:15" x14ac:dyDescent="0.8">
      <c r="B23">
        <v>11</v>
      </c>
      <c r="C23">
        <v>2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/>
      <c r="O23" s="1">
        <v>100</v>
      </c>
    </row>
    <row r="24" spans="2:15" x14ac:dyDescent="0.8">
      <c r="B24">
        <v>11</v>
      </c>
      <c r="C24">
        <v>3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/>
      <c r="O24" s="1">
        <v>100</v>
      </c>
    </row>
    <row r="25" spans="2:15" x14ac:dyDescent="0.8">
      <c r="B25">
        <v>11</v>
      </c>
      <c r="C25">
        <v>4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/>
      <c r="O25" s="1">
        <v>100</v>
      </c>
    </row>
    <row r="26" spans="2:15" x14ac:dyDescent="0.8">
      <c r="B26">
        <v>1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2</v>
      </c>
      <c r="L26">
        <v>1</v>
      </c>
      <c r="M26">
        <v>2</v>
      </c>
      <c r="O26">
        <v>81</v>
      </c>
    </row>
    <row r="27" spans="2:15" x14ac:dyDescent="0.8">
      <c r="B27">
        <v>1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2</v>
      </c>
      <c r="L27">
        <v>1</v>
      </c>
      <c r="M27">
        <v>2</v>
      </c>
      <c r="O27">
        <v>81</v>
      </c>
    </row>
    <row r="28" spans="2:15" x14ac:dyDescent="0.8">
      <c r="B28">
        <v>1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2</v>
      </c>
      <c r="L28">
        <v>1</v>
      </c>
      <c r="M28">
        <v>2</v>
      </c>
      <c r="O28">
        <v>81</v>
      </c>
    </row>
    <row r="29" spans="2:15" x14ac:dyDescent="0.8">
      <c r="B29">
        <v>1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2</v>
      </c>
      <c r="L29">
        <v>1</v>
      </c>
      <c r="M29">
        <v>2</v>
      </c>
      <c r="O29">
        <v>81</v>
      </c>
    </row>
    <row r="30" spans="2:15" x14ac:dyDescent="0.8">
      <c r="B30">
        <v>8</v>
      </c>
      <c r="C30">
        <v>1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2</v>
      </c>
      <c r="N30" s="1"/>
      <c r="O30" s="1">
        <v>96</v>
      </c>
    </row>
    <row r="31" spans="2:15" x14ac:dyDescent="0.8">
      <c r="B31">
        <v>8</v>
      </c>
      <c r="C31">
        <v>2</v>
      </c>
      <c r="D31" s="1">
        <v>3</v>
      </c>
      <c r="E31" s="1">
        <v>3</v>
      </c>
      <c r="F31" s="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2</v>
      </c>
      <c r="N31" s="1"/>
      <c r="O31" s="1">
        <v>96</v>
      </c>
    </row>
    <row r="32" spans="2:15" x14ac:dyDescent="0.8">
      <c r="B32">
        <v>8</v>
      </c>
      <c r="C32">
        <v>3</v>
      </c>
      <c r="D32" s="1">
        <v>3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2</v>
      </c>
      <c r="N32" s="1"/>
      <c r="O32" s="1">
        <v>96</v>
      </c>
    </row>
    <row r="33" spans="2:15" x14ac:dyDescent="0.8">
      <c r="B33">
        <v>8</v>
      </c>
      <c r="C33">
        <v>4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2</v>
      </c>
      <c r="N33" s="1"/>
      <c r="O33" s="1">
        <v>96</v>
      </c>
    </row>
    <row r="34" spans="2:15" x14ac:dyDescent="0.8">
      <c r="B34">
        <v>8</v>
      </c>
      <c r="C34">
        <v>5</v>
      </c>
      <c r="D34" s="1">
        <v>3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3</v>
      </c>
      <c r="L34" s="1">
        <v>3</v>
      </c>
      <c r="M34" s="1">
        <v>2</v>
      </c>
      <c r="N34" s="1"/>
      <c r="O34" s="1">
        <v>96</v>
      </c>
    </row>
    <row r="35" spans="2:15" x14ac:dyDescent="0.8">
      <c r="B35">
        <v>2</v>
      </c>
      <c r="C35">
        <v>1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1</v>
      </c>
      <c r="O35">
        <v>91</v>
      </c>
    </row>
    <row r="36" spans="2:15" x14ac:dyDescent="0.8">
      <c r="B36">
        <v>2</v>
      </c>
      <c r="C36">
        <v>2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1</v>
      </c>
      <c r="O36">
        <v>91</v>
      </c>
    </row>
    <row r="37" spans="2:15" x14ac:dyDescent="0.8">
      <c r="B37">
        <v>2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1</v>
      </c>
      <c r="O37">
        <v>91</v>
      </c>
    </row>
    <row r="38" spans="2:15" x14ac:dyDescent="0.8">
      <c r="B38">
        <v>2</v>
      </c>
      <c r="C38">
        <v>4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1</v>
      </c>
      <c r="O38">
        <v>91</v>
      </c>
    </row>
    <row r="39" spans="2:15" x14ac:dyDescent="0.8">
      <c r="B39">
        <v>6</v>
      </c>
      <c r="C39">
        <v>1</v>
      </c>
      <c r="D39" s="1">
        <v>3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3</v>
      </c>
      <c r="K39" s="1">
        <v>3</v>
      </c>
      <c r="L39" s="1">
        <v>3</v>
      </c>
      <c r="M39" s="1">
        <v>1</v>
      </c>
      <c r="N39" s="1"/>
      <c r="O39" s="1">
        <v>89</v>
      </c>
    </row>
    <row r="40" spans="2:15" x14ac:dyDescent="0.8">
      <c r="B40">
        <v>6</v>
      </c>
      <c r="C40">
        <v>2</v>
      </c>
      <c r="D40" s="1">
        <v>3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1</v>
      </c>
      <c r="N40" s="1"/>
      <c r="O40" s="1">
        <v>89</v>
      </c>
    </row>
    <row r="41" spans="2:15" x14ac:dyDescent="0.8">
      <c r="B41">
        <v>6</v>
      </c>
      <c r="C41">
        <v>3</v>
      </c>
      <c r="D41" s="1">
        <v>3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  <c r="K41" s="1">
        <v>3</v>
      </c>
      <c r="L41" s="1">
        <v>3</v>
      </c>
      <c r="M41" s="1">
        <v>1</v>
      </c>
      <c r="N41" s="1"/>
      <c r="O41" s="1">
        <v>89</v>
      </c>
    </row>
    <row r="42" spans="2:15" x14ac:dyDescent="0.8">
      <c r="B42">
        <v>6</v>
      </c>
      <c r="C42">
        <v>4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3</v>
      </c>
      <c r="M42" s="1">
        <v>1</v>
      </c>
      <c r="N42" s="1"/>
      <c r="O42" s="1">
        <v>89</v>
      </c>
    </row>
    <row r="43" spans="2:15" x14ac:dyDescent="0.8">
      <c r="B43">
        <v>6</v>
      </c>
      <c r="C43">
        <v>5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3</v>
      </c>
      <c r="M43" s="1">
        <v>1</v>
      </c>
      <c r="N43" s="1"/>
      <c r="O43" s="1">
        <v>89</v>
      </c>
    </row>
    <row r="44" spans="2:15" x14ac:dyDescent="0.8">
      <c r="B44">
        <v>9</v>
      </c>
      <c r="C44">
        <v>1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2</v>
      </c>
      <c r="M44" s="1">
        <v>1</v>
      </c>
      <c r="N44" s="1"/>
      <c r="O44" s="1">
        <v>86</v>
      </c>
    </row>
    <row r="45" spans="2:15" x14ac:dyDescent="0.8">
      <c r="B45">
        <v>9</v>
      </c>
      <c r="C45">
        <v>2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2</v>
      </c>
      <c r="M45" s="1">
        <v>1</v>
      </c>
      <c r="N45" s="1"/>
      <c r="O45" s="1">
        <v>86</v>
      </c>
    </row>
    <row r="46" spans="2:15" x14ac:dyDescent="0.8">
      <c r="B46">
        <v>9</v>
      </c>
      <c r="C46">
        <v>3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>
        <v>2</v>
      </c>
      <c r="M46" s="1">
        <v>1</v>
      </c>
      <c r="N46" s="1"/>
      <c r="O46" s="1">
        <v>86</v>
      </c>
    </row>
    <row r="47" spans="2:15" x14ac:dyDescent="0.8">
      <c r="B47">
        <v>9</v>
      </c>
      <c r="C47">
        <v>4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  <c r="J47" s="1">
        <v>3</v>
      </c>
      <c r="K47" s="1">
        <v>3</v>
      </c>
      <c r="L47" s="1">
        <v>2</v>
      </c>
      <c r="M47" s="1">
        <v>1</v>
      </c>
      <c r="N47" s="1"/>
      <c r="O47" s="1">
        <v>86</v>
      </c>
    </row>
    <row r="48" spans="2:15" x14ac:dyDescent="0.8">
      <c r="B48">
        <v>9</v>
      </c>
      <c r="C48">
        <v>5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3</v>
      </c>
      <c r="L48" s="1">
        <v>2</v>
      </c>
      <c r="M48" s="1">
        <v>1</v>
      </c>
      <c r="N48" s="1"/>
      <c r="O48" s="1">
        <v>86</v>
      </c>
    </row>
    <row r="49" spans="2:16" x14ac:dyDescent="0.8">
      <c r="B49">
        <v>10</v>
      </c>
      <c r="C49">
        <v>1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2</v>
      </c>
      <c r="M49" s="1">
        <v>1</v>
      </c>
      <c r="N49" s="1"/>
      <c r="O49" s="1">
        <v>84</v>
      </c>
    </row>
    <row r="50" spans="2:16" x14ac:dyDescent="0.8">
      <c r="B50">
        <v>10</v>
      </c>
      <c r="C50">
        <v>2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3</v>
      </c>
      <c r="L50" s="1">
        <v>2</v>
      </c>
      <c r="M50" s="1">
        <v>1</v>
      </c>
      <c r="N50" s="1"/>
      <c r="O50" s="1">
        <v>84</v>
      </c>
    </row>
    <row r="51" spans="2:16" x14ac:dyDescent="0.8">
      <c r="B51">
        <v>10</v>
      </c>
      <c r="C51">
        <v>3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v>2</v>
      </c>
      <c r="M51" s="1">
        <v>1</v>
      </c>
      <c r="N51" s="1"/>
      <c r="O51" s="1">
        <v>84</v>
      </c>
    </row>
    <row r="52" spans="2:16" x14ac:dyDescent="0.8">
      <c r="B52">
        <v>10</v>
      </c>
      <c r="C52">
        <v>4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3</v>
      </c>
      <c r="L52" s="1">
        <v>2</v>
      </c>
      <c r="M52" s="1">
        <v>1</v>
      </c>
      <c r="N52" s="1"/>
      <c r="O52" s="1">
        <v>84</v>
      </c>
    </row>
    <row r="53" spans="2:16" x14ac:dyDescent="0.8">
      <c r="B53">
        <v>10</v>
      </c>
      <c r="C53">
        <v>5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3</v>
      </c>
      <c r="L53" s="1">
        <v>2</v>
      </c>
      <c r="M53" s="1">
        <v>1</v>
      </c>
      <c r="N53" s="1"/>
      <c r="O53" s="1">
        <v>84</v>
      </c>
    </row>
    <row r="54" spans="2:16" ht="48" x14ac:dyDescent="0.8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4" t="s">
        <v>39</v>
      </c>
      <c r="P54" s="21" t="s">
        <v>40</v>
      </c>
    </row>
    <row r="55" spans="2:16" x14ac:dyDescent="0.8">
      <c r="C55" t="s">
        <v>35</v>
      </c>
      <c r="D55" s="1">
        <v>51</v>
      </c>
      <c r="E55" s="1">
        <v>51</v>
      </c>
      <c r="F55" s="1">
        <v>51</v>
      </c>
      <c r="G55" s="1">
        <v>51</v>
      </c>
      <c r="H55" s="1">
        <v>51</v>
      </c>
      <c r="I55" s="1">
        <v>47</v>
      </c>
      <c r="J55" s="1">
        <v>47</v>
      </c>
      <c r="K55" s="1">
        <v>47</v>
      </c>
      <c r="L55" s="1">
        <v>37</v>
      </c>
      <c r="M55" s="1">
        <v>23</v>
      </c>
      <c r="N55" s="1"/>
      <c r="O55" s="23">
        <f>AVERAGE(D55:M55)</f>
        <v>45.6</v>
      </c>
      <c r="P55" s="22">
        <f>AVERAGE(K55:M55)</f>
        <v>35.666666666666664</v>
      </c>
    </row>
    <row r="56" spans="2:16" x14ac:dyDescent="0.8">
      <c r="C56" t="s">
        <v>36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4</v>
      </c>
      <c r="K56" s="1">
        <v>0</v>
      </c>
      <c r="L56" s="1">
        <v>10</v>
      </c>
      <c r="M56" s="1">
        <v>9</v>
      </c>
      <c r="N56" s="1"/>
      <c r="O56" s="23">
        <f t="shared" ref="O56:O57" si="0">AVERAGE(D56:M56)</f>
        <v>2.2999999999999998</v>
      </c>
      <c r="P56" s="22">
        <f t="shared" ref="P56:P57" si="1">AVERAGE(K56:M56)</f>
        <v>6.333333333333333</v>
      </c>
    </row>
    <row r="57" spans="2:16" x14ac:dyDescent="0.8">
      <c r="C57" t="s">
        <v>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4</v>
      </c>
      <c r="J57" s="1">
        <v>0</v>
      </c>
      <c r="K57" s="1">
        <v>4</v>
      </c>
      <c r="L57" s="1">
        <v>4</v>
      </c>
      <c r="M57" s="1">
        <v>19</v>
      </c>
      <c r="N57" s="1"/>
      <c r="O57" s="23">
        <f t="shared" si="0"/>
        <v>3.1</v>
      </c>
      <c r="P57" s="22">
        <f t="shared" si="1"/>
        <v>9</v>
      </c>
    </row>
    <row r="58" spans="2:16" x14ac:dyDescent="0.8">
      <c r="C58" t="s">
        <v>38</v>
      </c>
      <c r="D58">
        <f>SUM(D55:D57)</f>
        <v>51</v>
      </c>
      <c r="E58">
        <f t="shared" ref="E58:M58" si="2">SUM(E55:E57)</f>
        <v>51</v>
      </c>
      <c r="F58">
        <f t="shared" si="2"/>
        <v>51</v>
      </c>
      <c r="G58">
        <f t="shared" si="2"/>
        <v>51</v>
      </c>
      <c r="H58">
        <f t="shared" si="2"/>
        <v>51</v>
      </c>
      <c r="I58">
        <f t="shared" si="2"/>
        <v>51</v>
      </c>
      <c r="J58">
        <f t="shared" si="2"/>
        <v>51</v>
      </c>
      <c r="K58">
        <f t="shared" si="2"/>
        <v>51</v>
      </c>
      <c r="L58">
        <f t="shared" si="2"/>
        <v>51</v>
      </c>
      <c r="M58">
        <f t="shared" si="2"/>
        <v>51</v>
      </c>
      <c r="O58" s="23">
        <f>SUM(O55:O57)</f>
        <v>51</v>
      </c>
      <c r="P58" s="23">
        <f>SUM(P55:P57)</f>
        <v>51</v>
      </c>
    </row>
    <row r="60" spans="2:16" ht="59.25" x14ac:dyDescent="0.8">
      <c r="B60" s="5"/>
      <c r="C60" s="5" t="s">
        <v>14</v>
      </c>
      <c r="D60" s="6" t="s">
        <v>2</v>
      </c>
      <c r="E60" s="6" t="s">
        <v>3</v>
      </c>
      <c r="F60" s="10" t="s">
        <v>7</v>
      </c>
      <c r="G60" s="10" t="s">
        <v>29</v>
      </c>
      <c r="H60" s="6" t="s">
        <v>30</v>
      </c>
      <c r="I60" s="10" t="s">
        <v>8</v>
      </c>
      <c r="J60" s="10" t="s">
        <v>9</v>
      </c>
      <c r="K60" s="10" t="s">
        <v>10</v>
      </c>
      <c r="L60" s="10" t="s">
        <v>11</v>
      </c>
      <c r="M60" s="10" t="s">
        <v>12</v>
      </c>
    </row>
    <row r="61" spans="2:16" x14ac:dyDescent="0.8">
      <c r="B61" s="5"/>
      <c r="C61" s="5" t="s">
        <v>15</v>
      </c>
      <c r="D61" s="7" t="s">
        <v>27</v>
      </c>
      <c r="E61" s="7" t="s">
        <v>27</v>
      </c>
      <c r="F61" s="7" t="s">
        <v>27</v>
      </c>
      <c r="G61" s="7" t="s">
        <v>27</v>
      </c>
      <c r="H61" s="7" t="s">
        <v>27</v>
      </c>
      <c r="I61" s="7" t="s">
        <v>28</v>
      </c>
      <c r="J61" s="7" t="s">
        <v>28</v>
      </c>
      <c r="K61" s="7" t="s">
        <v>28</v>
      </c>
      <c r="L61" s="7" t="s">
        <v>28</v>
      </c>
      <c r="M61" s="7" t="s">
        <v>28</v>
      </c>
    </row>
    <row r="62" spans="2:16" x14ac:dyDescent="0.8">
      <c r="B62" s="5"/>
      <c r="C62" s="5" t="s">
        <v>16</v>
      </c>
      <c r="D62" s="11">
        <f>AVERAGE(Table1[Clarity of Report])</f>
        <v>3</v>
      </c>
      <c r="E62" s="11">
        <f>AVERAGE(Table1[Report Formatting])</f>
        <v>3</v>
      </c>
      <c r="F62" s="11">
        <f>AVERAGE(Table1[Number of Significant Figures/Consistent Units])</f>
        <v>3</v>
      </c>
      <c r="G62" s="11">
        <f>AVERAGE(Table1[Clarity/Relevance/Heading/Numbering of Figures/Tables])</f>
        <v>3</v>
      </c>
      <c r="H62" s="11">
        <f>AVERAGE(Table1[Referencing])</f>
        <v>3</v>
      </c>
      <c r="I62" s="12">
        <f>AVERAGE(Table1[Safety and Environmental Hazards])</f>
        <v>2.8039215686274508</v>
      </c>
      <c r="J62" s="12">
        <f>AVERAGE(Table1[Process Safety Analysis (HAZOP)])</f>
        <v>2.9019607843137254</v>
      </c>
      <c r="K62" s="12">
        <f>AVERAGE(Table1[Process Control])</f>
        <v>2.7254901960784315</v>
      </c>
      <c r="L62" s="12">
        <f>AVERAGE(Table1[Economic Analysis])</f>
        <v>2.6470588235294117</v>
      </c>
      <c r="M62" s="12">
        <f>AVERAGE(Table1[Sensitivity Analysis])</f>
        <v>2.0784313725490198</v>
      </c>
    </row>
    <row r="63" spans="2:16" ht="16" customHeight="1" x14ac:dyDescent="0.8">
      <c r="B63" s="5"/>
      <c r="C63" s="5" t="s">
        <v>17</v>
      </c>
      <c r="D63" s="11">
        <f>STDEV(Table1[Clarity of Report])</f>
        <v>0</v>
      </c>
      <c r="E63" s="11">
        <f>STDEV(Table1[Report Formatting])</f>
        <v>0</v>
      </c>
      <c r="F63" s="11">
        <f>STDEV(Table1[Number of Significant Figures/Consistent Units])</f>
        <v>0</v>
      </c>
      <c r="G63" s="11">
        <f>STDEV(Table1[Clarity/Relevance/Heading/Numbering of Figures/Tables])</f>
        <v>0</v>
      </c>
      <c r="H63" s="11">
        <f>STDEV(Table1[Referencing])</f>
        <v>0</v>
      </c>
      <c r="I63" s="12">
        <f>STDEV(Table1[Safety and Environmental Hazards])</f>
        <v>0.60065323917006441</v>
      </c>
      <c r="J63" s="12">
        <f>STDEV(Table1[Process Safety Analysis (HAZOP)])</f>
        <v>0.30032661958503176</v>
      </c>
      <c r="K63" s="12">
        <f>STDEV(Table1[Process Control])</f>
        <v>0.63493090561254095</v>
      </c>
      <c r="L63" s="12">
        <f>STDEV(Table1[Economic Analysis])</f>
        <v>0.62685020257681012</v>
      </c>
      <c r="M63" s="12">
        <f>STDEV(Table1[Sensitivity Analysis])</f>
        <v>0.91308569707124343</v>
      </c>
    </row>
    <row r="65" spans="3:17" x14ac:dyDescent="0.8">
      <c r="C65" s="15" t="s">
        <v>34</v>
      </c>
      <c r="D65" s="16"/>
      <c r="E65" s="17"/>
      <c r="F65" s="17"/>
      <c r="G65" s="17"/>
      <c r="H65" s="16"/>
      <c r="I65" s="16"/>
      <c r="J65" s="16"/>
    </row>
    <row r="66" spans="3:17" x14ac:dyDescent="0.8">
      <c r="C66" s="13" t="s">
        <v>31</v>
      </c>
      <c r="D66" s="18">
        <v>1</v>
      </c>
      <c r="E66" s="18">
        <v>2</v>
      </c>
      <c r="F66" s="18">
        <v>3</v>
      </c>
      <c r="G66" s="18">
        <v>4</v>
      </c>
      <c r="H66" s="18">
        <v>5</v>
      </c>
      <c r="I66" s="18">
        <v>6</v>
      </c>
      <c r="J66" s="18">
        <v>7</v>
      </c>
    </row>
    <row r="67" spans="3:17" ht="16.75" thickBot="1" x14ac:dyDescent="0.95">
      <c r="C67" s="13" t="s">
        <v>32</v>
      </c>
      <c r="D67" s="14">
        <f>AVERAGE($D$62:$M$62)</f>
        <v>2.8156862745098041</v>
      </c>
      <c r="E67" s="14">
        <f t="shared" ref="E67:J67" si="3">AVERAGE($D$62:$M$62)</f>
        <v>2.8156862745098041</v>
      </c>
      <c r="F67" s="14">
        <f t="shared" si="3"/>
        <v>2.8156862745098041</v>
      </c>
      <c r="G67" s="14">
        <f>AVERAGE($I$62:$M$62)</f>
        <v>2.6313725490196074</v>
      </c>
      <c r="H67" s="14">
        <f t="shared" si="3"/>
        <v>2.8156862745098041</v>
      </c>
      <c r="I67" s="14">
        <f t="shared" si="3"/>
        <v>2.8156862745098041</v>
      </c>
      <c r="J67" s="14">
        <f t="shared" si="3"/>
        <v>2.8156862745098041</v>
      </c>
    </row>
    <row r="68" spans="3:17" ht="16.75" thickBot="1" x14ac:dyDescent="0.95">
      <c r="C68" s="13" t="s">
        <v>33</v>
      </c>
      <c r="D68" s="14">
        <f>STDEV($D$62:$M$62)</f>
        <v>0.29012541093283745</v>
      </c>
      <c r="E68" s="14">
        <f>STDEV($D$62:$M$62)</f>
        <v>0.29012541093283745</v>
      </c>
      <c r="F68" s="14">
        <f>STDEV($D$62:$M$62)</f>
        <v>0.29012541093283745</v>
      </c>
      <c r="G68" s="14">
        <f>STDEV($I$62:$M$62)</f>
        <v>0.3232024491629763</v>
      </c>
      <c r="H68" s="14">
        <f t="shared" ref="H68:J68" si="4">STDEV($D$62:$M$62)</f>
        <v>0.29012541093283745</v>
      </c>
      <c r="I68" s="14">
        <f t="shared" si="4"/>
        <v>0.29012541093283745</v>
      </c>
      <c r="J68" s="14">
        <f t="shared" si="4"/>
        <v>0.29012541093283745</v>
      </c>
      <c r="Q68" s="8" t="s">
        <v>19</v>
      </c>
    </row>
    <row r="69" spans="3:17" ht="115" customHeight="1" thickBot="1" x14ac:dyDescent="0.95">
      <c r="Q69" s="9" t="s">
        <v>20</v>
      </c>
    </row>
    <row r="70" spans="3:17" ht="151" customHeight="1" thickBot="1" x14ac:dyDescent="0.95">
      <c r="Q70" s="9" t="s">
        <v>21</v>
      </c>
    </row>
    <row r="71" spans="3:17" ht="86" customHeight="1" x14ac:dyDescent="0.8">
      <c r="Q71" s="19" t="s">
        <v>22</v>
      </c>
    </row>
    <row r="72" spans="3:17" ht="6" customHeight="1" thickBot="1" x14ac:dyDescent="0.95">
      <c r="Q72" s="20"/>
    </row>
    <row r="73" spans="3:17" ht="106" customHeight="1" thickBot="1" x14ac:dyDescent="0.95">
      <c r="Q73" s="9" t="s">
        <v>23</v>
      </c>
    </row>
    <row r="74" spans="3:17" ht="109" customHeight="1" thickBot="1" x14ac:dyDescent="0.95">
      <c r="Q74" s="9" t="s">
        <v>24</v>
      </c>
    </row>
    <row r="75" spans="3:17" ht="194" customHeight="1" thickBot="1" x14ac:dyDescent="0.95">
      <c r="Q75" s="9" t="s">
        <v>25</v>
      </c>
    </row>
    <row r="76" spans="3:17" ht="99" customHeight="1" thickBot="1" x14ac:dyDescent="0.95">
      <c r="Q76" s="9" t="s">
        <v>26</v>
      </c>
    </row>
  </sheetData>
  <mergeCells count="1">
    <mergeCell ref="Q71:Q72"/>
  </mergeCells>
  <phoneticPr fontId="4" type="noConversion"/>
  <pageMargins left="0.7" right="0.7" top="0.75" bottom="0.75" header="0.3" footer="0.3"/>
  <ignoredErrors>
    <ignoredError sqref="G67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Zdunek, Alan</cp:lastModifiedBy>
  <dcterms:created xsi:type="dcterms:W3CDTF">2023-01-26T12:38:22Z</dcterms:created>
  <dcterms:modified xsi:type="dcterms:W3CDTF">2026-05-22T00:19:12Z</dcterms:modified>
</cp:coreProperties>
</file>