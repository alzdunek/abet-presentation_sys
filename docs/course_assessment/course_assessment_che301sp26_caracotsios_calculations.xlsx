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8313A433-120E-4336-809F-7ACD4D40006A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CHE 3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L27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C19" i="1"/>
  <c r="D19" i="1"/>
  <c r="B19" i="1"/>
  <c r="I18" i="1"/>
  <c r="I17" i="1"/>
  <c r="I16" i="1"/>
  <c r="J28" i="1" l="1"/>
  <c r="J27" i="1"/>
  <c r="J29" i="1"/>
  <c r="I28" i="1"/>
  <c r="I29" i="1"/>
  <c r="I27" i="1"/>
  <c r="I24" i="1"/>
  <c r="J25" i="1"/>
  <c r="I25" i="1"/>
  <c r="J24" i="1"/>
  <c r="D16" i="1"/>
  <c r="C16" i="1"/>
  <c r="B16" i="1"/>
  <c r="K25" i="1" l="1"/>
  <c r="K29" i="1"/>
  <c r="K28" i="1"/>
  <c r="K27" i="1"/>
  <c r="K24" i="1"/>
  <c r="I35" i="1"/>
  <c r="I34" i="1"/>
  <c r="J30" i="1"/>
  <c r="I30" i="1"/>
  <c r="K30" i="1" l="1"/>
</calcChain>
</file>

<file path=xl/sharedStrings.xml><?xml version="1.0" encoding="utf-8"?>
<sst xmlns="http://schemas.openxmlformats.org/spreadsheetml/2006/main" count="56" uniqueCount="48">
  <si>
    <t>Unsatisfactory</t>
  </si>
  <si>
    <t>Developing</t>
  </si>
  <si>
    <t>Satisfactory</t>
  </si>
  <si>
    <t>Average</t>
  </si>
  <si>
    <t>Student</t>
  </si>
  <si>
    <t>U</t>
  </si>
  <si>
    <t>Checksum</t>
  </si>
  <si>
    <t>S</t>
  </si>
  <si>
    <t>D</t>
  </si>
  <si>
    <t>Average Score</t>
  </si>
  <si>
    <t>RESULTS BY PERFORMANCE INDICATOR</t>
  </si>
  <si>
    <t>RATINGS</t>
  </si>
  <si>
    <t>Rubric #</t>
  </si>
  <si>
    <t>Problem</t>
  </si>
  <si>
    <t>Rubric</t>
  </si>
  <si>
    <t>PI</t>
  </si>
  <si>
    <t>Total pts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</si>
  <si>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</si>
  <si>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</si>
  <si>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</si>
  <si>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</si>
  <si>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</si>
  <si>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</si>
  <si>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</si>
  <si>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</si>
  <si>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</si>
  <si>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</si>
  <si>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Chemical Engineering Thermodynamics</t>
  </si>
  <si>
    <t>An ability to identify, formulate, and solve complex engineering problems by applying principles of engineering, science, and mathematics.</t>
  </si>
  <si>
    <t>RAW DATA</t>
  </si>
  <si>
    <t>CHE 301 Spring 2026</t>
  </si>
  <si>
    <t>Prepared by: Michael Caracotsios</t>
  </si>
  <si>
    <t>Student Learning Outcome(SLO) 1</t>
  </si>
  <si>
    <t xml:space="preserve">Assessment of Student Learning Outcome(SLO) 1 </t>
  </si>
  <si>
    <t>Mapped SLO</t>
  </si>
  <si>
    <t>Standard Deviation</t>
  </si>
  <si>
    <t>RESULTS BY STUDENT LEARNING OUTCOME</t>
  </si>
  <si>
    <r>
      <rPr>
        <b/>
        <sz val="12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</si>
  <si>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2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</si>
  <si>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2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</si>
  <si>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SLO</t>
  </si>
  <si>
    <r>
      <t xml:space="preserve">Assessment Rubric: </t>
    </r>
    <r>
      <rPr>
        <b/>
        <sz val="11"/>
        <color theme="4"/>
        <rFont val="Calibri"/>
        <family val="2"/>
        <scheme val="minor"/>
      </rPr>
      <t>Assignments #1, #2A,#2B and #3</t>
    </r>
  </si>
  <si>
    <t>1[Assign #1]</t>
  </si>
  <si>
    <t>2[Assign #2A,2B]</t>
  </si>
  <si>
    <t>4[Assign #3]</t>
  </si>
  <si>
    <t>&lt;60</t>
  </si>
  <si>
    <t>60-80</t>
  </si>
  <si>
    <t>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</si>
</sst>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3" fillId="6" borderId="0" xfId="0" applyFont="1" applyFill="1"/>
    <xf numFmtId="2" fontId="0" fillId="0" borderId="0" xfId="0" applyNumberFormat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7" borderId="5" xfId="0" applyFill="1" applyBorder="1"/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4" fillId="0" borderId="0" xfId="0" applyFont="1"/>
    <xf numFmtId="0" fontId="5" fillId="8" borderId="0" xfId="0" applyFont="1" applyFill="1"/>
    <xf numFmtId="0" fontId="0" fillId="8" borderId="0" xfId="0" applyFill="1"/>
    <xf numFmtId="0" fontId="7" fillId="0" borderId="0" xfId="0" applyFont="1"/>
    <xf numFmtId="0" fontId="6" fillId="6" borderId="0" xfId="0" applyFont="1" applyFill="1"/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2" borderId="0" xfId="0" applyFont="1" applyFill="1"/>
    <xf numFmtId="0" fontId="0" fillId="5" borderId="11" xfId="0" applyFill="1" applyBorder="1"/>
    <xf numFmtId="0" fontId="0" fillId="5" borderId="12" xfId="0" applyFill="1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0"/>
  <sheetViews>
    <sheetView tabSelected="1" topLeftCell="A15" workbookViewId="0">
      <selection activeCell="L27" sqref="L27:L29"/>
    </sheetView>
  </sheetViews>
  <sheetFormatPr defaultRowHeight="14.75" x14ac:dyDescent="0.75"/>
  <cols>
    <col min="1" max="1" width="27.7265625" customWidth="1"/>
    <col min="2" max="2" width="11.1328125" customWidth="1"/>
    <col min="3" max="3" width="14" customWidth="1"/>
    <col min="4" max="4" width="12.26953125" customWidth="1"/>
    <col min="8" max="8" width="17.7265625" customWidth="1"/>
    <col min="9" max="9" width="15.86328125" customWidth="1"/>
    <col min="11" max="11" width="16" customWidth="1"/>
    <col min="12" max="12" width="17.40625" customWidth="1"/>
    <col min="13" max="13" width="16.1328125" customWidth="1"/>
    <col min="15" max="15" width="9.1328125" customWidth="1"/>
    <col min="16" max="16" width="10.54296875" customWidth="1"/>
    <col min="17" max="17" width="12" customWidth="1"/>
    <col min="18" max="18" width="16.54296875" customWidth="1"/>
    <col min="19" max="19" width="12" customWidth="1"/>
  </cols>
  <sheetData>
    <row r="1" spans="1:20" x14ac:dyDescent="0.75">
      <c r="A1" s="6" t="s">
        <v>30</v>
      </c>
      <c r="F1" s="65" t="s">
        <v>32</v>
      </c>
      <c r="G1" s="65"/>
      <c r="H1" s="65"/>
      <c r="Q1" s="66" t="s">
        <v>29</v>
      </c>
      <c r="R1" s="67"/>
      <c r="S1" s="67"/>
    </row>
    <row r="2" spans="1:20" ht="16" x14ac:dyDescent="0.8">
      <c r="A2" s="1" t="s">
        <v>27</v>
      </c>
      <c r="F2" s="44" t="s">
        <v>28</v>
      </c>
      <c r="Q2" s="31" t="s">
        <v>42</v>
      </c>
      <c r="R2" s="31" t="s">
        <v>43</v>
      </c>
      <c r="S2" s="31" t="s">
        <v>44</v>
      </c>
    </row>
    <row r="3" spans="1:20" x14ac:dyDescent="0.75">
      <c r="A3" t="s">
        <v>33</v>
      </c>
      <c r="F3" s="41"/>
      <c r="Q3" s="29">
        <v>93</v>
      </c>
      <c r="R3" s="29">
        <v>100</v>
      </c>
      <c r="S3" s="29">
        <v>90</v>
      </c>
    </row>
    <row r="4" spans="1:20" x14ac:dyDescent="0.75">
      <c r="A4" t="s">
        <v>41</v>
      </c>
      <c r="Q4" s="29">
        <v>95</v>
      </c>
      <c r="R4" s="29">
        <v>93</v>
      </c>
      <c r="S4" s="29">
        <v>75</v>
      </c>
    </row>
    <row r="5" spans="1:20" x14ac:dyDescent="0.75">
      <c r="A5" s="1" t="s">
        <v>31</v>
      </c>
      <c r="F5" s="6" t="s">
        <v>17</v>
      </c>
      <c r="G5" s="45"/>
      <c r="H5" s="45"/>
      <c r="Q5" s="29">
        <v>77</v>
      </c>
      <c r="R5" s="29">
        <v>65</v>
      </c>
      <c r="S5" s="29">
        <v>60</v>
      </c>
    </row>
    <row r="6" spans="1:20" x14ac:dyDescent="0.75">
      <c r="F6" s="42" t="s">
        <v>18</v>
      </c>
      <c r="G6" s="43"/>
      <c r="H6" s="43"/>
      <c r="I6" s="43"/>
      <c r="J6" s="43"/>
      <c r="K6" s="43"/>
      <c r="L6" s="43"/>
      <c r="M6" s="43"/>
      <c r="Q6" s="29">
        <v>92</v>
      </c>
      <c r="R6" s="29">
        <v>96</v>
      </c>
      <c r="S6" s="29">
        <v>95</v>
      </c>
    </row>
    <row r="7" spans="1:20" x14ac:dyDescent="0.75">
      <c r="F7" s="42" t="s">
        <v>19</v>
      </c>
      <c r="G7" s="42"/>
      <c r="H7" s="42"/>
      <c r="I7" s="42"/>
      <c r="J7" s="42"/>
      <c r="K7" s="42"/>
      <c r="L7" s="42"/>
      <c r="M7" s="42"/>
      <c r="Q7" s="29">
        <v>64</v>
      </c>
      <c r="R7" s="29">
        <v>100</v>
      </c>
      <c r="S7" s="29">
        <v>100</v>
      </c>
    </row>
    <row r="8" spans="1:20" x14ac:dyDescent="0.75">
      <c r="F8" t="s">
        <v>20</v>
      </c>
      <c r="Q8" s="29">
        <v>91</v>
      </c>
      <c r="R8" s="29">
        <v>89</v>
      </c>
      <c r="S8" s="29">
        <v>90</v>
      </c>
    </row>
    <row r="9" spans="1:20" x14ac:dyDescent="0.75">
      <c r="A9" s="50" t="s">
        <v>11</v>
      </c>
      <c r="B9" s="3"/>
      <c r="C9" s="3"/>
      <c r="F9" s="42" t="s">
        <v>23</v>
      </c>
      <c r="G9" s="42"/>
      <c r="H9" s="42"/>
      <c r="I9" s="42"/>
      <c r="J9" s="42"/>
      <c r="Q9" s="29">
        <v>92</v>
      </c>
      <c r="R9" s="29">
        <v>81</v>
      </c>
      <c r="S9" s="29">
        <v>95</v>
      </c>
    </row>
    <row r="10" spans="1:20" x14ac:dyDescent="0.75">
      <c r="A10" s="3">
        <v>1</v>
      </c>
      <c r="B10" s="3" t="s">
        <v>0</v>
      </c>
      <c r="C10" s="3"/>
      <c r="F10" t="s">
        <v>24</v>
      </c>
      <c r="Q10" s="29">
        <v>71</v>
      </c>
      <c r="R10" s="29">
        <v>79</v>
      </c>
      <c r="S10" s="29">
        <v>100</v>
      </c>
    </row>
    <row r="11" spans="1:20" x14ac:dyDescent="0.75">
      <c r="A11" s="3">
        <v>2</v>
      </c>
      <c r="B11" s="3" t="s">
        <v>1</v>
      </c>
      <c r="C11" s="3"/>
      <c r="F11" t="s">
        <v>25</v>
      </c>
      <c r="Q11" s="29">
        <v>96</v>
      </c>
      <c r="R11" s="29">
        <v>94</v>
      </c>
      <c r="S11" s="29">
        <v>95</v>
      </c>
    </row>
    <row r="12" spans="1:20" x14ac:dyDescent="0.75">
      <c r="A12" s="3">
        <v>3</v>
      </c>
      <c r="B12" s="3" t="s">
        <v>2</v>
      </c>
      <c r="C12" s="3"/>
      <c r="F12" t="s">
        <v>26</v>
      </c>
      <c r="Q12" s="29">
        <v>70</v>
      </c>
      <c r="R12" s="29">
        <v>90</v>
      </c>
      <c r="S12" s="29">
        <v>55</v>
      </c>
    </row>
    <row r="13" spans="1:20" x14ac:dyDescent="0.75">
      <c r="A13" s="3"/>
      <c r="B13" s="3"/>
      <c r="C13" s="3"/>
      <c r="Q13" s="29">
        <v>83</v>
      </c>
      <c r="R13" s="29">
        <v>94</v>
      </c>
      <c r="S13" s="29">
        <v>95</v>
      </c>
      <c r="T13" t="s">
        <v>22</v>
      </c>
    </row>
    <row r="14" spans="1:20" x14ac:dyDescent="0.75">
      <c r="D14" s="55"/>
      <c r="H14" s="6" t="s">
        <v>14</v>
      </c>
      <c r="Q14" s="29">
        <v>75</v>
      </c>
      <c r="R14" s="29">
        <v>100</v>
      </c>
      <c r="S14" s="29"/>
    </row>
    <row r="15" spans="1:20" ht="16" x14ac:dyDescent="0.8">
      <c r="A15" s="38" t="s">
        <v>21</v>
      </c>
      <c r="B15" s="38">
        <v>1</v>
      </c>
      <c r="C15" s="38">
        <v>2</v>
      </c>
      <c r="D15" s="51">
        <v>4</v>
      </c>
      <c r="E15" s="53"/>
      <c r="H15" s="8" t="s">
        <v>15</v>
      </c>
      <c r="I15" s="8" t="s">
        <v>13</v>
      </c>
      <c r="J15" s="8" t="s">
        <v>16</v>
      </c>
      <c r="K15" s="8" t="s">
        <v>37</v>
      </c>
      <c r="L15" s="8" t="s">
        <v>38</v>
      </c>
      <c r="M15" s="8" t="s">
        <v>39</v>
      </c>
      <c r="Q15" s="29">
        <v>60</v>
      </c>
      <c r="R15" s="29">
        <v>73</v>
      </c>
      <c r="S15" s="29"/>
    </row>
    <row r="16" spans="1:20" x14ac:dyDescent="0.75">
      <c r="A16" s="39" t="s">
        <v>13</v>
      </c>
      <c r="B16" s="40" t="str">
        <f>I16</f>
        <v>1[Assign #1]</v>
      </c>
      <c r="C16" s="40" t="str">
        <f>I17</f>
        <v>2[Assign #2A,2B]</v>
      </c>
      <c r="D16" s="52" t="str">
        <f>I18</f>
        <v>4[Assign #3]</v>
      </c>
      <c r="E16" s="54"/>
      <c r="F16" s="2"/>
      <c r="G16" s="2"/>
      <c r="H16" s="32">
        <v>1</v>
      </c>
      <c r="I16" s="20" t="str">
        <f>Q2</f>
        <v>1[Assign #1]</v>
      </c>
      <c r="J16" s="20">
        <v>100</v>
      </c>
      <c r="K16" s="26" t="s">
        <v>45</v>
      </c>
      <c r="L16" s="27" t="s">
        <v>46</v>
      </c>
      <c r="M16" s="26" t="s">
        <v>47</v>
      </c>
      <c r="Q16" s="29">
        <v>93</v>
      </c>
      <c r="R16" s="29">
        <v>68</v>
      </c>
      <c r="S16" s="29"/>
    </row>
    <row r="17" spans="1:19" x14ac:dyDescent="0.75">
      <c r="B17" s="2"/>
      <c r="D17" s="56"/>
      <c r="H17" s="33">
        <v>2</v>
      </c>
      <c r="I17" s="21" t="str">
        <f>R2</f>
        <v>2[Assign #2A,2B]</v>
      </c>
      <c r="J17" s="21">
        <v>100</v>
      </c>
      <c r="K17" s="22" t="s">
        <v>45</v>
      </c>
      <c r="L17" s="23" t="s">
        <v>46</v>
      </c>
      <c r="M17" s="22" t="s">
        <v>47</v>
      </c>
      <c r="Q17" s="29">
        <v>82</v>
      </c>
      <c r="R17" s="29">
        <v>92</v>
      </c>
      <c r="S17" s="29"/>
    </row>
    <row r="18" spans="1:19" x14ac:dyDescent="0.75">
      <c r="A18" s="28" t="s">
        <v>4</v>
      </c>
      <c r="B18" s="2"/>
      <c r="H18" s="34">
        <v>4</v>
      </c>
      <c r="I18" s="24" t="str">
        <f>S2</f>
        <v>4[Assign #3]</v>
      </c>
      <c r="J18" s="24">
        <v>100</v>
      </c>
      <c r="K18" s="25" t="s">
        <v>45</v>
      </c>
      <c r="L18" s="25" t="s">
        <v>46</v>
      </c>
      <c r="M18" s="25" t="s">
        <v>47</v>
      </c>
      <c r="Q18" s="29">
        <v>70</v>
      </c>
      <c r="R18" s="29">
        <v>91</v>
      </c>
      <c r="S18" s="29"/>
    </row>
    <row r="19" spans="1:19" x14ac:dyDescent="0.75">
      <c r="A19" s="5">
        <v>1</v>
      </c>
      <c r="B19" s="5">
        <f>IF(Q3&gt;=80,3,IF(AND(Q3&lt;80,Q3&gt;=60),2,1))</f>
        <v>3</v>
      </c>
      <c r="C19" s="5">
        <f t="shared" ref="C19:D19" si="0">IF(R3&gt;=80,3,IF(AND(R3&lt;80,R3&gt;=60),2,1))</f>
        <v>3</v>
      </c>
      <c r="D19" s="5">
        <f t="shared" si="0"/>
        <v>3</v>
      </c>
      <c r="Q19" s="29">
        <v>74</v>
      </c>
      <c r="R19" s="29">
        <v>90</v>
      </c>
      <c r="S19" s="29"/>
    </row>
    <row r="20" spans="1:19" x14ac:dyDescent="0.75">
      <c r="A20" s="5">
        <v>2</v>
      </c>
      <c r="B20" s="5">
        <f t="shared" ref="B20:B29" si="1">IF(Q4&gt;=80,3,IF(AND(Q4&lt;80,Q4&gt;=60),2,1))</f>
        <v>3</v>
      </c>
      <c r="C20" s="5">
        <f t="shared" ref="C20:C29" si="2">IF(R4&gt;=80,3,IF(AND(R4&lt;80,R4&gt;=60),2,1))</f>
        <v>3</v>
      </c>
      <c r="D20" s="5">
        <f t="shared" ref="D20:D29" si="3">IF(S4&gt;=80,3,IF(AND(S4&lt;80,S4&gt;=60),2,1))</f>
        <v>2</v>
      </c>
      <c r="Q20" s="29">
        <v>75</v>
      </c>
      <c r="R20" s="29">
        <v>50</v>
      </c>
      <c r="S20" s="29"/>
    </row>
    <row r="21" spans="1:19" x14ac:dyDescent="0.75">
      <c r="A21" s="5">
        <v>3</v>
      </c>
      <c r="B21" s="5">
        <f t="shared" si="1"/>
        <v>2</v>
      </c>
      <c r="C21" s="5">
        <f t="shared" si="2"/>
        <v>2</v>
      </c>
      <c r="D21" s="5">
        <f t="shared" si="3"/>
        <v>2</v>
      </c>
      <c r="H21" s="59" t="s">
        <v>10</v>
      </c>
      <c r="I21" s="60"/>
      <c r="J21" s="60"/>
      <c r="K21" s="61"/>
      <c r="Q21" s="30">
        <v>94</v>
      </c>
      <c r="R21" s="30">
        <v>96</v>
      </c>
      <c r="S21" s="30"/>
    </row>
    <row r="22" spans="1:19" x14ac:dyDescent="0.75">
      <c r="A22" s="5">
        <v>4</v>
      </c>
      <c r="B22" s="5">
        <f t="shared" si="1"/>
        <v>3</v>
      </c>
      <c r="C22" s="5">
        <f t="shared" si="2"/>
        <v>3</v>
      </c>
      <c r="D22" s="5">
        <f t="shared" si="3"/>
        <v>3</v>
      </c>
      <c r="H22" s="48" t="s">
        <v>12</v>
      </c>
      <c r="I22" s="49">
        <v>1</v>
      </c>
      <c r="J22" s="49">
        <v>2</v>
      </c>
      <c r="K22" s="49">
        <v>4</v>
      </c>
      <c r="Q22" s="58"/>
      <c r="R22" s="58"/>
      <c r="S22" s="58"/>
    </row>
    <row r="23" spans="1:19" x14ac:dyDescent="0.75">
      <c r="A23" s="5">
        <v>5</v>
      </c>
      <c r="B23" s="5">
        <f t="shared" si="1"/>
        <v>2</v>
      </c>
      <c r="C23" s="5">
        <f t="shared" si="2"/>
        <v>3</v>
      </c>
      <c r="D23" s="5">
        <f t="shared" si="3"/>
        <v>3</v>
      </c>
      <c r="H23" s="46" t="s">
        <v>34</v>
      </c>
      <c r="I23" s="13">
        <v>1</v>
      </c>
      <c r="J23" s="13">
        <v>1</v>
      </c>
      <c r="K23" s="13">
        <v>1</v>
      </c>
      <c r="L23" s="2"/>
      <c r="Q23" s="57"/>
      <c r="R23" s="57"/>
      <c r="S23" s="57"/>
    </row>
    <row r="24" spans="1:19" x14ac:dyDescent="0.75">
      <c r="A24" s="5">
        <v>6</v>
      </c>
      <c r="B24" s="5">
        <f t="shared" si="1"/>
        <v>3</v>
      </c>
      <c r="C24" s="5">
        <f t="shared" si="2"/>
        <v>3</v>
      </c>
      <c r="D24" s="5">
        <f t="shared" si="3"/>
        <v>3</v>
      </c>
      <c r="H24" s="47" t="s">
        <v>3</v>
      </c>
      <c r="I24" s="10">
        <f>AVERAGE(B19:B36)</f>
        <v>2.5</v>
      </c>
      <c r="J24" s="10">
        <f>AVERAGE(C19:C36)</f>
        <v>2.6666666666666665</v>
      </c>
      <c r="K24" s="10">
        <f>AVERAGE(D19:D36)</f>
        <v>2.6363636363636362</v>
      </c>
      <c r="L24" s="7"/>
      <c r="Q24" s="57"/>
      <c r="R24" s="57"/>
      <c r="S24" s="57"/>
    </row>
    <row r="25" spans="1:19" x14ac:dyDescent="0.75">
      <c r="A25" s="5">
        <v>7</v>
      </c>
      <c r="B25" s="5">
        <f t="shared" si="1"/>
        <v>3</v>
      </c>
      <c r="C25" s="5">
        <f t="shared" si="2"/>
        <v>3</v>
      </c>
      <c r="D25" s="5">
        <f t="shared" si="3"/>
        <v>3</v>
      </c>
      <c r="H25" s="47" t="s">
        <v>35</v>
      </c>
      <c r="I25" s="10">
        <f>STDEV(B19:B36)</f>
        <v>0.51449575542752657</v>
      </c>
      <c r="J25" s="10">
        <f>STDEV(C19:C36)</f>
        <v>0.59408852578600457</v>
      </c>
      <c r="K25" s="10">
        <f>STDEV(D19:D36)</f>
        <v>0.67419986246324215</v>
      </c>
      <c r="L25" s="7"/>
    </row>
    <row r="26" spans="1:19" x14ac:dyDescent="0.75">
      <c r="A26" s="5">
        <v>8</v>
      </c>
      <c r="B26" s="5">
        <f t="shared" si="1"/>
        <v>2</v>
      </c>
      <c r="C26" s="5">
        <f t="shared" si="2"/>
        <v>2</v>
      </c>
      <c r="D26" s="5">
        <f t="shared" si="3"/>
        <v>3</v>
      </c>
      <c r="H26" s="9"/>
      <c r="I26" s="9"/>
      <c r="J26" s="9"/>
      <c r="K26" s="9"/>
    </row>
    <row r="27" spans="1:19" x14ac:dyDescent="0.75">
      <c r="A27" s="5">
        <v>9</v>
      </c>
      <c r="B27" s="5">
        <f t="shared" si="1"/>
        <v>3</v>
      </c>
      <c r="C27" s="5">
        <f t="shared" si="2"/>
        <v>3</v>
      </c>
      <c r="D27" s="5">
        <f t="shared" si="3"/>
        <v>3</v>
      </c>
      <c r="H27" s="11" t="s">
        <v>7</v>
      </c>
      <c r="I27" s="9">
        <f>COUNTIF(B19:B36,3)</f>
        <v>9</v>
      </c>
      <c r="J27" s="9">
        <f t="shared" ref="J27:K27" si="4">COUNTIF(C19:C36,3)</f>
        <v>13</v>
      </c>
      <c r="K27" s="9">
        <f t="shared" si="4"/>
        <v>8</v>
      </c>
      <c r="L27" s="68">
        <f>AVERAGE(I27:K27)</f>
        <v>10</v>
      </c>
    </row>
    <row r="28" spans="1:19" x14ac:dyDescent="0.75">
      <c r="A28" s="5">
        <v>10</v>
      </c>
      <c r="B28" s="5">
        <f t="shared" si="1"/>
        <v>2</v>
      </c>
      <c r="C28" s="5">
        <f t="shared" si="2"/>
        <v>3</v>
      </c>
      <c r="D28" s="5">
        <f t="shared" si="3"/>
        <v>1</v>
      </c>
      <c r="H28" s="11" t="s">
        <v>8</v>
      </c>
      <c r="I28" s="9">
        <f>COUNTIF(B19:B36,2)</f>
        <v>9</v>
      </c>
      <c r="J28" s="9">
        <f t="shared" ref="J28:K28" si="5">COUNTIF(C19:C36,2)</f>
        <v>4</v>
      </c>
      <c r="K28" s="9">
        <f t="shared" si="5"/>
        <v>2</v>
      </c>
      <c r="L28" s="68">
        <f t="shared" ref="L28:L29" si="6">AVERAGE(I28:K28)</f>
        <v>5</v>
      </c>
    </row>
    <row r="29" spans="1:19" x14ac:dyDescent="0.75">
      <c r="A29" s="5">
        <v>11</v>
      </c>
      <c r="B29" s="5">
        <f t="shared" si="1"/>
        <v>3</v>
      </c>
      <c r="C29" s="5">
        <f t="shared" si="2"/>
        <v>3</v>
      </c>
      <c r="D29" s="5">
        <f t="shared" si="3"/>
        <v>3</v>
      </c>
      <c r="H29" s="37" t="s">
        <v>5</v>
      </c>
      <c r="I29" s="12">
        <f>COUNTIF(B19:B36,1)</f>
        <v>0</v>
      </c>
      <c r="J29" s="12">
        <f t="shared" ref="J29:K29" si="7">COUNTIF(C19:C36,1)</f>
        <v>1</v>
      </c>
      <c r="K29" s="12">
        <f t="shared" si="7"/>
        <v>1</v>
      </c>
      <c r="L29" s="68">
        <f t="shared" si="6"/>
        <v>0.66666666666666663</v>
      </c>
    </row>
    <row r="30" spans="1:19" x14ac:dyDescent="0.75">
      <c r="A30" s="5">
        <v>12</v>
      </c>
      <c r="B30" s="5">
        <f t="shared" ref="B30:B37" si="8">IF(Q14&gt;=80,3,IF(AND(Q14&lt;80,Q14&gt;=60),2,1))</f>
        <v>2</v>
      </c>
      <c r="C30" s="5">
        <f t="shared" ref="C30:C37" si="9">IF(R14&gt;=80,3,IF(AND(R14&lt;80,R14&gt;=60),2,1))</f>
        <v>3</v>
      </c>
      <c r="D30" s="5"/>
      <c r="H30" s="36" t="s">
        <v>6</v>
      </c>
      <c r="I30" s="36">
        <f>SUM(I26:I29)</f>
        <v>18</v>
      </c>
      <c r="J30" s="36">
        <f t="shared" ref="J30:K30" si="10">SUM(J26:J29)</f>
        <v>18</v>
      </c>
      <c r="K30" s="36">
        <f t="shared" si="10"/>
        <v>11</v>
      </c>
    </row>
    <row r="31" spans="1:19" x14ac:dyDescent="0.75">
      <c r="A31" s="5">
        <v>13</v>
      </c>
      <c r="B31" s="5">
        <f t="shared" si="8"/>
        <v>2</v>
      </c>
      <c r="C31" s="5">
        <f t="shared" si="9"/>
        <v>2</v>
      </c>
      <c r="D31" s="5"/>
    </row>
    <row r="32" spans="1:19" x14ac:dyDescent="0.75">
      <c r="A32" s="5">
        <v>14</v>
      </c>
      <c r="B32" s="5">
        <f t="shared" si="8"/>
        <v>3</v>
      </c>
      <c r="C32" s="5">
        <f t="shared" si="9"/>
        <v>2</v>
      </c>
      <c r="D32" s="5"/>
      <c r="H32" s="62" t="s">
        <v>36</v>
      </c>
      <c r="I32" s="63"/>
      <c r="J32" s="64"/>
      <c r="K32" s="14"/>
    </row>
    <row r="33" spans="1:12" x14ac:dyDescent="0.75">
      <c r="A33" s="5">
        <v>15</v>
      </c>
      <c r="B33" s="5">
        <f t="shared" si="8"/>
        <v>3</v>
      </c>
      <c r="C33" s="5">
        <f t="shared" si="9"/>
        <v>3</v>
      </c>
      <c r="D33" s="5"/>
      <c r="H33" s="19" t="s">
        <v>40</v>
      </c>
      <c r="I33" s="35">
        <v>1</v>
      </c>
      <c r="J33" s="19"/>
      <c r="K33" s="15"/>
    </row>
    <row r="34" spans="1:12" x14ac:dyDescent="0.75">
      <c r="A34" s="5">
        <v>16</v>
      </c>
      <c r="B34" s="5">
        <f t="shared" si="8"/>
        <v>2</v>
      </c>
      <c r="C34" s="5">
        <f t="shared" si="9"/>
        <v>3</v>
      </c>
      <c r="D34" s="5"/>
      <c r="H34" s="15" t="s">
        <v>9</v>
      </c>
      <c r="I34" s="16">
        <f>AVERAGE(I24:K24)</f>
        <v>2.6010101010101008</v>
      </c>
      <c r="J34" s="16"/>
      <c r="K34" s="16"/>
      <c r="L34" s="7"/>
    </row>
    <row r="35" spans="1:12" x14ac:dyDescent="0.75">
      <c r="A35" s="5">
        <v>17</v>
      </c>
      <c r="B35" s="5">
        <f t="shared" si="8"/>
        <v>2</v>
      </c>
      <c r="C35" s="5">
        <f t="shared" si="9"/>
        <v>3</v>
      </c>
      <c r="D35" s="5"/>
      <c r="H35" s="17" t="s">
        <v>35</v>
      </c>
      <c r="I35" s="18">
        <f>_xlfn.STDEV.P(I24:K24)</f>
        <v>7.2488384315188434E-2</v>
      </c>
      <c r="J35" s="18"/>
      <c r="K35" s="18"/>
      <c r="L35" s="7"/>
    </row>
    <row r="36" spans="1:12" x14ac:dyDescent="0.75">
      <c r="A36" s="5">
        <v>18</v>
      </c>
      <c r="B36" s="5">
        <f t="shared" si="8"/>
        <v>2</v>
      </c>
      <c r="C36" s="5">
        <f t="shared" si="9"/>
        <v>1</v>
      </c>
      <c r="D36" s="5"/>
    </row>
    <row r="37" spans="1:12" x14ac:dyDescent="0.75">
      <c r="A37" s="5">
        <v>19</v>
      </c>
      <c r="B37" s="5">
        <f t="shared" si="8"/>
        <v>3</v>
      </c>
      <c r="C37" s="5">
        <f t="shared" si="9"/>
        <v>3</v>
      </c>
      <c r="D37" s="5"/>
    </row>
    <row r="38" spans="1:12" x14ac:dyDescent="0.75">
      <c r="A38" s="5"/>
      <c r="B38" s="5"/>
      <c r="C38" s="5"/>
      <c r="D38" s="5"/>
    </row>
    <row r="39" spans="1:12" x14ac:dyDescent="0.75">
      <c r="A39" s="5"/>
      <c r="B39" s="5"/>
      <c r="C39" s="5"/>
      <c r="D39" s="5"/>
    </row>
    <row r="40" spans="1:12" x14ac:dyDescent="0.75">
      <c r="B40" s="2"/>
    </row>
    <row r="55" spans="6:6" x14ac:dyDescent="0.75">
      <c r="F55" s="7"/>
    </row>
    <row r="56" spans="6:6" x14ac:dyDescent="0.75">
      <c r="F56" s="7"/>
    </row>
    <row r="68" spans="9:13" x14ac:dyDescent="0.75">
      <c r="I68" s="2"/>
      <c r="J68" s="2"/>
      <c r="K68" s="2"/>
      <c r="L68" s="2"/>
      <c r="M68" s="2"/>
    </row>
    <row r="153" spans="8:13" x14ac:dyDescent="0.75">
      <c r="H153" s="2"/>
      <c r="I153" s="2"/>
      <c r="J153" s="2"/>
      <c r="K153" s="2"/>
      <c r="L153" s="2"/>
      <c r="M153" s="2"/>
    </row>
    <row r="175" spans="2:2" x14ac:dyDescent="0.75">
      <c r="B175" s="4"/>
    </row>
    <row r="176" spans="2:2" x14ac:dyDescent="0.75">
      <c r="B176" s="4"/>
    </row>
    <row r="177" spans="1:2" x14ac:dyDescent="0.75">
      <c r="B177" s="4"/>
    </row>
    <row r="178" spans="1:2" x14ac:dyDescent="0.75">
      <c r="B178" s="4"/>
    </row>
    <row r="180" spans="1:2" x14ac:dyDescent="0.75">
      <c r="A180" s="1"/>
    </row>
  </sheetData>
  <sortState xmlns:xlrd2="http://schemas.microsoft.com/office/spreadsheetml/2017/richdata2" ref="D19:D39">
    <sortCondition ref="D19:D39"/>
  </sortState>
  <mergeCells count="4">
    <mergeCell ref="H21:K21"/>
    <mergeCell ref="H32:J32"/>
    <mergeCell ref="F1:H1"/>
    <mergeCell ref="Q1:S1"/>
  </mergeCells>
  <phoneticPr fontId="10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 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2026-05-21T22:45:18Z</dcterms:modified>
</cp:coreProperties>
</file>