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ocuments\ABET_2026_InProgress\2026 Self-Study Report\Criterion4-ContinuousImprovement\Course Assessments\CHE300-Level Assessment\"/>
    </mc:Choice>
  </mc:AlternateContent>
  <xr:revisionPtr revIDLastSave="0" documentId="13_ncr:1_{F5C794A2-D002-49DA-A5BE-E599CB018C4D}" xr6:coauthVersionLast="47" xr6:coauthVersionMax="47" xr10:uidLastSave="{00000000-0000-0000-0000-000000000000}"/>
  <bookViews>
    <workbookView xWindow="48480" yWindow="-120" windowWidth="29040" windowHeight="15225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56" i="1" l="1"/>
  <c r="F55" i="1"/>
  <c r="F54" i="1"/>
  <c r="C51" i="1"/>
  <c r="B51" i="1"/>
  <c r="C52" i="1"/>
  <c r="B52" i="1"/>
  <c r="B61" i="1" l="1"/>
  <c r="B62" i="1"/>
  <c r="C57" i="1"/>
  <c r="B57" i="1"/>
</calcChain>
</file>

<file path=xl/sharedStrings.xml><?xml version="1.0" encoding="utf-8"?>
<sst xmlns="http://schemas.openxmlformats.org/spreadsheetml/2006/main" count="56" uniqueCount="50">
  <si>
    <t>SO</t>
  </si>
  <si>
    <t>Unsatisfactory</t>
  </si>
  <si>
    <t>Developing</t>
  </si>
  <si>
    <t>Satisfactory</t>
  </si>
  <si>
    <t>Average</t>
  </si>
  <si>
    <t>Std Dev</t>
  </si>
  <si>
    <t>Student</t>
  </si>
  <si>
    <t>U</t>
  </si>
  <si>
    <t>Checksum</t>
  </si>
  <si>
    <t>S</t>
  </si>
  <si>
    <t>D</t>
  </si>
  <si>
    <t>Average Score</t>
  </si>
  <si>
    <t>Standard dev.</t>
  </si>
  <si>
    <t>RESULTS BY STUDENT OUTCOME</t>
  </si>
  <si>
    <t>RESULTS BY PERFORMANCE INDICATOR</t>
  </si>
  <si>
    <t>Mapped SO</t>
  </si>
  <si>
    <t>RATINGS</t>
  </si>
  <si>
    <t>Rubric #</t>
  </si>
  <si>
    <t>Problem</t>
  </si>
  <si>
    <t>Rubric</t>
  </si>
  <si>
    <t>PI</t>
  </si>
  <si>
    <t>Total pts</t>
  </si>
  <si>
    <t>an ability to identify, formulate, and solve complex engineering problems by applying principles of engineering, science, and mathematics.</t>
  </si>
  <si>
    <t>Student Learning Outcome 1</t>
  </si>
  <si>
    <t>Emphasized</t>
  </si>
  <si>
    <t>Performance Indicators:</t>
  </si>
  <si>
    <t>1. Apply mathematical and scientific principles to formulate models and systems relevant to the subject</t>
  </si>
  <si>
    <t xml:space="preserve">2. Solve engineering problems by using the concepts of algebra, calculus, differential equations and/or linear algebra </t>
  </si>
  <si>
    <t>3. Appropriate engineering interpretation of mathematical and scientific terms</t>
  </si>
  <si>
    <t>Assessment of student outcome 1 (SO1)</t>
  </si>
  <si>
    <t>Performance Indicators used</t>
  </si>
  <si>
    <t>`</t>
  </si>
  <si>
    <t>4. Translates academic theory into engineering applications</t>
  </si>
  <si>
    <t xml:space="preserve">5. Predict and defend problem outcomes </t>
  </si>
  <si>
    <t xml:space="preserve">6. The uses of appropriate resources needed to solve problems </t>
  </si>
  <si>
    <t xml:space="preserve">7. Solution creativity  and alternatives </t>
  </si>
  <si>
    <t>&lt;5</t>
  </si>
  <si>
    <t>Prepared by Sangil Kim</t>
  </si>
  <si>
    <t>Transport Phenomena III - Separation Process</t>
  </si>
  <si>
    <t>&lt;2</t>
  </si>
  <si>
    <t>5-10</t>
  </si>
  <si>
    <t>2-3</t>
  </si>
  <si>
    <t>CHE 313 Spring 2025</t>
  </si>
  <si>
    <t xml:space="preserve">2-(3) </t>
  </si>
  <si>
    <t xml:space="preserve">2-(4) </t>
  </si>
  <si>
    <t>2-(3)</t>
  </si>
  <si>
    <t>2-(4)</t>
  </si>
  <si>
    <t>&gt;3</t>
  </si>
  <si>
    <t>&gt;10</t>
  </si>
  <si>
    <t>Assessment rubric: First exam,  Problem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</si>
</sst>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000000"/>
      <name val="Georgia"/>
      <family val="1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0" fillId="2" borderId="0" xfId="0" applyFill="1"/>
    <xf numFmtId="0" fontId="0" fillId="3" borderId="0" xfId="0" applyFill="1"/>
    <xf numFmtId="0" fontId="0" fillId="3" borderId="0" xfId="0" applyFill="1" applyAlignment="1">
      <alignment horizontal="right"/>
    </xf>
    <xf numFmtId="0" fontId="0" fillId="4" borderId="0" xfId="0" applyFill="1"/>
    <xf numFmtId="2" fontId="0" fillId="4" borderId="0" xfId="0" applyNumberFormat="1" applyFill="1"/>
    <xf numFmtId="2" fontId="0" fillId="3" borderId="0" xfId="0" applyNumberFormat="1" applyFill="1"/>
    <xf numFmtId="0" fontId="1" fillId="3" borderId="0" xfId="0" applyFont="1" applyFill="1"/>
    <xf numFmtId="0" fontId="1" fillId="4" borderId="0" xfId="0" applyFont="1" applyFill="1"/>
    <xf numFmtId="0" fontId="2" fillId="0" borderId="0" xfId="0" applyFont="1"/>
    <xf numFmtId="0" fontId="0" fillId="5" borderId="0" xfId="0" applyFill="1"/>
    <xf numFmtId="0" fontId="0" fillId="5" borderId="0" xfId="0" applyFill="1" applyAlignment="1">
      <alignment horizontal="right"/>
    </xf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2" fontId="0" fillId="3" borderId="0" xfId="0" applyNumberFormat="1" applyFill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3" fillId="0" borderId="0" xfId="0" applyFont="1"/>
    <xf numFmtId="1" fontId="0" fillId="0" borderId="0" xfId="0" applyNumberFormat="1"/>
    <xf numFmtId="164" fontId="0" fillId="0" borderId="0" xfId="0" applyNumberFormat="1"/>
    <xf numFmtId="49" fontId="0" fillId="4" borderId="1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86"/>
  <sheetViews>
    <sheetView tabSelected="1" topLeftCell="A32" workbookViewId="0">
      <selection activeCell="J42" sqref="J42"/>
    </sheetView>
  </sheetViews>
  <sheetFormatPr defaultRowHeight="14.75" x14ac:dyDescent="0.75"/>
  <cols>
    <col min="1" max="1" width="27.6796875" customWidth="1"/>
    <col min="2" max="2" width="11.58984375" customWidth="1"/>
    <col min="3" max="3" width="11" customWidth="1"/>
    <col min="7" max="7" width="9.08984375" customWidth="1"/>
    <col min="10" max="10" width="16" customWidth="1"/>
    <col min="11" max="11" width="17.40625" customWidth="1"/>
    <col min="12" max="12" width="16.08984375" customWidth="1"/>
    <col min="14" max="14" width="9.08984375" customWidth="1"/>
  </cols>
  <sheetData>
    <row r="1" spans="1:21" x14ac:dyDescent="0.75">
      <c r="A1" s="1" t="s">
        <v>42</v>
      </c>
      <c r="E1" s="1" t="s">
        <v>23</v>
      </c>
    </row>
    <row r="2" spans="1:21" ht="16" x14ac:dyDescent="0.8">
      <c r="A2" s="1" t="s">
        <v>38</v>
      </c>
      <c r="E2" s="19" t="s">
        <v>22</v>
      </c>
    </row>
    <row r="3" spans="1:21" x14ac:dyDescent="0.75">
      <c r="A3" s="1" t="s">
        <v>29</v>
      </c>
      <c r="E3" t="s">
        <v>24</v>
      </c>
    </row>
    <row r="4" spans="1:21" x14ac:dyDescent="0.75">
      <c r="A4" t="s">
        <v>49</v>
      </c>
    </row>
    <row r="5" spans="1:21" x14ac:dyDescent="0.75">
      <c r="A5" t="s">
        <v>37</v>
      </c>
      <c r="E5" s="1" t="s">
        <v>25</v>
      </c>
    </row>
    <row r="6" spans="1:21" x14ac:dyDescent="0.75">
      <c r="E6" t="s">
        <v>26</v>
      </c>
    </row>
    <row r="7" spans="1:21" x14ac:dyDescent="0.75">
      <c r="E7" t="s">
        <v>27</v>
      </c>
    </row>
    <row r="8" spans="1:21" x14ac:dyDescent="0.75">
      <c r="E8" t="s">
        <v>28</v>
      </c>
    </row>
    <row r="9" spans="1:21" x14ac:dyDescent="0.75">
      <c r="A9" s="3" t="s">
        <v>16</v>
      </c>
      <c r="B9" s="3"/>
      <c r="C9" s="3"/>
      <c r="E9" t="s">
        <v>32</v>
      </c>
    </row>
    <row r="10" spans="1:21" x14ac:dyDescent="0.75">
      <c r="A10" s="3">
        <v>1</v>
      </c>
      <c r="B10" s="3" t="s">
        <v>1</v>
      </c>
      <c r="C10" s="3"/>
      <c r="E10" t="s">
        <v>33</v>
      </c>
    </row>
    <row r="11" spans="1:21" x14ac:dyDescent="0.75">
      <c r="A11" s="3">
        <v>2</v>
      </c>
      <c r="B11" s="3" t="s">
        <v>2</v>
      </c>
      <c r="C11" s="3"/>
      <c r="E11" t="s">
        <v>34</v>
      </c>
    </row>
    <row r="12" spans="1:21" x14ac:dyDescent="0.75">
      <c r="A12" s="3">
        <v>3</v>
      </c>
      <c r="B12" s="3" t="s">
        <v>3</v>
      </c>
      <c r="C12" s="3"/>
      <c r="E12" t="s">
        <v>35</v>
      </c>
    </row>
    <row r="13" spans="1:21" x14ac:dyDescent="0.75">
      <c r="A13" s="3"/>
      <c r="B13" s="3"/>
      <c r="C13" s="3"/>
      <c r="U13" t="s">
        <v>31</v>
      </c>
    </row>
    <row r="14" spans="1:21" x14ac:dyDescent="0.75">
      <c r="G14" t="s">
        <v>19</v>
      </c>
    </row>
    <row r="15" spans="1:21" x14ac:dyDescent="0.75">
      <c r="A15" s="12" t="s">
        <v>30</v>
      </c>
      <c r="B15" s="12">
        <v>1</v>
      </c>
      <c r="C15" s="12">
        <v>2</v>
      </c>
      <c r="D15" s="12">
        <v>1</v>
      </c>
      <c r="E15" s="12">
        <v>2</v>
      </c>
      <c r="G15" s="17" t="s">
        <v>20</v>
      </c>
      <c r="H15" s="17" t="s">
        <v>18</v>
      </c>
      <c r="I15" s="17" t="s">
        <v>21</v>
      </c>
      <c r="J15" s="17" t="s">
        <v>1</v>
      </c>
      <c r="K15" s="17" t="s">
        <v>2</v>
      </c>
      <c r="L15" s="17" t="s">
        <v>3</v>
      </c>
    </row>
    <row r="16" spans="1:21" x14ac:dyDescent="0.75">
      <c r="A16" s="12" t="s">
        <v>18</v>
      </c>
      <c r="B16" s="13" t="s">
        <v>43</v>
      </c>
      <c r="C16" s="13" t="s">
        <v>44</v>
      </c>
      <c r="D16" s="13" t="s">
        <v>43</v>
      </c>
      <c r="E16" s="13" t="s">
        <v>44</v>
      </c>
      <c r="F16" s="2"/>
      <c r="G16" s="17">
        <v>1</v>
      </c>
      <c r="H16" s="17" t="s">
        <v>45</v>
      </c>
      <c r="I16" s="17">
        <v>5</v>
      </c>
      <c r="J16" s="18" t="s">
        <v>39</v>
      </c>
      <c r="K16" s="22" t="s">
        <v>41</v>
      </c>
      <c r="L16" s="18" t="s">
        <v>47</v>
      </c>
    </row>
    <row r="17" spans="1:12" x14ac:dyDescent="0.75">
      <c r="B17" s="2"/>
      <c r="D17" s="2"/>
      <c r="G17" s="17">
        <v>2</v>
      </c>
      <c r="H17" s="17" t="s">
        <v>46</v>
      </c>
      <c r="I17" s="17">
        <v>15</v>
      </c>
      <c r="J17" s="18" t="s">
        <v>36</v>
      </c>
      <c r="K17" s="22" t="s">
        <v>40</v>
      </c>
      <c r="L17" s="18" t="s">
        <v>48</v>
      </c>
    </row>
    <row r="18" spans="1:12" x14ac:dyDescent="0.75">
      <c r="A18" t="s">
        <v>6</v>
      </c>
      <c r="B18" s="2"/>
      <c r="D18" s="2"/>
    </row>
    <row r="19" spans="1:12" x14ac:dyDescent="0.75">
      <c r="A19" s="14">
        <v>1</v>
      </c>
      <c r="B19" s="14">
        <v>2</v>
      </c>
      <c r="C19" s="14">
        <v>2</v>
      </c>
      <c r="D19" s="14">
        <v>3</v>
      </c>
      <c r="E19" s="14">
        <v>7</v>
      </c>
    </row>
    <row r="20" spans="1:12" x14ac:dyDescent="0.75">
      <c r="A20" s="14">
        <v>2</v>
      </c>
      <c r="B20" s="14">
        <v>1</v>
      </c>
      <c r="C20" s="14">
        <v>2</v>
      </c>
      <c r="D20" s="14">
        <v>0</v>
      </c>
      <c r="E20" s="14">
        <v>8</v>
      </c>
    </row>
    <row r="21" spans="1:12" x14ac:dyDescent="0.75">
      <c r="A21" s="14">
        <v>3</v>
      </c>
      <c r="B21" s="14">
        <v>3</v>
      </c>
      <c r="C21" s="14">
        <v>3</v>
      </c>
      <c r="D21" s="14">
        <v>5</v>
      </c>
      <c r="E21" s="14">
        <v>13</v>
      </c>
    </row>
    <row r="22" spans="1:12" x14ac:dyDescent="0.75">
      <c r="A22" s="14">
        <v>4</v>
      </c>
      <c r="B22" s="14">
        <v>3</v>
      </c>
      <c r="C22" s="14">
        <v>3</v>
      </c>
      <c r="D22" s="14">
        <v>5</v>
      </c>
      <c r="E22" s="14">
        <v>13</v>
      </c>
    </row>
    <row r="23" spans="1:12" x14ac:dyDescent="0.75">
      <c r="A23" s="14">
        <v>5</v>
      </c>
      <c r="B23" s="14">
        <v>3</v>
      </c>
      <c r="C23" s="14">
        <v>3</v>
      </c>
      <c r="D23" s="14">
        <v>5</v>
      </c>
      <c r="E23" s="14">
        <v>12</v>
      </c>
    </row>
    <row r="24" spans="1:12" x14ac:dyDescent="0.75">
      <c r="A24" s="14">
        <v>6</v>
      </c>
      <c r="B24" s="14">
        <v>2</v>
      </c>
      <c r="C24" s="14">
        <v>2</v>
      </c>
      <c r="D24" s="14">
        <v>2</v>
      </c>
      <c r="E24" s="14">
        <v>5</v>
      </c>
    </row>
    <row r="25" spans="1:12" x14ac:dyDescent="0.75">
      <c r="A25" s="14">
        <v>7</v>
      </c>
      <c r="B25" s="14">
        <v>2</v>
      </c>
      <c r="C25" s="14">
        <v>2</v>
      </c>
      <c r="D25" s="14">
        <v>2</v>
      </c>
      <c r="E25" s="14">
        <v>5</v>
      </c>
    </row>
    <row r="26" spans="1:12" x14ac:dyDescent="0.75">
      <c r="A26" s="14">
        <v>8</v>
      </c>
      <c r="B26" s="14">
        <v>2</v>
      </c>
      <c r="C26" s="14">
        <v>2</v>
      </c>
      <c r="D26" s="14">
        <v>3</v>
      </c>
      <c r="E26" s="14">
        <v>7</v>
      </c>
    </row>
    <row r="27" spans="1:12" x14ac:dyDescent="0.75">
      <c r="A27" s="14">
        <v>9</v>
      </c>
      <c r="B27" s="14">
        <v>3</v>
      </c>
      <c r="C27" s="14">
        <v>3</v>
      </c>
      <c r="D27" s="14">
        <v>5</v>
      </c>
      <c r="E27" s="14">
        <v>14</v>
      </c>
    </row>
    <row r="28" spans="1:12" x14ac:dyDescent="0.75">
      <c r="A28" s="14">
        <v>10</v>
      </c>
      <c r="B28" s="14">
        <v>2</v>
      </c>
      <c r="C28" s="14">
        <v>2</v>
      </c>
      <c r="D28" s="14">
        <v>2</v>
      </c>
      <c r="E28" s="14">
        <v>9</v>
      </c>
    </row>
    <row r="29" spans="1:12" x14ac:dyDescent="0.75">
      <c r="A29" s="14">
        <v>11</v>
      </c>
      <c r="B29" s="14">
        <v>3</v>
      </c>
      <c r="C29" s="14">
        <v>3</v>
      </c>
      <c r="D29" s="14">
        <v>4</v>
      </c>
      <c r="E29" s="14">
        <v>14</v>
      </c>
    </row>
    <row r="30" spans="1:12" x14ac:dyDescent="0.75">
      <c r="A30" s="14">
        <v>12</v>
      </c>
      <c r="B30" s="14">
        <v>2</v>
      </c>
      <c r="C30" s="14">
        <v>2</v>
      </c>
      <c r="D30" s="14">
        <v>3</v>
      </c>
      <c r="E30" s="14">
        <v>5</v>
      </c>
    </row>
    <row r="31" spans="1:12" x14ac:dyDescent="0.75">
      <c r="A31" s="14">
        <v>13</v>
      </c>
      <c r="B31" s="14">
        <v>3</v>
      </c>
      <c r="C31" s="14">
        <v>3</v>
      </c>
      <c r="D31" s="14">
        <v>5</v>
      </c>
      <c r="E31" s="14">
        <v>13</v>
      </c>
    </row>
    <row r="32" spans="1:12" x14ac:dyDescent="0.75">
      <c r="A32" s="14">
        <v>14</v>
      </c>
      <c r="B32" s="14">
        <v>3</v>
      </c>
      <c r="C32" s="14">
        <v>1</v>
      </c>
      <c r="D32" s="14">
        <v>4</v>
      </c>
      <c r="E32" s="14">
        <v>2</v>
      </c>
    </row>
    <row r="33" spans="1:5" x14ac:dyDescent="0.75">
      <c r="A33" s="14">
        <v>15</v>
      </c>
      <c r="B33" s="14">
        <v>2</v>
      </c>
      <c r="C33" s="14">
        <v>1</v>
      </c>
      <c r="D33" s="14">
        <v>3</v>
      </c>
      <c r="E33" s="14">
        <v>3</v>
      </c>
    </row>
    <row r="34" spans="1:5" x14ac:dyDescent="0.75">
      <c r="A34" s="14">
        <v>16</v>
      </c>
      <c r="B34" s="14">
        <v>3</v>
      </c>
      <c r="C34" s="14">
        <v>3</v>
      </c>
      <c r="D34" s="14">
        <v>5</v>
      </c>
      <c r="E34" s="14">
        <v>10</v>
      </c>
    </row>
    <row r="35" spans="1:5" x14ac:dyDescent="0.75">
      <c r="A35" s="14">
        <v>17</v>
      </c>
      <c r="B35" s="14">
        <v>2</v>
      </c>
      <c r="C35" s="14">
        <v>2</v>
      </c>
      <c r="D35" s="14">
        <v>3</v>
      </c>
      <c r="E35" s="14">
        <v>7</v>
      </c>
    </row>
    <row r="36" spans="1:5" x14ac:dyDescent="0.75">
      <c r="A36" s="14">
        <v>18</v>
      </c>
      <c r="B36" s="14">
        <v>3</v>
      </c>
      <c r="C36" s="14">
        <v>3</v>
      </c>
      <c r="D36" s="14">
        <v>4</v>
      </c>
      <c r="E36" s="14">
        <v>13</v>
      </c>
    </row>
    <row r="37" spans="1:5" x14ac:dyDescent="0.75">
      <c r="A37" s="14">
        <v>19</v>
      </c>
      <c r="B37" s="14">
        <v>1</v>
      </c>
      <c r="C37" s="14">
        <v>2</v>
      </c>
      <c r="D37" s="14">
        <v>1</v>
      </c>
      <c r="E37" s="14">
        <v>5</v>
      </c>
    </row>
    <row r="38" spans="1:5" x14ac:dyDescent="0.75">
      <c r="A38" s="14">
        <v>20</v>
      </c>
      <c r="B38" s="14">
        <v>3</v>
      </c>
      <c r="C38" s="14">
        <v>3</v>
      </c>
      <c r="D38" s="14">
        <v>5</v>
      </c>
      <c r="E38" s="14">
        <v>15</v>
      </c>
    </row>
    <row r="39" spans="1:5" x14ac:dyDescent="0.75">
      <c r="A39" s="14"/>
      <c r="B39" s="14"/>
      <c r="C39" s="14"/>
      <c r="D39" s="20"/>
      <c r="E39" s="21"/>
    </row>
    <row r="40" spans="1:5" x14ac:dyDescent="0.75">
      <c r="A40" s="14"/>
      <c r="B40" s="14"/>
      <c r="C40" s="14"/>
      <c r="D40" s="20"/>
      <c r="E40" s="21"/>
    </row>
    <row r="41" spans="1:5" x14ac:dyDescent="0.75">
      <c r="A41" s="14"/>
      <c r="B41" s="14"/>
      <c r="C41" s="14"/>
      <c r="D41" s="20"/>
      <c r="E41" s="21"/>
    </row>
    <row r="42" spans="1:5" x14ac:dyDescent="0.75">
      <c r="A42" s="14"/>
      <c r="B42" s="14"/>
      <c r="C42" s="14"/>
      <c r="D42" s="20"/>
      <c r="E42" s="21"/>
    </row>
    <row r="43" spans="1:5" x14ac:dyDescent="0.75">
      <c r="A43" s="14"/>
      <c r="B43" s="14"/>
      <c r="C43" s="14"/>
      <c r="D43" s="20"/>
      <c r="E43" s="21"/>
    </row>
    <row r="44" spans="1:5" x14ac:dyDescent="0.75">
      <c r="A44" s="14"/>
      <c r="B44" s="14"/>
      <c r="C44" s="14"/>
      <c r="D44" s="20"/>
      <c r="E44" s="21"/>
    </row>
    <row r="45" spans="1:5" x14ac:dyDescent="0.75">
      <c r="A45" s="14"/>
      <c r="B45" s="14"/>
      <c r="C45" s="14"/>
    </row>
    <row r="46" spans="1:5" x14ac:dyDescent="0.75">
      <c r="B46" s="2"/>
    </row>
    <row r="48" spans="1:5" x14ac:dyDescent="0.75">
      <c r="A48" s="9" t="s">
        <v>14</v>
      </c>
      <c r="B48" s="4"/>
      <c r="C48" s="4"/>
      <c r="D48" s="4"/>
    </row>
    <row r="49" spans="1:6" x14ac:dyDescent="0.75">
      <c r="A49" s="15" t="s">
        <v>17</v>
      </c>
      <c r="B49" s="15">
        <v>1</v>
      </c>
      <c r="C49" s="15">
        <v>2</v>
      </c>
      <c r="D49" s="4"/>
    </row>
    <row r="50" spans="1:6" x14ac:dyDescent="0.75">
      <c r="A50" s="15" t="s">
        <v>15</v>
      </c>
      <c r="B50" s="15">
        <v>1</v>
      </c>
      <c r="C50" s="15">
        <v>1</v>
      </c>
      <c r="D50" s="5"/>
    </row>
    <row r="51" spans="1:6" x14ac:dyDescent="0.75">
      <c r="A51" s="15" t="s">
        <v>4</v>
      </c>
      <c r="B51" s="16">
        <f>AVERAGE(B19:B44)</f>
        <v>2.4</v>
      </c>
      <c r="C51" s="16">
        <f>AVERAGE(C19:C44)</f>
        <v>2.35</v>
      </c>
      <c r="D51" s="8"/>
    </row>
    <row r="52" spans="1:6" x14ac:dyDescent="0.75">
      <c r="A52" s="15" t="s">
        <v>5</v>
      </c>
      <c r="B52" s="16">
        <f>STDEV(B19:B44)</f>
        <v>0.68055704737872047</v>
      </c>
      <c r="C52" s="16">
        <f>STDEV(C19:C44)</f>
        <v>0.67082039324993681</v>
      </c>
      <c r="D52" s="8"/>
    </row>
    <row r="53" spans="1:6" x14ac:dyDescent="0.75">
      <c r="A53" s="15"/>
      <c r="B53" s="15"/>
      <c r="C53" s="15"/>
      <c r="D53" s="4"/>
    </row>
    <row r="54" spans="1:6" x14ac:dyDescent="0.75">
      <c r="A54" s="15" t="s">
        <v>9</v>
      </c>
      <c r="B54" s="15">
        <v>10</v>
      </c>
      <c r="C54" s="15">
        <v>8</v>
      </c>
      <c r="D54" s="4"/>
      <c r="F54">
        <f>AVERAGE(B54:C54)</f>
        <v>9</v>
      </c>
    </row>
    <row r="55" spans="1:6" x14ac:dyDescent="0.75">
      <c r="A55" s="15" t="s">
        <v>10</v>
      </c>
      <c r="B55" s="15">
        <v>8</v>
      </c>
      <c r="C55" s="15">
        <v>10</v>
      </c>
      <c r="D55" s="4"/>
      <c r="F55">
        <f>AVERAGE(B55:C55)</f>
        <v>9</v>
      </c>
    </row>
    <row r="56" spans="1:6" x14ac:dyDescent="0.75">
      <c r="A56" s="15" t="s">
        <v>7</v>
      </c>
      <c r="B56" s="15">
        <v>2</v>
      </c>
      <c r="C56" s="15">
        <v>2</v>
      </c>
      <c r="D56" s="4"/>
      <c r="F56">
        <f>AVERAGE(B56:C56)</f>
        <v>2</v>
      </c>
    </row>
    <row r="57" spans="1:6" x14ac:dyDescent="0.75">
      <c r="A57" s="15" t="s">
        <v>8</v>
      </c>
      <c r="B57" s="15">
        <f>SUM(B53:B56)</f>
        <v>20</v>
      </c>
      <c r="C57" s="15">
        <f t="shared" ref="C57" si="0">SUM(C53:C56)</f>
        <v>20</v>
      </c>
      <c r="D57" s="4"/>
    </row>
    <row r="59" spans="1:6" x14ac:dyDescent="0.75">
      <c r="A59" s="10" t="s">
        <v>13</v>
      </c>
      <c r="B59" s="6"/>
      <c r="C59" s="6"/>
      <c r="D59" s="6"/>
      <c r="E59" s="6"/>
    </row>
    <row r="60" spans="1:6" x14ac:dyDescent="0.75">
      <c r="A60" s="6" t="s">
        <v>0</v>
      </c>
      <c r="B60" s="6">
        <v>1</v>
      </c>
      <c r="C60" s="6"/>
      <c r="D60" s="6"/>
      <c r="E60" s="6"/>
    </row>
    <row r="61" spans="1:6" x14ac:dyDescent="0.75">
      <c r="A61" s="6" t="s">
        <v>11</v>
      </c>
      <c r="B61" s="7">
        <f>AVERAGE(B51:C51)</f>
        <v>2.375</v>
      </c>
      <c r="C61" s="7"/>
      <c r="D61" s="7"/>
      <c r="E61" s="7"/>
    </row>
    <row r="62" spans="1:6" x14ac:dyDescent="0.75">
      <c r="A62" s="6" t="s">
        <v>12</v>
      </c>
      <c r="B62" s="7">
        <f>_xlfn.STDEV.P(B51:C51)</f>
        <v>2.4999999999999911E-2</v>
      </c>
      <c r="C62" s="7"/>
      <c r="D62" s="7"/>
      <c r="E62" s="7"/>
    </row>
    <row r="73" spans="8:12" x14ac:dyDescent="0.75">
      <c r="H73" s="2"/>
      <c r="I73" s="2"/>
      <c r="J73" s="2"/>
      <c r="K73" s="2"/>
      <c r="L73" s="2"/>
    </row>
    <row r="158" spans="7:12" x14ac:dyDescent="0.75">
      <c r="G158" s="2"/>
      <c r="H158" s="2"/>
      <c r="I158" s="2"/>
      <c r="J158" s="2"/>
      <c r="K158" s="2"/>
      <c r="L158" s="2"/>
    </row>
    <row r="181" spans="1:2" x14ac:dyDescent="0.75">
      <c r="B181" s="11"/>
    </row>
    <row r="182" spans="1:2" x14ac:dyDescent="0.75">
      <c r="B182" s="11"/>
    </row>
    <row r="183" spans="1:2" x14ac:dyDescent="0.75">
      <c r="B183" s="11"/>
    </row>
    <row r="184" spans="1:2" x14ac:dyDescent="0.75">
      <c r="B184" s="11"/>
    </row>
    <row r="186" spans="1:2" x14ac:dyDescent="0.75">
      <c r="A186" s="1"/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75" x14ac:dyDescent="0.7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75" x14ac:dyDescent="0.75"/>
  <sheetData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202cd47-7a56-4baa-99e3-e3b71a7c77dd}" enabled="0" method="" siteId="{e202cd47-7a56-4baa-99e3-e3b71a7c77d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Ludwig C. Nitsche</dc:creator>
  <cp:lastModifiedBy>Zdunek, Alan</cp:lastModifiedBy>
  <dcterms:created xsi:type="dcterms:W3CDTF">2013-01-15T05:38:26Z</dcterms:created>
  <dcterms:modified xsi:type="dcterms:W3CDTF">2026-05-21T21:34:26Z</dcterms:modified>
</cp:coreProperties>
</file>