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ocuments\ABET_2026_InProgress\2026 Self-Study Report\Criterion4-ContinuousImprovement\Course Assessments\CHE200-Level Assessment\"/>
    </mc:Choice>
  </mc:AlternateContent>
  <xr:revisionPtr revIDLastSave="0" documentId="13_ncr:1_{633BA56A-9FA7-47F6-A33B-4254FC2C7721}" xr6:coauthVersionLast="47" xr6:coauthVersionMax="47" xr10:uidLastSave="{00000000-0000-0000-0000-000000000000}"/>
  <bookViews>
    <workbookView xWindow="48480" yWindow="-120" windowWidth="29040" windowHeight="15225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0" i="1" l="1"/>
  <c r="I49" i="1"/>
  <c r="I48" i="1"/>
  <c r="I47" i="1"/>
  <c r="I46" i="1"/>
  <c r="H48" i="1"/>
  <c r="H47" i="1"/>
  <c r="H46" i="1"/>
  <c r="B54" i="1"/>
  <c r="B53" i="1"/>
  <c r="C49" i="1"/>
  <c r="D49" i="1"/>
  <c r="E49" i="1"/>
  <c r="F49" i="1"/>
  <c r="C46" i="1"/>
  <c r="D46" i="1"/>
  <c r="E46" i="1"/>
  <c r="F46" i="1"/>
  <c r="C47" i="1"/>
  <c r="D47" i="1"/>
  <c r="E47" i="1"/>
  <c r="F47" i="1"/>
  <c r="C48" i="1"/>
  <c r="D48" i="1"/>
  <c r="E48" i="1"/>
  <c r="F48" i="1"/>
  <c r="B48" i="1"/>
  <c r="B47" i="1"/>
  <c r="B46" i="1"/>
  <c r="C44" i="1"/>
  <c r="D44" i="1"/>
  <c r="E44" i="1"/>
  <c r="F44" i="1"/>
  <c r="C43" i="1"/>
  <c r="D43" i="1"/>
  <c r="E43" i="1"/>
  <c r="F43" i="1"/>
  <c r="B44" i="1"/>
  <c r="B43" i="1"/>
  <c r="B49" i="1" l="1"/>
</calcChain>
</file>

<file path=xl/sharedStrings.xml><?xml version="1.0" encoding="utf-8"?>
<sst xmlns="http://schemas.openxmlformats.org/spreadsheetml/2006/main" count="41" uniqueCount="38">
  <si>
    <t>SO</t>
  </si>
  <si>
    <t>Unsatisfactory</t>
  </si>
  <si>
    <t>Developing</t>
  </si>
  <si>
    <t>Satisfactory</t>
  </si>
  <si>
    <t>Average</t>
  </si>
  <si>
    <t>Std Dev</t>
  </si>
  <si>
    <t>Student</t>
  </si>
  <si>
    <t>U</t>
  </si>
  <si>
    <t>Checksum</t>
  </si>
  <si>
    <t>S</t>
  </si>
  <si>
    <t>D</t>
  </si>
  <si>
    <t>Average Score</t>
  </si>
  <si>
    <t>Standard dev.</t>
  </si>
  <si>
    <t>RESULTS BY STUDENT OUTCOME</t>
  </si>
  <si>
    <t>RESULTS BY PERFORMANCE INDICATOR</t>
  </si>
  <si>
    <t>Mapped SO</t>
  </si>
  <si>
    <t>RATINGS</t>
  </si>
  <si>
    <t>an ability to identify, formulate, and solve complex engineering problems by applying principles of engineering, science, and mathematics.</t>
  </si>
  <si>
    <t>Student Learning Outcome 1</t>
  </si>
  <si>
    <t>Emphasized</t>
  </si>
  <si>
    <t>Performance Indicators:</t>
  </si>
  <si>
    <t>1. Apply mathematical and scientific principles to formulate models and systems relevant to the subject</t>
  </si>
  <si>
    <t xml:space="preserve">2. Solve engineering problems by using the concepts of algebra, calculus, differential equations and/or linear algebra </t>
  </si>
  <si>
    <t>3. Appropriate engineering interpretation of mathematical and scientific terms</t>
  </si>
  <si>
    <t>Assessment of student outcome 1 (SO1)</t>
  </si>
  <si>
    <t>Performance Indicators used</t>
  </si>
  <si>
    <t>`</t>
  </si>
  <si>
    <t>4. Translates academic theory into engineering applications</t>
  </si>
  <si>
    <t xml:space="preserve">5. Predict and defend problem outcomes </t>
  </si>
  <si>
    <t xml:space="preserve">6. The uses of appropriate resources needed to solve problems </t>
  </si>
  <si>
    <t xml:space="preserve">7. Solution creativity  and alternatives </t>
  </si>
  <si>
    <t xml:space="preserve"> </t>
  </si>
  <si>
    <t>Rubric item (PI)</t>
  </si>
  <si>
    <t>Prepared by E.C Achinivu-Ibagere</t>
  </si>
  <si>
    <t>CHE 230 Spring 2022</t>
  </si>
  <si>
    <t>Molecular Systems in Chemical Engineering</t>
  </si>
  <si>
    <t>Assessment rubric: First Midterm Exam,  Problem 11</t>
  </si>
  <si>
    <t>S+D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</si>
</sst>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Georgia"/>
      <family val="1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2" borderId="0" xfId="0" applyFill="1"/>
    <xf numFmtId="0" fontId="0" fillId="3" borderId="0" xfId="0" applyFill="1"/>
    <xf numFmtId="0" fontId="0" fillId="4" borderId="0" xfId="0" applyFill="1"/>
    <xf numFmtId="2" fontId="0" fillId="4" borderId="0" xfId="0" applyNumberFormat="1" applyFill="1"/>
    <xf numFmtId="0" fontId="1" fillId="3" borderId="0" xfId="0" applyFont="1" applyFill="1"/>
    <xf numFmtId="0" fontId="1" fillId="4" borderId="0" xfId="0" applyFont="1" applyFill="1"/>
    <xf numFmtId="0" fontId="2" fillId="0" borderId="0" xfId="0" applyFont="1"/>
    <xf numFmtId="0" fontId="0" fillId="5" borderId="0" xfId="0" applyFill="1"/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2" fontId="0" fillId="3" borderId="0" xfId="0" applyNumberFormat="1" applyFill="1" applyAlignment="1">
      <alignment horizontal="center"/>
    </xf>
    <xf numFmtId="0" fontId="3" fillId="0" borderId="0" xfId="0" applyFont="1"/>
    <xf numFmtId="0" fontId="0" fillId="6" borderId="0" xfId="0" applyFill="1"/>
    <xf numFmtId="0" fontId="0" fillId="5" borderId="0" xfId="0" applyFill="1" applyAlignment="1">
      <alignment horizontal="center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78"/>
  <sheetViews>
    <sheetView tabSelected="1" topLeftCell="A30" workbookViewId="0">
      <selection activeCell="I51" sqref="I51"/>
    </sheetView>
  </sheetViews>
  <sheetFormatPr defaultRowHeight="14.75" x14ac:dyDescent="0.75"/>
  <cols>
    <col min="1" max="1" width="27.7265625" customWidth="1"/>
    <col min="2" max="2" width="11.54296875" customWidth="1"/>
    <col min="3" max="3" width="11" customWidth="1"/>
    <col min="8" max="8" width="9.1328125" customWidth="1"/>
    <col min="11" max="11" width="16" customWidth="1"/>
    <col min="12" max="12" width="17.40625" customWidth="1"/>
    <col min="13" max="13" width="16.1328125" customWidth="1"/>
    <col min="15" max="15" width="9.1328125" customWidth="1"/>
  </cols>
  <sheetData>
    <row r="1" spans="1:22" x14ac:dyDescent="0.75">
      <c r="A1" s="1" t="s">
        <v>34</v>
      </c>
      <c r="F1" s="1" t="s">
        <v>18</v>
      </c>
    </row>
    <row r="2" spans="1:22" ht="16" x14ac:dyDescent="0.8">
      <c r="A2" s="1" t="s">
        <v>35</v>
      </c>
      <c r="F2" s="14" t="s">
        <v>17</v>
      </c>
    </row>
    <row r="3" spans="1:22" x14ac:dyDescent="0.75">
      <c r="A3" s="1" t="s">
        <v>24</v>
      </c>
      <c r="F3" t="s">
        <v>19</v>
      </c>
    </row>
    <row r="4" spans="1:22" x14ac:dyDescent="0.75">
      <c r="A4" t="s">
        <v>36</v>
      </c>
    </row>
    <row r="5" spans="1:22" x14ac:dyDescent="0.75">
      <c r="A5" t="s">
        <v>33</v>
      </c>
      <c r="F5" s="1" t="s">
        <v>20</v>
      </c>
    </row>
    <row r="6" spans="1:22" x14ac:dyDescent="0.75">
      <c r="F6" s="15" t="s">
        <v>21</v>
      </c>
      <c r="G6" s="15"/>
      <c r="H6" s="15"/>
      <c r="I6" s="15"/>
      <c r="J6" s="15"/>
      <c r="K6" s="15"/>
      <c r="L6" s="15"/>
      <c r="M6" s="15"/>
    </row>
    <row r="7" spans="1:22" x14ac:dyDescent="0.75">
      <c r="F7" s="15" t="s">
        <v>22</v>
      </c>
      <c r="G7" s="15"/>
      <c r="H7" s="15"/>
      <c r="I7" s="15"/>
      <c r="J7" s="15"/>
      <c r="K7" s="15"/>
      <c r="L7" s="15"/>
      <c r="M7" s="15"/>
      <c r="N7" s="15"/>
    </row>
    <row r="8" spans="1:22" x14ac:dyDescent="0.75">
      <c r="F8" s="15" t="s">
        <v>23</v>
      </c>
      <c r="G8" s="15"/>
      <c r="H8" s="15"/>
      <c r="I8" s="15"/>
      <c r="J8" s="15"/>
      <c r="K8" s="15"/>
      <c r="L8" s="15"/>
    </row>
    <row r="9" spans="1:22" x14ac:dyDescent="0.75">
      <c r="A9" s="3" t="s">
        <v>16</v>
      </c>
      <c r="B9" s="3"/>
      <c r="C9" s="3"/>
      <c r="F9" s="15" t="s">
        <v>27</v>
      </c>
      <c r="G9" s="15"/>
      <c r="H9" s="15"/>
      <c r="I9" s="15"/>
      <c r="J9" s="15"/>
      <c r="K9" s="15"/>
    </row>
    <row r="10" spans="1:22" x14ac:dyDescent="0.75">
      <c r="A10" s="3">
        <v>1</v>
      </c>
      <c r="B10" s="3" t="s">
        <v>1</v>
      </c>
      <c r="C10" s="3"/>
      <c r="F10" t="s">
        <v>28</v>
      </c>
      <c r="N10" t="s">
        <v>31</v>
      </c>
    </row>
    <row r="11" spans="1:22" x14ac:dyDescent="0.75">
      <c r="A11" s="3">
        <v>2</v>
      </c>
      <c r="B11" s="3" t="s">
        <v>2</v>
      </c>
      <c r="C11" s="3"/>
      <c r="F11" s="15" t="s">
        <v>29</v>
      </c>
      <c r="G11" s="15"/>
      <c r="H11" s="15"/>
      <c r="I11" s="15"/>
      <c r="J11" s="15"/>
      <c r="K11" s="15"/>
    </row>
    <row r="12" spans="1:22" x14ac:dyDescent="0.75">
      <c r="A12" s="3">
        <v>3</v>
      </c>
      <c r="B12" s="3" t="s">
        <v>3</v>
      </c>
      <c r="C12" s="3"/>
      <c r="F12" t="s">
        <v>30</v>
      </c>
    </row>
    <row r="13" spans="1:22" x14ac:dyDescent="0.75">
      <c r="A13" s="3"/>
      <c r="B13" s="3"/>
      <c r="C13" s="3"/>
      <c r="V13" t="s">
        <v>26</v>
      </c>
    </row>
    <row r="15" spans="1:22" x14ac:dyDescent="0.75">
      <c r="A15" s="10" t="s">
        <v>25</v>
      </c>
      <c r="B15" s="16">
        <v>1</v>
      </c>
      <c r="C15" s="16">
        <v>2</v>
      </c>
      <c r="D15" s="16">
        <v>3</v>
      </c>
      <c r="E15" s="16">
        <v>4</v>
      </c>
      <c r="F15" s="16">
        <v>6</v>
      </c>
    </row>
    <row r="16" spans="1:22" x14ac:dyDescent="0.75">
      <c r="B16" s="2"/>
      <c r="C16" s="2"/>
      <c r="D16" s="2"/>
      <c r="E16" s="2"/>
      <c r="F16" s="2"/>
      <c r="G16" s="2"/>
    </row>
    <row r="17" spans="1:6" x14ac:dyDescent="0.75">
      <c r="B17" s="2"/>
    </row>
    <row r="18" spans="1:6" x14ac:dyDescent="0.75">
      <c r="A18" t="s">
        <v>6</v>
      </c>
      <c r="B18" s="2"/>
    </row>
    <row r="19" spans="1:6" x14ac:dyDescent="0.75">
      <c r="A19" s="11">
        <v>1</v>
      </c>
      <c r="B19" s="11">
        <v>1</v>
      </c>
      <c r="C19" s="11">
        <v>1</v>
      </c>
      <c r="D19" s="11">
        <v>1</v>
      </c>
      <c r="E19" s="11">
        <v>1</v>
      </c>
      <c r="F19" s="11">
        <v>1</v>
      </c>
    </row>
    <row r="20" spans="1:6" x14ac:dyDescent="0.75">
      <c r="A20" s="11">
        <v>2</v>
      </c>
      <c r="B20" s="11">
        <v>1</v>
      </c>
      <c r="C20" s="11">
        <v>1</v>
      </c>
      <c r="D20" s="11">
        <v>1</v>
      </c>
      <c r="E20" s="11">
        <v>1</v>
      </c>
      <c r="F20" s="11">
        <v>1</v>
      </c>
    </row>
    <row r="21" spans="1:6" x14ac:dyDescent="0.75">
      <c r="A21" s="11">
        <v>3</v>
      </c>
      <c r="B21" s="11">
        <v>3</v>
      </c>
      <c r="C21" s="11">
        <v>3</v>
      </c>
      <c r="D21" s="11">
        <v>3</v>
      </c>
      <c r="E21" s="11">
        <v>3</v>
      </c>
      <c r="F21" s="11">
        <v>3</v>
      </c>
    </row>
    <row r="22" spans="1:6" x14ac:dyDescent="0.75">
      <c r="A22" s="11">
        <v>4</v>
      </c>
      <c r="B22" s="11">
        <v>1</v>
      </c>
      <c r="C22" s="11">
        <v>1</v>
      </c>
      <c r="D22" s="11">
        <v>1</v>
      </c>
      <c r="E22" s="11">
        <v>2</v>
      </c>
      <c r="F22" s="11">
        <v>2</v>
      </c>
    </row>
    <row r="23" spans="1:6" x14ac:dyDescent="0.75">
      <c r="A23" s="11">
        <v>5</v>
      </c>
      <c r="B23" s="11">
        <v>3</v>
      </c>
      <c r="C23" s="11">
        <v>3</v>
      </c>
      <c r="D23" s="11">
        <v>3</v>
      </c>
      <c r="E23" s="11">
        <v>3</v>
      </c>
      <c r="F23" s="11">
        <v>3</v>
      </c>
    </row>
    <row r="24" spans="1:6" x14ac:dyDescent="0.75">
      <c r="A24" s="11">
        <v>6</v>
      </c>
      <c r="B24" s="11">
        <v>1</v>
      </c>
      <c r="C24" s="11">
        <v>1</v>
      </c>
      <c r="D24" s="11">
        <v>2</v>
      </c>
      <c r="E24" s="11">
        <v>2</v>
      </c>
      <c r="F24" s="11">
        <v>2</v>
      </c>
    </row>
    <row r="25" spans="1:6" x14ac:dyDescent="0.75">
      <c r="A25" s="11">
        <v>7</v>
      </c>
      <c r="B25" s="11">
        <v>1</v>
      </c>
      <c r="C25" s="11">
        <v>1</v>
      </c>
      <c r="D25" s="11">
        <v>1</v>
      </c>
      <c r="E25" s="11">
        <v>1</v>
      </c>
      <c r="F25" s="11">
        <v>1</v>
      </c>
    </row>
    <row r="26" spans="1:6" x14ac:dyDescent="0.75">
      <c r="A26" s="11">
        <v>8</v>
      </c>
      <c r="B26" s="11">
        <v>2</v>
      </c>
      <c r="C26" s="11">
        <v>2</v>
      </c>
      <c r="D26" s="11">
        <v>3</v>
      </c>
      <c r="E26" s="11">
        <v>3</v>
      </c>
      <c r="F26" s="11">
        <v>2</v>
      </c>
    </row>
    <row r="27" spans="1:6" x14ac:dyDescent="0.75">
      <c r="A27" s="11">
        <v>9</v>
      </c>
      <c r="B27" s="11">
        <v>3</v>
      </c>
      <c r="C27" s="11">
        <v>3</v>
      </c>
      <c r="D27" s="11">
        <v>3</v>
      </c>
      <c r="E27" s="11">
        <v>3</v>
      </c>
      <c r="F27" s="11">
        <v>3</v>
      </c>
    </row>
    <row r="28" spans="1:6" x14ac:dyDescent="0.75">
      <c r="A28" s="11">
        <v>10</v>
      </c>
      <c r="B28" s="11">
        <v>1</v>
      </c>
      <c r="C28" s="11">
        <v>1</v>
      </c>
      <c r="D28" s="11">
        <v>1</v>
      </c>
      <c r="E28" s="11">
        <v>2</v>
      </c>
      <c r="F28" s="11">
        <v>2</v>
      </c>
    </row>
    <row r="29" spans="1:6" x14ac:dyDescent="0.75">
      <c r="A29" s="11">
        <v>11</v>
      </c>
      <c r="B29" s="11">
        <v>1</v>
      </c>
      <c r="C29" s="11">
        <v>1</v>
      </c>
      <c r="D29" s="11">
        <v>1</v>
      </c>
      <c r="E29" s="11">
        <v>1</v>
      </c>
      <c r="F29" s="11">
        <v>1</v>
      </c>
    </row>
    <row r="30" spans="1:6" x14ac:dyDescent="0.75">
      <c r="A30" s="11">
        <v>12</v>
      </c>
      <c r="B30" s="11">
        <v>3</v>
      </c>
      <c r="C30" s="11">
        <v>3</v>
      </c>
      <c r="D30" s="11">
        <v>3</v>
      </c>
      <c r="E30" s="11">
        <v>3</v>
      </c>
      <c r="F30" s="11">
        <v>3</v>
      </c>
    </row>
    <row r="31" spans="1:6" x14ac:dyDescent="0.75">
      <c r="A31" s="11"/>
      <c r="B31" s="11"/>
      <c r="C31" s="11"/>
      <c r="D31" s="11"/>
    </row>
    <row r="32" spans="1:6" x14ac:dyDescent="0.75">
      <c r="A32" s="11"/>
      <c r="B32" s="11"/>
      <c r="C32" s="11"/>
      <c r="D32" s="11"/>
    </row>
    <row r="33" spans="1:10" x14ac:dyDescent="0.75">
      <c r="A33" s="11"/>
      <c r="B33" s="11"/>
      <c r="C33" s="11"/>
      <c r="D33" s="11"/>
    </row>
    <row r="34" spans="1:10" x14ac:dyDescent="0.75">
      <c r="A34" s="11"/>
      <c r="B34" s="11"/>
      <c r="C34" s="11"/>
      <c r="D34" s="11"/>
    </row>
    <row r="35" spans="1:10" x14ac:dyDescent="0.75">
      <c r="A35" s="11"/>
      <c r="B35" s="11"/>
      <c r="C35" s="11"/>
      <c r="D35" s="11"/>
    </row>
    <row r="36" spans="1:10" x14ac:dyDescent="0.75">
      <c r="A36" s="11"/>
      <c r="B36" s="11"/>
      <c r="C36" s="11"/>
      <c r="D36" s="11"/>
    </row>
    <row r="37" spans="1:10" x14ac:dyDescent="0.75">
      <c r="A37" s="11"/>
      <c r="B37" s="11"/>
      <c r="C37" s="11"/>
      <c r="D37" s="11"/>
    </row>
    <row r="38" spans="1:10" x14ac:dyDescent="0.75">
      <c r="B38" s="2"/>
    </row>
    <row r="40" spans="1:10" x14ac:dyDescent="0.75">
      <c r="A40" s="7" t="s">
        <v>14</v>
      </c>
      <c r="B40" s="4"/>
      <c r="C40" s="4"/>
      <c r="D40" s="4"/>
      <c r="E40" s="4"/>
      <c r="F40" s="4"/>
    </row>
    <row r="41" spans="1:10" x14ac:dyDescent="0.75">
      <c r="A41" s="12" t="s">
        <v>32</v>
      </c>
      <c r="B41" s="12">
        <v>1</v>
      </c>
      <c r="C41" s="12">
        <v>2</v>
      </c>
      <c r="D41" s="12">
        <v>3</v>
      </c>
      <c r="E41" s="4">
        <v>4</v>
      </c>
      <c r="F41" s="4">
        <v>6</v>
      </c>
    </row>
    <row r="42" spans="1:10" x14ac:dyDescent="0.75">
      <c r="A42" s="12" t="s">
        <v>15</v>
      </c>
      <c r="B42" s="12">
        <v>1</v>
      </c>
      <c r="C42" s="12">
        <v>1</v>
      </c>
      <c r="D42" s="12">
        <v>1</v>
      </c>
      <c r="E42" s="12">
        <v>1</v>
      </c>
      <c r="F42" s="12">
        <v>1</v>
      </c>
    </row>
    <row r="43" spans="1:10" x14ac:dyDescent="0.75">
      <c r="A43" s="12" t="s">
        <v>4</v>
      </c>
      <c r="B43" s="13">
        <f>AVERAGE(B19:B30)</f>
        <v>1.75</v>
      </c>
      <c r="C43" s="13">
        <f t="shared" ref="C43:F43" si="0">AVERAGE(C19:C30)</f>
        <v>1.75</v>
      </c>
      <c r="D43" s="13">
        <f t="shared" si="0"/>
        <v>1.9166666666666667</v>
      </c>
      <c r="E43" s="13">
        <f t="shared" si="0"/>
        <v>2.0833333333333335</v>
      </c>
      <c r="F43" s="13">
        <f t="shared" si="0"/>
        <v>2</v>
      </c>
    </row>
    <row r="44" spans="1:10" x14ac:dyDescent="0.75">
      <c r="A44" s="12" t="s">
        <v>5</v>
      </c>
      <c r="B44" s="13">
        <f>STDEV(B19:B30)</f>
        <v>0.96530729916342273</v>
      </c>
      <c r="C44" s="13">
        <f t="shared" ref="C44:F44" si="1">STDEV(C19:C30)</f>
        <v>0.96530729916342273</v>
      </c>
      <c r="D44" s="13">
        <f t="shared" si="1"/>
        <v>0.99620491989562177</v>
      </c>
      <c r="E44" s="13">
        <f t="shared" si="1"/>
        <v>0.90033663737851988</v>
      </c>
      <c r="F44" s="13">
        <f t="shared" si="1"/>
        <v>0.85280286542244177</v>
      </c>
    </row>
    <row r="45" spans="1:10" x14ac:dyDescent="0.75">
      <c r="A45" s="12"/>
      <c r="B45" s="12"/>
      <c r="C45" s="12"/>
      <c r="D45" s="12"/>
      <c r="E45" s="4"/>
      <c r="F45" s="4"/>
    </row>
    <row r="46" spans="1:10" x14ac:dyDescent="0.75">
      <c r="A46" s="12" t="s">
        <v>9</v>
      </c>
      <c r="B46" s="12">
        <f>COUNTIF(B19:B30, 3)</f>
        <v>4</v>
      </c>
      <c r="C46" s="12">
        <f t="shared" ref="C46:F46" si="2">COUNTIF(C19:C30, 3)</f>
        <v>4</v>
      </c>
      <c r="D46" s="12">
        <f t="shared" si="2"/>
        <v>5</v>
      </c>
      <c r="E46" s="12">
        <f t="shared" si="2"/>
        <v>5</v>
      </c>
      <c r="F46" s="12">
        <f t="shared" si="2"/>
        <v>4</v>
      </c>
      <c r="H46" s="12">
        <f>AVERAGE(B46:F46)</f>
        <v>4.4000000000000004</v>
      </c>
      <c r="I46" s="17">
        <f>H46/$F$49*100</f>
        <v>36.666666666666671</v>
      </c>
      <c r="J46" t="s">
        <v>9</v>
      </c>
    </row>
    <row r="47" spans="1:10" x14ac:dyDescent="0.75">
      <c r="A47" s="12" t="s">
        <v>10</v>
      </c>
      <c r="B47" s="12">
        <f>COUNTIF(B19:B30, 2)</f>
        <v>1</v>
      </c>
      <c r="C47" s="12">
        <f t="shared" ref="C47:F47" si="3">COUNTIF(C19:C30, 2)</f>
        <v>1</v>
      </c>
      <c r="D47" s="12">
        <f t="shared" si="3"/>
        <v>1</v>
      </c>
      <c r="E47" s="12">
        <f t="shared" si="3"/>
        <v>3</v>
      </c>
      <c r="F47" s="12">
        <f t="shared" si="3"/>
        <v>4</v>
      </c>
      <c r="H47" s="12">
        <f t="shared" ref="H47:H48" si="4">AVERAGE(B47:F47)</f>
        <v>2</v>
      </c>
      <c r="I47" s="17">
        <f>H47/$F$49*100</f>
        <v>16.666666666666664</v>
      </c>
      <c r="J47" t="s">
        <v>10</v>
      </c>
    </row>
    <row r="48" spans="1:10" x14ac:dyDescent="0.75">
      <c r="A48" s="12" t="s">
        <v>7</v>
      </c>
      <c r="B48" s="12">
        <f>COUNTIF(B19:B30, 1)</f>
        <v>7</v>
      </c>
      <c r="C48" s="12">
        <f t="shared" ref="C48:F48" si="5">COUNTIF(C19:C30, 1)</f>
        <v>7</v>
      </c>
      <c r="D48" s="12">
        <f t="shared" si="5"/>
        <v>6</v>
      </c>
      <c r="E48" s="12">
        <f t="shared" si="5"/>
        <v>4</v>
      </c>
      <c r="F48" s="12">
        <f t="shared" si="5"/>
        <v>4</v>
      </c>
      <c r="H48" s="12">
        <f t="shared" si="4"/>
        <v>5.6</v>
      </c>
      <c r="I48" s="17">
        <f>H48/$F$49*100</f>
        <v>46.666666666666664</v>
      </c>
      <c r="J48" t="s">
        <v>7</v>
      </c>
    </row>
    <row r="49" spans="1:10" x14ac:dyDescent="0.75">
      <c r="A49" s="12" t="s">
        <v>8</v>
      </c>
      <c r="B49" s="12">
        <f>SUM(B45:B48)</f>
        <v>12</v>
      </c>
      <c r="C49" s="12">
        <f t="shared" ref="C49:F49" si="6">SUM(C45:C48)</f>
        <v>12</v>
      </c>
      <c r="D49" s="12">
        <f t="shared" si="6"/>
        <v>12</v>
      </c>
      <c r="E49" s="12">
        <f t="shared" si="6"/>
        <v>12</v>
      </c>
      <c r="F49" s="12">
        <f t="shared" si="6"/>
        <v>12</v>
      </c>
      <c r="I49" s="12">
        <f t="shared" ref="I49" si="7">SUM(I45:I48)</f>
        <v>100</v>
      </c>
    </row>
    <row r="50" spans="1:10" x14ac:dyDescent="0.75">
      <c r="I50" s="17">
        <f>SUM(I46:I47)</f>
        <v>53.333333333333336</v>
      </c>
      <c r="J50" t="s">
        <v>37</v>
      </c>
    </row>
    <row r="51" spans="1:10" x14ac:dyDescent="0.75">
      <c r="A51" s="8" t="s">
        <v>13</v>
      </c>
      <c r="B51" s="5"/>
      <c r="C51" s="5"/>
      <c r="D51" s="5"/>
      <c r="E51" s="5"/>
      <c r="F51" s="5"/>
    </row>
    <row r="52" spans="1:10" x14ac:dyDescent="0.75">
      <c r="A52" s="5" t="s">
        <v>0</v>
      </c>
      <c r="B52" s="5">
        <v>1</v>
      </c>
      <c r="C52" s="5"/>
      <c r="D52" s="5"/>
      <c r="E52" s="5"/>
      <c r="F52" s="5"/>
    </row>
    <row r="53" spans="1:10" x14ac:dyDescent="0.75">
      <c r="A53" s="5" t="s">
        <v>11</v>
      </c>
      <c r="B53" s="6">
        <f>AVERAGE(B43:F43)</f>
        <v>1.9</v>
      </c>
      <c r="C53" s="6"/>
      <c r="D53" s="6"/>
      <c r="E53" s="6"/>
      <c r="F53" s="6"/>
    </row>
    <row r="54" spans="1:10" x14ac:dyDescent="0.75">
      <c r="A54" s="5" t="s">
        <v>12</v>
      </c>
      <c r="B54" s="6">
        <f>AVERAGE(B44:F44)</f>
        <v>0.93599180420468575</v>
      </c>
      <c r="C54" s="6"/>
      <c r="D54" s="6"/>
      <c r="E54" s="6"/>
      <c r="F54" s="6"/>
    </row>
    <row r="66" spans="9:13" x14ac:dyDescent="0.75">
      <c r="I66" s="2"/>
      <c r="J66" s="2"/>
      <c r="K66" s="2"/>
      <c r="L66" s="2"/>
      <c r="M66" s="2"/>
    </row>
    <row r="151" spans="8:13" x14ac:dyDescent="0.75">
      <c r="H151" s="2"/>
      <c r="I151" s="2"/>
      <c r="J151" s="2"/>
      <c r="K151" s="2"/>
      <c r="L151" s="2"/>
      <c r="M151" s="2"/>
    </row>
    <row r="173" spans="2:2" x14ac:dyDescent="0.75">
      <c r="B173" s="9"/>
    </row>
    <row r="174" spans="2:2" x14ac:dyDescent="0.75">
      <c r="B174" s="9"/>
    </row>
    <row r="175" spans="2:2" x14ac:dyDescent="0.75">
      <c r="B175" s="9"/>
    </row>
    <row r="176" spans="2:2" x14ac:dyDescent="0.75">
      <c r="B176" s="9"/>
    </row>
    <row r="178" spans="1:1" x14ac:dyDescent="0.75">
      <c r="A178" s="1"/>
    </row>
  </sheetData>
  <sortState xmlns:xlrd2="http://schemas.microsoft.com/office/spreadsheetml/2017/richdata2" ref="D19:D39">
    <sortCondition ref="D19:D39"/>
  </sortState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202cd47-7a56-4baa-99e3-e3b71a7c77dd}" enabled="0" method="" siteId="{e202cd47-7a56-4baa-99e3-e3b71a7c77d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Ludwig C. Nitsche</dc:creator>
  <cp:lastModifiedBy>Zdunek, Alan</cp:lastModifiedBy>
  <cp:lastPrinted>2020-03-06T20:00:58Z</cp:lastPrinted>
  <dcterms:created xsi:type="dcterms:W3CDTF">2013-01-15T05:38:26Z</dcterms:created>
  <dcterms:modified xsi:type="dcterms:W3CDTF">2026-06-02T22:24:08Z</dcterms:modified>
</cp:coreProperties>
</file>