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200-Level Assessment\"/>
    </mc:Choice>
  </mc:AlternateContent>
  <xr:revisionPtr revIDLastSave="0" documentId="13_ncr:1_{9E169CA7-2CE1-4398-8A1D-961C2407E92A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  <c r="C74" i="1"/>
  <c r="B74" i="1"/>
  <c r="F73" i="1"/>
  <c r="G73" i="1" s="1"/>
  <c r="F72" i="1"/>
  <c r="G72" i="1" s="1"/>
  <c r="F71" i="1"/>
  <c r="F74" i="1" l="1"/>
  <c r="G71" i="1"/>
  <c r="G74" i="1" s="1"/>
  <c r="G35" i="1" l="1"/>
  <c r="G34" i="1"/>
  <c r="G33" i="1"/>
  <c r="G32" i="1"/>
  <c r="F35" i="1"/>
  <c r="F34" i="1"/>
  <c r="F33" i="1"/>
  <c r="F32" i="1"/>
  <c r="D35" i="1"/>
  <c r="C35" i="1"/>
  <c r="B35" i="1"/>
  <c r="D40" i="1"/>
  <c r="C40" i="1"/>
  <c r="B40" i="1"/>
  <c r="B51" i="1" l="1"/>
  <c r="B50" i="1"/>
  <c r="C46" i="1"/>
  <c r="D46" i="1"/>
  <c r="B46" i="1"/>
  <c r="C41" i="1" l="1"/>
  <c r="D41" i="1"/>
  <c r="B41" i="1"/>
</calcChain>
</file>

<file path=xl/sharedStrings.xml><?xml version="1.0" encoding="utf-8"?>
<sst xmlns="http://schemas.openxmlformats.org/spreadsheetml/2006/main" count="74" uniqueCount="55">
  <si>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</si>
  <si>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</si>
  <si>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</si>
  <si>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</si>
  <si>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</si>
  <si>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</si>
  <si>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</si>
  <si>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</si>
  <si>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</si>
  <si>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</si>
  <si>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</si>
  <si>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</si>
  <si>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</si>
  <si>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</si>
  <si>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</si>
  <si>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</si>
  <si>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</si>
  <si>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Introduction to Engineering Thermodynamics</t>
  </si>
  <si>
    <t>Rubric #</t>
  </si>
  <si>
    <t>Problem</t>
  </si>
  <si>
    <t>Rubric</t>
  </si>
  <si>
    <t>PI</t>
  </si>
  <si>
    <t>&lt;3</t>
  </si>
  <si>
    <t>&lt;10</t>
  </si>
  <si>
    <t>&gt;3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</si>
  <si>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</si>
  <si>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</si>
  <si>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</si>
  <si>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</si>
  <si>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</si>
  <si>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</si>
  <si>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</si>
  <si>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</si>
  <si>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</si>
  <si>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</si>
  <si>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</si>
  <si>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</si>
  <si>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</si>
  <si>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</si>
  <si>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</si>
  <si>
    <t>CHE 201 Spring 2026</t>
  </si>
  <si>
    <t>Assessment rubric: Midterm 2 exam,  Problem 2</t>
  </si>
  <si>
    <t>Prepared by B. Bilgin</t>
  </si>
  <si>
    <t>2a, 2b</t>
  </si>
  <si>
    <t>2e, 2f</t>
  </si>
  <si>
    <t>2c, 2d</t>
  </si>
  <si>
    <t>&gt;=15</t>
  </si>
  <si>
    <t>10 to 15</t>
  </si>
  <si>
    <t>4 to 6</t>
  </si>
  <si>
    <t>Total</t>
  </si>
  <si>
    <t>Ave #</t>
  </si>
  <si>
    <t>Ave %</t>
  </si>
  <si>
    <t>3a,b</t>
  </si>
  <si>
    <t>3c,d</t>
  </si>
  <si>
    <t>3e,f,g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</si>
</sst>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4" fillId="6" borderId="0" xfId="0" applyFont="1" applyFill="1"/>
    <xf numFmtId="0" fontId="4" fillId="0" borderId="0" xfId="0" applyFont="1"/>
    <xf numFmtId="1" fontId="0" fillId="4" borderId="1" xfId="0" applyNumberFormat="1" applyFill="1" applyBorder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5"/>
  <sheetViews>
    <sheetView tabSelected="1" topLeftCell="A32" zoomScale="120" zoomScaleNormal="120" workbookViewId="0">
      <selection activeCell="D74" sqref="D74"/>
    </sheetView>
  </sheetViews>
  <sheetFormatPr defaultColWidth="8.81640625" defaultRowHeight="14.75" x14ac:dyDescent="0.75"/>
  <cols>
    <col min="1" max="1" width="27.6796875" customWidth="1"/>
    <col min="2" max="2" width="11.5" customWidth="1"/>
    <col min="3" max="3" width="11" customWidth="1"/>
    <col min="6" max="6" width="9.1796875" customWidth="1"/>
    <col min="7" max="7" width="9.7265625" bestFit="1" customWidth="1"/>
    <col min="8" max="8" width="9.1796875" customWidth="1"/>
    <col min="11" max="11" width="16" customWidth="1"/>
    <col min="12" max="12" width="17.31640625" customWidth="1"/>
    <col min="13" max="13" width="16.1796875" customWidth="1"/>
    <col min="15" max="15" width="9.1796875" customWidth="1"/>
  </cols>
  <sheetData>
    <row r="1" spans="1:22" x14ac:dyDescent="0.75">
      <c r="A1" s="1" t="s">
        <v>40</v>
      </c>
      <c r="F1" s="1" t="s">
        <v>27</v>
      </c>
    </row>
    <row r="2" spans="1:22" ht="16" x14ac:dyDescent="0.8">
      <c r="A2" s="1" t="s">
        <v>17</v>
      </c>
      <c r="F2" s="20" t="s">
        <v>26</v>
      </c>
    </row>
    <row r="3" spans="1:22" x14ac:dyDescent="0.75">
      <c r="A3" s="1" t="s">
        <v>32</v>
      </c>
      <c r="F3" t="s">
        <v>28</v>
      </c>
    </row>
    <row r="4" spans="1:22" x14ac:dyDescent="0.75">
      <c r="A4" t="s">
        <v>41</v>
      </c>
    </row>
    <row r="5" spans="1:22" x14ac:dyDescent="0.75">
      <c r="A5" t="s">
        <v>42</v>
      </c>
      <c r="F5" s="1" t="s">
        <v>39</v>
      </c>
    </row>
    <row r="6" spans="1:22" x14ac:dyDescent="0.75">
      <c r="F6" s="21" t="s">
        <v>29</v>
      </c>
    </row>
    <row r="7" spans="1:22" x14ac:dyDescent="0.75">
      <c r="F7" s="22" t="s">
        <v>30</v>
      </c>
    </row>
    <row r="8" spans="1:22" x14ac:dyDescent="0.75">
      <c r="F8" t="s">
        <v>31</v>
      </c>
    </row>
    <row r="9" spans="1:22" x14ac:dyDescent="0.75">
      <c r="A9" s="3" t="s">
        <v>16</v>
      </c>
      <c r="B9" s="3"/>
      <c r="C9" s="3"/>
      <c r="F9" s="22" t="s">
        <v>35</v>
      </c>
    </row>
    <row r="10" spans="1:22" x14ac:dyDescent="0.75">
      <c r="A10" s="3">
        <v>1</v>
      </c>
      <c r="B10" s="3" t="s">
        <v>1</v>
      </c>
      <c r="C10" s="3"/>
      <c r="F10" t="s">
        <v>36</v>
      </c>
    </row>
    <row r="11" spans="1:22" x14ac:dyDescent="0.75">
      <c r="A11" s="3">
        <v>2</v>
      </c>
      <c r="B11" s="3" t="s">
        <v>2</v>
      </c>
      <c r="C11" s="3"/>
      <c r="F11" t="s">
        <v>37</v>
      </c>
    </row>
    <row r="12" spans="1:22" x14ac:dyDescent="0.75">
      <c r="A12" s="3">
        <v>3</v>
      </c>
      <c r="B12" s="3" t="s">
        <v>3</v>
      </c>
      <c r="C12" s="3"/>
      <c r="F12" t="s">
        <v>38</v>
      </c>
    </row>
    <row r="13" spans="1:22" x14ac:dyDescent="0.75">
      <c r="A13" s="3"/>
      <c r="B13" s="3"/>
      <c r="C13" s="3"/>
      <c r="V13" t="s">
        <v>34</v>
      </c>
    </row>
    <row r="14" spans="1:22" x14ac:dyDescent="0.75">
      <c r="H14" t="s">
        <v>20</v>
      </c>
    </row>
    <row r="15" spans="1:22" x14ac:dyDescent="0.75">
      <c r="A15" s="12" t="s">
        <v>33</v>
      </c>
      <c r="B15" s="12">
        <v>1</v>
      </c>
      <c r="C15" s="12">
        <v>2</v>
      </c>
      <c r="D15" s="12">
        <v>4</v>
      </c>
      <c r="E15" s="12"/>
      <c r="H15" s="17" t="s">
        <v>21</v>
      </c>
      <c r="I15" s="17" t="s">
        <v>19</v>
      </c>
      <c r="J15" s="17" t="s">
        <v>25</v>
      </c>
      <c r="K15" s="17" t="s">
        <v>1</v>
      </c>
      <c r="L15" s="17" t="s">
        <v>2</v>
      </c>
      <c r="M15" s="17" t="s">
        <v>3</v>
      </c>
    </row>
    <row r="16" spans="1:22" x14ac:dyDescent="0.75">
      <c r="A16" s="12" t="s">
        <v>19</v>
      </c>
      <c r="B16" s="13" t="s">
        <v>43</v>
      </c>
      <c r="C16" s="13" t="s">
        <v>44</v>
      </c>
      <c r="D16" s="13" t="s">
        <v>45</v>
      </c>
      <c r="E16" s="13"/>
      <c r="F16" s="2"/>
      <c r="G16" s="2"/>
      <c r="H16" s="17">
        <v>1</v>
      </c>
      <c r="I16" s="17" t="s">
        <v>43</v>
      </c>
      <c r="J16" s="17">
        <v>4</v>
      </c>
      <c r="K16" s="18" t="s">
        <v>22</v>
      </c>
      <c r="L16" s="23">
        <v>2</v>
      </c>
      <c r="M16" s="18" t="s">
        <v>24</v>
      </c>
    </row>
    <row r="17" spans="1:13" x14ac:dyDescent="0.75">
      <c r="B17" s="2"/>
      <c r="H17" s="17">
        <v>2</v>
      </c>
      <c r="I17" s="17" t="s">
        <v>44</v>
      </c>
      <c r="J17" s="17">
        <v>25</v>
      </c>
      <c r="K17" s="18" t="s">
        <v>23</v>
      </c>
      <c r="L17" s="19" t="s">
        <v>47</v>
      </c>
      <c r="M17" s="18" t="s">
        <v>46</v>
      </c>
    </row>
    <row r="18" spans="1:13" x14ac:dyDescent="0.75">
      <c r="A18" t="s">
        <v>6</v>
      </c>
      <c r="B18" s="2"/>
      <c r="H18" s="17">
        <v>4</v>
      </c>
      <c r="I18" s="17" t="s">
        <v>45</v>
      </c>
      <c r="J18" s="17">
        <v>6</v>
      </c>
      <c r="K18" s="18" t="s">
        <v>22</v>
      </c>
      <c r="L18" s="18">
        <v>3</v>
      </c>
      <c r="M18" s="18" t="s">
        <v>48</v>
      </c>
    </row>
    <row r="19" spans="1:13" x14ac:dyDescent="0.75">
      <c r="A19" s="14">
        <v>1</v>
      </c>
      <c r="B19" s="14">
        <v>3</v>
      </c>
      <c r="C19" s="14">
        <v>3</v>
      </c>
      <c r="D19" s="14">
        <v>3</v>
      </c>
    </row>
    <row r="20" spans="1:13" x14ac:dyDescent="0.75">
      <c r="A20" s="14">
        <v>2</v>
      </c>
      <c r="B20" s="14">
        <v>3</v>
      </c>
      <c r="C20" s="14">
        <v>3</v>
      </c>
      <c r="D20" s="14">
        <v>3</v>
      </c>
    </row>
    <row r="21" spans="1:13" x14ac:dyDescent="0.75">
      <c r="A21" s="14">
        <v>3</v>
      </c>
      <c r="B21" s="14">
        <v>3</v>
      </c>
      <c r="C21" s="14">
        <v>3</v>
      </c>
      <c r="D21" s="14">
        <v>3</v>
      </c>
    </row>
    <row r="22" spans="1:13" x14ac:dyDescent="0.75">
      <c r="A22" s="14">
        <v>4</v>
      </c>
      <c r="B22" s="14">
        <v>3</v>
      </c>
      <c r="C22" s="14">
        <v>3</v>
      </c>
      <c r="D22" s="14">
        <v>3</v>
      </c>
    </row>
    <row r="23" spans="1:13" x14ac:dyDescent="0.75">
      <c r="A23" s="14">
        <v>5</v>
      </c>
      <c r="B23" s="14">
        <v>3</v>
      </c>
      <c r="C23" s="14">
        <v>3</v>
      </c>
      <c r="D23" s="14">
        <v>3</v>
      </c>
    </row>
    <row r="24" spans="1:13" x14ac:dyDescent="0.75">
      <c r="A24" s="14">
        <v>6</v>
      </c>
      <c r="B24" s="14">
        <v>3</v>
      </c>
      <c r="C24" s="14">
        <v>3</v>
      </c>
      <c r="D24" s="14">
        <v>3</v>
      </c>
    </row>
    <row r="25" spans="1:13" x14ac:dyDescent="0.75">
      <c r="A25" s="14">
        <v>7</v>
      </c>
      <c r="B25" s="14">
        <v>3</v>
      </c>
      <c r="C25" s="14">
        <v>3</v>
      </c>
      <c r="D25" s="14">
        <v>3</v>
      </c>
    </row>
    <row r="26" spans="1:13" x14ac:dyDescent="0.75">
      <c r="A26" s="14">
        <v>8</v>
      </c>
      <c r="B26" s="14">
        <v>3</v>
      </c>
      <c r="C26" s="14">
        <v>2</v>
      </c>
      <c r="D26" s="14">
        <v>2</v>
      </c>
    </row>
    <row r="27" spans="1:13" x14ac:dyDescent="0.75">
      <c r="A27" s="14">
        <v>9</v>
      </c>
      <c r="B27" s="14">
        <v>3</v>
      </c>
      <c r="C27" s="14">
        <v>2</v>
      </c>
      <c r="D27" s="14">
        <v>2</v>
      </c>
    </row>
    <row r="28" spans="1:13" x14ac:dyDescent="0.75">
      <c r="A28" s="14">
        <v>10</v>
      </c>
      <c r="B28" s="14">
        <v>3</v>
      </c>
      <c r="C28" s="14">
        <v>2</v>
      </c>
      <c r="D28" s="14">
        <v>2</v>
      </c>
    </row>
    <row r="29" spans="1:13" x14ac:dyDescent="0.75">
      <c r="A29" s="14">
        <v>11</v>
      </c>
      <c r="B29" s="14">
        <v>3</v>
      </c>
      <c r="C29" s="14">
        <v>2</v>
      </c>
      <c r="D29" s="14">
        <v>1</v>
      </c>
    </row>
    <row r="30" spans="1:13" x14ac:dyDescent="0.75">
      <c r="A30" s="14">
        <v>12</v>
      </c>
      <c r="B30" s="14">
        <v>3</v>
      </c>
      <c r="C30" s="14">
        <v>1</v>
      </c>
      <c r="D30" s="14">
        <v>1</v>
      </c>
    </row>
    <row r="31" spans="1:13" x14ac:dyDescent="0.75">
      <c r="A31" s="14"/>
      <c r="B31" s="14"/>
      <c r="C31" s="14"/>
      <c r="D31" s="14"/>
      <c r="F31" t="s">
        <v>50</v>
      </c>
      <c r="G31" t="s">
        <v>51</v>
      </c>
    </row>
    <row r="32" spans="1:13" x14ac:dyDescent="0.75">
      <c r="A32" s="14" t="s">
        <v>9</v>
      </c>
      <c r="B32" s="14">
        <v>12</v>
      </c>
      <c r="C32" s="14">
        <v>7</v>
      </c>
      <c r="D32" s="14">
        <v>7</v>
      </c>
      <c r="F32" s="24">
        <f>AVERAGE(B32:D32)</f>
        <v>8.6666666666666661</v>
      </c>
      <c r="G32" s="24">
        <f>F32/$F$35*100</f>
        <v>72.222222222222214</v>
      </c>
    </row>
    <row r="33" spans="1:7" x14ac:dyDescent="0.75">
      <c r="A33" s="14" t="s">
        <v>10</v>
      </c>
      <c r="B33" s="14">
        <v>0</v>
      </c>
      <c r="C33" s="14">
        <v>4</v>
      </c>
      <c r="D33" s="14">
        <v>3</v>
      </c>
      <c r="F33" s="24">
        <f>AVERAGE(B33:D33)</f>
        <v>2.3333333333333335</v>
      </c>
      <c r="G33" s="24">
        <f t="shared" ref="G33:G34" si="0">F33/$F$35*100</f>
        <v>19.444444444444446</v>
      </c>
    </row>
    <row r="34" spans="1:7" x14ac:dyDescent="0.75">
      <c r="A34" s="14" t="s">
        <v>7</v>
      </c>
      <c r="B34" s="14">
        <v>0</v>
      </c>
      <c r="C34" s="14">
        <v>1</v>
      </c>
      <c r="D34" s="14">
        <v>2</v>
      </c>
      <c r="F34" s="24">
        <f>AVERAGE(B34:D34)</f>
        <v>1</v>
      </c>
      <c r="G34" s="24">
        <f t="shared" si="0"/>
        <v>8.3333333333333321</v>
      </c>
    </row>
    <row r="35" spans="1:7" x14ac:dyDescent="0.75">
      <c r="A35" s="14" t="s">
        <v>49</v>
      </c>
      <c r="B35" s="14">
        <f>SUM(B32:B34)</f>
        <v>12</v>
      </c>
      <c r="C35" s="14">
        <f t="shared" ref="C35:F35" si="1">SUM(C32:C34)</f>
        <v>12</v>
      </c>
      <c r="D35" s="14">
        <f t="shared" si="1"/>
        <v>12</v>
      </c>
      <c r="F35" s="14">
        <f t="shared" si="1"/>
        <v>12</v>
      </c>
      <c r="G35" s="14">
        <f>SUM(G32:G34)</f>
        <v>99.999999999999986</v>
      </c>
    </row>
    <row r="37" spans="1:7" x14ac:dyDescent="0.75">
      <c r="A37" s="9" t="s">
        <v>14</v>
      </c>
      <c r="B37" s="4"/>
      <c r="C37" s="4"/>
      <c r="D37" s="4"/>
      <c r="E37" s="4"/>
    </row>
    <row r="38" spans="1:7" x14ac:dyDescent="0.75">
      <c r="A38" s="15" t="s">
        <v>18</v>
      </c>
      <c r="B38" s="15">
        <v>1</v>
      </c>
      <c r="C38" s="15">
        <v>2</v>
      </c>
      <c r="D38" s="15">
        <v>3</v>
      </c>
      <c r="E38" s="4"/>
    </row>
    <row r="39" spans="1:7" x14ac:dyDescent="0.75">
      <c r="A39" s="15" t="s">
        <v>15</v>
      </c>
      <c r="B39" s="15">
        <v>1</v>
      </c>
      <c r="C39" s="15">
        <v>1</v>
      </c>
      <c r="D39" s="15">
        <v>1</v>
      </c>
      <c r="E39" s="5"/>
    </row>
    <row r="40" spans="1:7" x14ac:dyDescent="0.75">
      <c r="A40" s="15" t="s">
        <v>4</v>
      </c>
      <c r="B40" s="16">
        <f>AVERAGE(B19:B30)</f>
        <v>3</v>
      </c>
      <c r="C40" s="16">
        <f>AVERAGE(C19:C30)</f>
        <v>2.5</v>
      </c>
      <c r="D40" s="16">
        <f>AVERAGE(D19:D30)</f>
        <v>2.4166666666666665</v>
      </c>
      <c r="E40" s="8"/>
    </row>
    <row r="41" spans="1:7" x14ac:dyDescent="0.75">
      <c r="A41" s="15" t="s">
        <v>5</v>
      </c>
      <c r="B41" s="16">
        <f>STDEV(B19:B34)</f>
        <v>2.6511453050656106</v>
      </c>
      <c r="C41" s="16">
        <f>STDEV(C19:C34)</f>
        <v>1.4242792663559449</v>
      </c>
      <c r="D41" s="16">
        <f>STDEV(D19:D34)</f>
        <v>1.3870146083619754</v>
      </c>
      <c r="E41" s="8"/>
    </row>
    <row r="42" spans="1:7" x14ac:dyDescent="0.75">
      <c r="A42" s="15"/>
      <c r="B42" s="15"/>
      <c r="C42" s="15"/>
      <c r="D42" s="15"/>
      <c r="E42" s="4"/>
    </row>
    <row r="43" spans="1:7" x14ac:dyDescent="0.75">
      <c r="A43" s="15" t="s">
        <v>9</v>
      </c>
      <c r="B43" s="15">
        <v>12</v>
      </c>
      <c r="C43" s="15">
        <v>7</v>
      </c>
      <c r="D43" s="15">
        <v>7</v>
      </c>
      <c r="E43" s="4"/>
    </row>
    <row r="44" spans="1:7" x14ac:dyDescent="0.75">
      <c r="A44" s="15" t="s">
        <v>10</v>
      </c>
      <c r="B44" s="15">
        <v>0</v>
      </c>
      <c r="C44" s="15">
        <v>4</v>
      </c>
      <c r="D44" s="15">
        <v>3</v>
      </c>
      <c r="E44" s="4"/>
    </row>
    <row r="45" spans="1:7" x14ac:dyDescent="0.75">
      <c r="A45" s="15" t="s">
        <v>7</v>
      </c>
      <c r="B45" s="15">
        <v>0</v>
      </c>
      <c r="C45" s="15">
        <v>1</v>
      </c>
      <c r="D45" s="15">
        <v>2</v>
      </c>
      <c r="E45" s="4"/>
    </row>
    <row r="46" spans="1:7" x14ac:dyDescent="0.75">
      <c r="A46" s="15" t="s">
        <v>8</v>
      </c>
      <c r="B46" s="15">
        <f>SUM(B42:B45)</f>
        <v>12</v>
      </c>
      <c r="C46" s="15">
        <f t="shared" ref="C46:D46" si="2">SUM(C42:C45)</f>
        <v>12</v>
      </c>
      <c r="D46" s="15">
        <f t="shared" si="2"/>
        <v>12</v>
      </c>
      <c r="E46" s="4"/>
    </row>
    <row r="48" spans="1:7" x14ac:dyDescent="0.75">
      <c r="A48" s="10" t="s">
        <v>13</v>
      </c>
      <c r="B48" s="6"/>
      <c r="C48" s="6"/>
      <c r="D48" s="6"/>
      <c r="E48" s="6"/>
      <c r="F48" s="6"/>
    </row>
    <row r="49" spans="1:13" x14ac:dyDescent="0.75">
      <c r="A49" s="6" t="s">
        <v>0</v>
      </c>
      <c r="B49" s="6">
        <v>1</v>
      </c>
      <c r="C49" s="6"/>
      <c r="D49" s="6"/>
      <c r="E49" s="6"/>
      <c r="F49" s="6"/>
    </row>
    <row r="50" spans="1:13" x14ac:dyDescent="0.75">
      <c r="A50" s="6" t="s">
        <v>11</v>
      </c>
      <c r="B50" s="7">
        <f>AVERAGE(B40:D40)</f>
        <v>2.6388888888888888</v>
      </c>
      <c r="C50" s="7"/>
      <c r="D50" s="7"/>
      <c r="E50" s="7"/>
      <c r="F50" s="7"/>
    </row>
    <row r="51" spans="1:13" x14ac:dyDescent="0.75">
      <c r="A51" s="6" t="s">
        <v>12</v>
      </c>
      <c r="B51" s="7">
        <f>_xlfn.STDEV.P(B40:D40)</f>
        <v>0.25760051376376958</v>
      </c>
      <c r="C51" s="7"/>
      <c r="D51" s="7"/>
      <c r="E51" s="7"/>
      <c r="F51" s="7"/>
    </row>
    <row r="55" spans="1:13" x14ac:dyDescent="0.75">
      <c r="A55" s="12" t="s">
        <v>33</v>
      </c>
      <c r="B55" s="12">
        <v>1</v>
      </c>
      <c r="C55" s="12">
        <v>2</v>
      </c>
      <c r="D55" s="12">
        <v>4</v>
      </c>
    </row>
    <row r="56" spans="1:13" x14ac:dyDescent="0.75">
      <c r="A56" s="12" t="s">
        <v>19</v>
      </c>
      <c r="B56" s="12" t="s">
        <v>52</v>
      </c>
      <c r="C56" s="12" t="s">
        <v>53</v>
      </c>
      <c r="D56" s="12" t="s">
        <v>54</v>
      </c>
    </row>
    <row r="58" spans="1:13" x14ac:dyDescent="0.75">
      <c r="B58">
        <v>3</v>
      </c>
      <c r="C58">
        <v>3</v>
      </c>
      <c r="D58">
        <v>3</v>
      </c>
    </row>
    <row r="59" spans="1:13" x14ac:dyDescent="0.75">
      <c r="B59">
        <v>3</v>
      </c>
      <c r="C59">
        <v>3</v>
      </c>
      <c r="D59">
        <v>3</v>
      </c>
    </row>
    <row r="60" spans="1:13" x14ac:dyDescent="0.75">
      <c r="B60">
        <v>3</v>
      </c>
      <c r="C60">
        <v>3</v>
      </c>
      <c r="D60">
        <v>3</v>
      </c>
    </row>
    <row r="61" spans="1:13" x14ac:dyDescent="0.75">
      <c r="B61">
        <v>3</v>
      </c>
      <c r="C61">
        <v>3</v>
      </c>
      <c r="D61">
        <v>3</v>
      </c>
    </row>
    <row r="62" spans="1:13" x14ac:dyDescent="0.75">
      <c r="B62">
        <v>3</v>
      </c>
      <c r="C62">
        <v>3</v>
      </c>
      <c r="D62">
        <v>2</v>
      </c>
    </row>
    <row r="63" spans="1:13" x14ac:dyDescent="0.75">
      <c r="B63">
        <v>3</v>
      </c>
      <c r="C63">
        <v>3</v>
      </c>
      <c r="D63">
        <v>2</v>
      </c>
      <c r="I63" s="2"/>
      <c r="J63" s="2"/>
      <c r="K63" s="2"/>
      <c r="L63" s="2"/>
      <c r="M63" s="2"/>
    </row>
    <row r="64" spans="1:13" x14ac:dyDescent="0.75">
      <c r="B64">
        <v>2</v>
      </c>
      <c r="C64">
        <v>3</v>
      </c>
      <c r="D64">
        <v>2</v>
      </c>
    </row>
    <row r="65" spans="1:7" x14ac:dyDescent="0.75">
      <c r="B65">
        <v>2</v>
      </c>
      <c r="C65">
        <v>3</v>
      </c>
      <c r="D65">
        <v>2</v>
      </c>
    </row>
    <row r="66" spans="1:7" x14ac:dyDescent="0.75">
      <c r="B66">
        <v>2</v>
      </c>
      <c r="C66">
        <v>3</v>
      </c>
      <c r="D66">
        <v>1</v>
      </c>
    </row>
    <row r="67" spans="1:7" x14ac:dyDescent="0.75">
      <c r="B67">
        <v>2</v>
      </c>
      <c r="C67">
        <v>3</v>
      </c>
      <c r="D67">
        <v>1</v>
      </c>
    </row>
    <row r="68" spans="1:7" x14ac:dyDescent="0.75">
      <c r="B68">
        <v>1</v>
      </c>
      <c r="C68">
        <v>3</v>
      </c>
      <c r="D68">
        <v>1</v>
      </c>
    </row>
    <row r="69" spans="1:7" x14ac:dyDescent="0.75">
      <c r="B69">
        <v>1</v>
      </c>
      <c r="C69">
        <v>2</v>
      </c>
      <c r="D69">
        <v>1</v>
      </c>
    </row>
    <row r="70" spans="1:7" x14ac:dyDescent="0.75">
      <c r="A70" s="14"/>
      <c r="B70" s="14"/>
      <c r="C70" s="14"/>
      <c r="D70" s="14"/>
      <c r="F70" t="s">
        <v>50</v>
      </c>
      <c r="G70" t="s">
        <v>51</v>
      </c>
    </row>
    <row r="71" spans="1:7" x14ac:dyDescent="0.75">
      <c r="A71" s="14" t="s">
        <v>9</v>
      </c>
      <c r="B71" s="14">
        <v>6</v>
      </c>
      <c r="C71" s="14">
        <v>11</v>
      </c>
      <c r="D71" s="14">
        <v>4</v>
      </c>
      <c r="F71" s="24">
        <f>AVERAGE(B71:D71)</f>
        <v>7</v>
      </c>
      <c r="G71" s="24">
        <f>F71/$F$35*100</f>
        <v>58.333333333333336</v>
      </c>
    </row>
    <row r="72" spans="1:7" x14ac:dyDescent="0.75">
      <c r="A72" s="14" t="s">
        <v>10</v>
      </c>
      <c r="B72" s="14">
        <v>4</v>
      </c>
      <c r="C72" s="14">
        <v>1</v>
      </c>
      <c r="D72" s="14">
        <v>4</v>
      </c>
      <c r="F72" s="24">
        <f>AVERAGE(B72:D72)</f>
        <v>3</v>
      </c>
      <c r="G72" s="24">
        <f t="shared" ref="G72:G73" si="3">F72/$F$35*100</f>
        <v>25</v>
      </c>
    </row>
    <row r="73" spans="1:7" x14ac:dyDescent="0.75">
      <c r="A73" s="14" t="s">
        <v>7</v>
      </c>
      <c r="B73" s="14">
        <v>2</v>
      </c>
      <c r="C73" s="14">
        <v>0</v>
      </c>
      <c r="D73" s="14">
        <v>4</v>
      </c>
      <c r="F73" s="24">
        <f>AVERAGE(B73:D73)</f>
        <v>2</v>
      </c>
      <c r="G73" s="24">
        <f t="shared" si="3"/>
        <v>16.666666666666664</v>
      </c>
    </row>
    <row r="74" spans="1:7" x14ac:dyDescent="0.75">
      <c r="A74" s="14" t="s">
        <v>49</v>
      </c>
      <c r="B74" s="14">
        <f>SUM(B71:B73)</f>
        <v>12</v>
      </c>
      <c r="C74" s="14">
        <f t="shared" ref="C74" si="4">SUM(C71:C73)</f>
        <v>12</v>
      </c>
      <c r="D74" s="14">
        <f t="shared" ref="D74" si="5">SUM(D71:D73)</f>
        <v>12</v>
      </c>
      <c r="F74" s="14">
        <f t="shared" ref="F74" si="6">SUM(F71:F73)</f>
        <v>12</v>
      </c>
      <c r="G74" s="14">
        <f>SUM(G71:G73)</f>
        <v>100</v>
      </c>
    </row>
    <row r="148" spans="8:13" x14ac:dyDescent="0.75">
      <c r="H148" s="2"/>
      <c r="I148" s="2"/>
      <c r="J148" s="2"/>
      <c r="K148" s="2"/>
      <c r="L148" s="2"/>
      <c r="M148" s="2"/>
    </row>
    <row r="170" spans="1:2" x14ac:dyDescent="0.75">
      <c r="B170" s="11"/>
    </row>
    <row r="171" spans="1:2" x14ac:dyDescent="0.75">
      <c r="B171" s="11"/>
    </row>
    <row r="172" spans="1:2" x14ac:dyDescent="0.75">
      <c r="B172" s="11"/>
    </row>
    <row r="173" spans="1:2" x14ac:dyDescent="0.75">
      <c r="B173" s="11"/>
    </row>
    <row r="175" spans="1:2" x14ac:dyDescent="0.75">
      <c r="A175" s="1"/>
    </row>
  </sheetData>
  <sortState xmlns:xlrd2="http://schemas.microsoft.com/office/spreadsheetml/2017/richdata2" ref="D58:D69">
    <sortCondition descending="1" ref="D58:D6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dcterms:created xsi:type="dcterms:W3CDTF">2013-01-15T05:38:26Z</dcterms:created>
  <dcterms:modified xsi:type="dcterms:W3CDTF">2026-05-29T20:31:58Z</dcterms:modified>
</cp:coreProperties>
</file>