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300-Level Assessment\"/>
    </mc:Choice>
  </mc:AlternateContent>
  <xr:revisionPtr revIDLastSave="0" documentId="13_ncr:1_{870EAC90-CE58-4932-A65E-F3EECB5581C3}" xr6:coauthVersionLast="47" xr6:coauthVersionMax="47" xr10:uidLastSave="{00000000-0000-0000-0000-000000000000}"/>
  <bookViews>
    <workbookView xWindow="48480" yWindow="-120" windowWidth="29040" windowHeight="15225" activeTab="1" xr2:uid="{35C60996-4922-024B-9694-FE6F77B30526}"/>
  </bookViews>
  <sheets>
    <sheet name="Spring 2024" sheetId="1" r:id="rId1"/>
    <sheet name="Spring 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/>
  <c r="F55" i="1"/>
  <c r="C2" i="2" l="1" a="1"/>
  <c r="C2" i="2" s="1"/>
  <c r="F13" i="2" s="1"/>
  <c r="C3" i="2" a="1"/>
  <c r="C3" i="2" s="1"/>
  <c r="C22" i="2" a="1"/>
  <c r="C22" i="2" s="1"/>
  <c r="C23" i="2" a="1"/>
  <c r="C23" i="2" s="1"/>
  <c r="C4" i="2" a="1"/>
  <c r="C4" i="2"/>
  <c r="C5" i="2" a="1"/>
  <c r="C5" i="2" s="1"/>
  <c r="C24" i="2" a="1"/>
  <c r="C24" i="2" s="1"/>
  <c r="C6" i="2" a="1"/>
  <c r="C6" i="2" s="1"/>
  <c r="C25" i="2" a="1"/>
  <c r="C25" i="2" s="1"/>
  <c r="C7" i="2" a="1"/>
  <c r="C7" i="2" s="1"/>
  <c r="C26" i="2" a="1"/>
  <c r="C26" i="2" s="1"/>
  <c r="C8" i="2" a="1"/>
  <c r="C8" i="2" s="1"/>
  <c r="C9" i="2" a="1"/>
  <c r="C9" i="2"/>
  <c r="C10" i="2" a="1"/>
  <c r="C10" i="2" s="1"/>
  <c r="C11" i="2" a="1"/>
  <c r="C11" i="2" s="1"/>
  <c r="C12" i="2" a="1"/>
  <c r="C12" i="2"/>
  <c r="C13" i="2" a="1"/>
  <c r="C13" i="2" s="1"/>
  <c r="C27" i="2" a="1"/>
  <c r="C27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/>
  <c r="C20" i="2" a="1"/>
  <c r="C20" i="2" s="1"/>
  <c r="C21" i="2" a="1"/>
  <c r="C21" i="2" s="1"/>
  <c r="C3" i="1" a="1"/>
  <c r="C3" i="1" s="1"/>
  <c r="C4" i="1" a="1"/>
  <c r="C4" i="1" s="1"/>
  <c r="C34" i="1" a="1"/>
  <c r="C34" i="1" s="1"/>
  <c r="C5" i="1" a="1"/>
  <c r="C5" i="1" s="1"/>
  <c r="C6" i="1" a="1"/>
  <c r="C6" i="1" s="1"/>
  <c r="C35" i="1" a="1"/>
  <c r="C35" i="1" s="1"/>
  <c r="C7" i="1" a="1"/>
  <c r="C7" i="1"/>
  <c r="C8" i="1" a="1"/>
  <c r="C8" i="1" s="1"/>
  <c r="C9" i="1" a="1"/>
  <c r="C9" i="1" s="1"/>
  <c r="C36" i="1" a="1"/>
  <c r="C36" i="1" s="1"/>
  <c r="C10" i="1" a="1"/>
  <c r="C10" i="1" s="1"/>
  <c r="C11" i="1" a="1"/>
  <c r="C11" i="1" s="1"/>
  <c r="C12" i="1" a="1"/>
  <c r="C12" i="1" s="1"/>
  <c r="C37" i="1" a="1"/>
  <c r="C37" i="1" s="1"/>
  <c r="C38" i="1" a="1"/>
  <c r="C38" i="1" s="1"/>
  <c r="C39" i="1" a="1"/>
  <c r="C39" i="1" s="1"/>
  <c r="C40" i="1" a="1"/>
  <c r="C40" i="1" s="1"/>
  <c r="C41" i="1" a="1"/>
  <c r="C41" i="1"/>
  <c r="C13" i="1" a="1"/>
  <c r="C13" i="1" s="1"/>
  <c r="C14" i="1" a="1"/>
  <c r="C14" i="1" s="1"/>
  <c r="C15" i="1" a="1"/>
  <c r="C15" i="1" s="1"/>
  <c r="C42" i="1" a="1"/>
  <c r="C42" i="1" s="1"/>
  <c r="C43" i="1" a="1"/>
  <c r="C43" i="1" s="1"/>
  <c r="C44" i="1" a="1"/>
  <c r="C44" i="1" s="1"/>
  <c r="C45" i="1" a="1"/>
  <c r="C45" i="1"/>
  <c r="C16" i="1" a="1"/>
  <c r="C16" i="1"/>
  <c r="C17" i="1" a="1"/>
  <c r="C17" i="1" s="1"/>
  <c r="C18" i="1" a="1"/>
  <c r="C18" i="1" s="1"/>
  <c r="C19" i="1" a="1"/>
  <c r="C19" i="1" s="1"/>
  <c r="C46" i="1" a="1"/>
  <c r="C46" i="1" s="1"/>
  <c r="C20" i="1" a="1"/>
  <c r="C20" i="1"/>
  <c r="C21" i="1" a="1"/>
  <c r="C21" i="1" s="1"/>
  <c r="C22" i="1" a="1"/>
  <c r="C22" i="1"/>
  <c r="C23" i="1" a="1"/>
  <c r="C23" i="1" s="1"/>
  <c r="C47" i="1" a="1"/>
  <c r="C47" i="1"/>
  <c r="C24" i="1" a="1"/>
  <c r="C24" i="1" s="1"/>
  <c r="C48" i="1" a="1"/>
  <c r="C48" i="1" s="1"/>
  <c r="C25" i="1" a="1"/>
  <c r="C25" i="1"/>
  <c r="C49" i="1" a="1"/>
  <c r="C49" i="1"/>
  <c r="C26" i="1" a="1"/>
  <c r="C26" i="1" s="1"/>
  <c r="C27" i="1" a="1"/>
  <c r="C27" i="1" s="1"/>
  <c r="C28" i="1" a="1"/>
  <c r="C28" i="1"/>
  <c r="C29" i="1" a="1"/>
  <c r="C29" i="1" s="1"/>
  <c r="C30" i="1" a="1"/>
  <c r="C30" i="1"/>
  <c r="C31" i="1" a="1"/>
  <c r="C31" i="1" s="1"/>
  <c r="C32" i="1" a="1"/>
  <c r="C32" i="1"/>
  <c r="C33" i="1" a="1"/>
  <c r="C33" i="1" s="1"/>
  <c r="C50" i="1" a="1"/>
  <c r="C50" i="1"/>
  <c r="C2" i="1" a="1"/>
  <c r="C2" i="1" s="1"/>
  <c r="F14" i="2" l="1"/>
  <c r="F14" i="1"/>
  <c r="F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<sst xmlns="http://schemas.openxmlformats.org/spreadsheetml/2006/main" count="115" uniqueCount="68">
  <si>
    <t>This HW is about Economics</t>
  </si>
  <si>
    <t>Column1</t>
  </si>
  <si>
    <t>Mapped PI</t>
  </si>
  <si>
    <t>2, 5</t>
  </si>
  <si>
    <t>Mapped SLO</t>
  </si>
  <si>
    <t>Avg</t>
  </si>
  <si>
    <t>STD</t>
  </si>
  <si>
    <t xml:space="preserve">This is a presentation on process safety, control and economics. </t>
  </si>
  <si>
    <t>Student number</t>
  </si>
  <si>
    <t>Grade</t>
  </si>
  <si>
    <t>Rubric Item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</si>
  <si>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</si>
  <si>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</si>
  <si>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</si>
  <si>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</si>
  <si>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</si>
  <si>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</si>
  <si>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</si>
  <si>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</si>
  <si>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</si>
  <si>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</si>
  <si>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</si>
  <si>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</si>
  <si>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</si>
  <si>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</si>
  <si>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</si>
  <si>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</si>
  <si>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</si>
  <si>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</si>
  <si>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</si>
  <si>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</si>
  <si>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</si>
  <si>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</si>
  <si>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</si>
  <si>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</si>
  <si>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</si>
  <si>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</si>
  <si>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</si>
  <si>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</si>
  <si>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</si>
  <si>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</si>
  <si>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</si>
  <si>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</si>
  <si>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</si>
  <si>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</si>
  <si>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</si>
  <si>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</si>
  <si>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</si>
  <si>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</si>
  <si>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</si>
  <si>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</si>
  <si>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</si>
  <si>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</si>
  <si>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</si>
  <si>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</si>
  <si>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</si>
  <si>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</si>
  <si>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</si>
  <si>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</si>
  <si>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</si>
  <si>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90-100</t>
  </si>
  <si>
    <t>80-90</t>
  </si>
  <si>
    <t>&lt;80</t>
  </si>
  <si>
    <t>Average for SO 2 and 5</t>
  </si>
  <si>
    <t>Satisfactory</t>
  </si>
  <si>
    <t>Developing</t>
  </si>
  <si>
    <t>Unsatisfactory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</si>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</sst>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5" tint="-0.249977111117893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 tint="0.39997558519241921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7" tint="0.39997558519241921"/>
      </right>
      <top style="thin">
        <color theme="5"/>
      </top>
      <bottom style="thin">
        <color theme="5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10" xfId="0" applyFill="1" applyBorder="1"/>
    <xf numFmtId="0" fontId="18" fillId="34" borderId="11" xfId="0" applyFont="1" applyFill="1" applyBorder="1"/>
    <xf numFmtId="0" fontId="18" fillId="34" borderId="12" xfId="0" applyFont="1" applyFill="1" applyBorder="1"/>
    <xf numFmtId="0" fontId="18" fillId="34" borderId="13" xfId="0" applyFont="1" applyFill="1" applyBorder="1"/>
    <xf numFmtId="0" fontId="0" fillId="35" borderId="14" xfId="0" applyFill="1" applyBorder="1"/>
    <xf numFmtId="0" fontId="0" fillId="0" borderId="14" xfId="0" applyBorder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15E90-1049-3A4F-8A20-1C47AE492156}" name="Table25" displayName="Table25" ref="E11:F15" totalsRowShown="0">
  <autoFilter ref="E11:F15" xr:uid="{1E515E90-1049-3A4F-8A20-1C47AE492156}"/>
  <tableColumns count="2">
    <tableColumn id="1" xr3:uid="{661C823E-1325-EE4C-9E21-65464DFA705F}" name="This HW is about Economics" dataDxfId="1"/>
    <tableColumn id="2" xr3:uid="{EF3F093D-D0E8-6F41-94FC-CF37E19E5B44}" name="Column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F5B01F-61E6-E342-AFB4-4A4C75B7FA51}" name="Table253" displayName="Table253" ref="E10:F14" totalsRowShown="0">
  <autoFilter ref="E10:F14" xr:uid="{2CF5B01F-61E6-E342-AFB4-4A4C75B7FA51}"/>
  <tableColumns count="2">
    <tableColumn id="1" xr3:uid="{2107CBDC-0AF9-8443-AB06-6CEC63182D94}" name="This HW is about Economics" dataDxfId="0"/>
    <tableColumn id="2" xr3:uid="{AC83D231-D18F-0042-A451-9F2299D12EAB}" name="Column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E10C-9262-F943-A1C1-6B7C009ADC15}">
  <dimension ref="A1:F55"/>
  <sheetViews>
    <sheetView topLeftCell="A26" workbookViewId="0">
      <selection activeCell="E51" sqref="E51:F55"/>
    </sheetView>
  </sheetViews>
  <sheetFormatPr defaultColWidth="10.6640625" defaultRowHeight="16" x14ac:dyDescent="0.8"/>
  <cols>
    <col min="6" max="6" width="20.83203125" customWidth="1"/>
  </cols>
  <sheetData>
    <row r="1" spans="1:6" x14ac:dyDescent="0.8">
      <c r="A1" s="2" t="s">
        <v>8</v>
      </c>
      <c r="B1" s="3" t="s">
        <v>9</v>
      </c>
      <c r="C1" s="4" t="s">
        <v>10</v>
      </c>
    </row>
    <row r="2" spans="1:6" x14ac:dyDescent="0.8">
      <c r="A2" s="5" t="s">
        <v>11</v>
      </c>
      <c r="B2">
        <v>98</v>
      </c>
      <c r="C2" cm="1">
        <f t="array" ref="C2">_xlfn.IFS(B2&gt;89,3,B2&gt;79,2,B2&gt;0,1)</f>
        <v>3</v>
      </c>
    </row>
    <row r="3" spans="1:6" x14ac:dyDescent="0.8">
      <c r="A3" s="6" t="s">
        <v>12</v>
      </c>
      <c r="B3">
        <v>96</v>
      </c>
      <c r="C3" cm="1">
        <f t="array" ref="C3">_xlfn.IFS(B3&gt;89,3,B3&gt;79,2,B3&gt;0,1)</f>
        <v>3</v>
      </c>
    </row>
    <row r="4" spans="1:6" x14ac:dyDescent="0.8">
      <c r="A4" s="5" t="s">
        <v>13</v>
      </c>
      <c r="B4">
        <v>96</v>
      </c>
      <c r="C4" cm="1">
        <f t="array" ref="C4">_xlfn.IFS(B4&gt;89,3,B4&gt;79,2,B4&gt;0,1)</f>
        <v>3</v>
      </c>
    </row>
    <row r="5" spans="1:6" x14ac:dyDescent="0.8">
      <c r="A5" s="5" t="s">
        <v>15</v>
      </c>
      <c r="B5">
        <v>100</v>
      </c>
      <c r="C5" cm="1">
        <f t="array" ref="C5">_xlfn.IFS(B5&gt;89,3,B5&gt;79,2,B5&gt;0,1)</f>
        <v>3</v>
      </c>
    </row>
    <row r="6" spans="1:6" x14ac:dyDescent="0.8">
      <c r="A6" s="6" t="s">
        <v>16</v>
      </c>
      <c r="B6">
        <v>90</v>
      </c>
      <c r="C6" cm="1">
        <f t="array" ref="C6">_xlfn.IFS(B6&gt;89,3,B6&gt;79,2,B6&gt;0,1)</f>
        <v>3</v>
      </c>
      <c r="E6" t="s">
        <v>60</v>
      </c>
      <c r="F6">
        <v>3</v>
      </c>
    </row>
    <row r="7" spans="1:6" x14ac:dyDescent="0.8">
      <c r="A7" s="6" t="s">
        <v>18</v>
      </c>
      <c r="B7">
        <v>96</v>
      </c>
      <c r="C7" cm="1">
        <f t="array" ref="C7">_xlfn.IFS(B7&gt;89,3,B7&gt;79,2,B7&gt;0,1)</f>
        <v>3</v>
      </c>
      <c r="E7" t="s">
        <v>61</v>
      </c>
      <c r="F7">
        <v>2</v>
      </c>
    </row>
    <row r="8" spans="1:6" x14ac:dyDescent="0.8">
      <c r="A8" s="5" t="s">
        <v>19</v>
      </c>
      <c r="B8">
        <v>90</v>
      </c>
      <c r="C8" cm="1">
        <f t="array" ref="C8">_xlfn.IFS(B8&gt;89,3,B8&gt;79,2,B8&gt;0,1)</f>
        <v>3</v>
      </c>
      <c r="E8" t="s">
        <v>62</v>
      </c>
      <c r="F8">
        <v>1</v>
      </c>
    </row>
    <row r="9" spans="1:6" x14ac:dyDescent="0.8">
      <c r="A9" s="6" t="s">
        <v>20</v>
      </c>
      <c r="B9">
        <v>90</v>
      </c>
      <c r="C9" cm="1">
        <f t="array" ref="C9">_xlfn.IFS(B9&gt;89,3,B9&gt;79,2,B9&gt;0,1)</f>
        <v>3</v>
      </c>
    </row>
    <row r="10" spans="1:6" x14ac:dyDescent="0.8">
      <c r="A10" s="6" t="s">
        <v>22</v>
      </c>
      <c r="B10">
        <v>90</v>
      </c>
      <c r="C10" cm="1">
        <f t="array" ref="C10">_xlfn.IFS(B10&gt;89,3,B10&gt;79,2,B10&gt;0,1)</f>
        <v>3</v>
      </c>
    </row>
    <row r="11" spans="1:6" x14ac:dyDescent="0.8">
      <c r="A11" s="5" t="s">
        <v>23</v>
      </c>
      <c r="B11">
        <v>100</v>
      </c>
      <c r="C11" cm="1">
        <f t="array" ref="C11">_xlfn.IFS(B11&gt;89,3,B11&gt;79,2,B11&gt;0,1)</f>
        <v>3</v>
      </c>
      <c r="E11" t="s">
        <v>0</v>
      </c>
      <c r="F11" t="s">
        <v>1</v>
      </c>
    </row>
    <row r="12" spans="1:6" x14ac:dyDescent="0.8">
      <c r="A12" s="6" t="s">
        <v>24</v>
      </c>
      <c r="B12">
        <v>94</v>
      </c>
      <c r="C12" cm="1">
        <f t="array" ref="C12">_xlfn.IFS(B12&gt;89,3,B12&gt;79,2,B12&gt;0,1)</f>
        <v>3</v>
      </c>
      <c r="E12" s="1" t="s">
        <v>2</v>
      </c>
      <c r="F12" t="s">
        <v>3</v>
      </c>
    </row>
    <row r="13" spans="1:6" x14ac:dyDescent="0.8">
      <c r="A13" s="6" t="s">
        <v>30</v>
      </c>
      <c r="B13">
        <v>98</v>
      </c>
      <c r="C13" cm="1">
        <f t="array" ref="C13">_xlfn.IFS(B13&gt;89,3,B13&gt;79,2,B13&gt;0,1)</f>
        <v>3</v>
      </c>
      <c r="E13" s="1" t="s">
        <v>4</v>
      </c>
      <c r="F13" t="s">
        <v>3</v>
      </c>
    </row>
    <row r="14" spans="1:6" x14ac:dyDescent="0.8">
      <c r="A14" s="5" t="s">
        <v>31</v>
      </c>
      <c r="B14">
        <v>90</v>
      </c>
      <c r="C14" cm="1">
        <f t="array" ref="C14">_xlfn.IFS(B14&gt;89,3,B14&gt;79,2,B14&gt;0,1)</f>
        <v>3</v>
      </c>
      <c r="E14" s="1" t="s">
        <v>5</v>
      </c>
      <c r="F14" s="7">
        <f>AVERAGE(C3:C50)</f>
        <v>2.6458333333333335</v>
      </c>
    </row>
    <row r="15" spans="1:6" x14ac:dyDescent="0.8">
      <c r="A15" s="5" t="s">
        <v>32</v>
      </c>
      <c r="B15">
        <v>90</v>
      </c>
      <c r="C15" cm="1">
        <f t="array" ref="C15">_xlfn.IFS(B15&gt;89,3,B15&gt;79,2,B15&gt;0,1)</f>
        <v>3</v>
      </c>
      <c r="E15" s="1" t="s">
        <v>6</v>
      </c>
      <c r="F15" s="7">
        <f>STDEV(C3:C50)</f>
        <v>0.48332110525006278</v>
      </c>
    </row>
    <row r="16" spans="1:6" x14ac:dyDescent="0.8">
      <c r="A16" s="5" t="s">
        <v>37</v>
      </c>
      <c r="B16">
        <v>92</v>
      </c>
      <c r="C16" cm="1">
        <f t="array" ref="C16">_xlfn.IFS(B16&gt;89,3,B16&gt;79,2,B16&gt;0,1)</f>
        <v>3</v>
      </c>
    </row>
    <row r="17" spans="1:5" x14ac:dyDescent="0.8">
      <c r="A17" s="5" t="s">
        <v>38</v>
      </c>
      <c r="B17">
        <v>90</v>
      </c>
      <c r="C17" cm="1">
        <f t="array" ref="C17">_xlfn.IFS(B17&gt;89,3,B17&gt;79,2,B17&gt;0,1)</f>
        <v>3</v>
      </c>
    </row>
    <row r="18" spans="1:5" x14ac:dyDescent="0.8">
      <c r="A18" s="5" t="s">
        <v>39</v>
      </c>
      <c r="B18">
        <v>98</v>
      </c>
      <c r="C18" cm="1">
        <f t="array" ref="C18">_xlfn.IFS(B18&gt;89,3,B18&gt;79,2,B18&gt;0,1)</f>
        <v>3</v>
      </c>
      <c r="E18" t="s">
        <v>7</v>
      </c>
    </row>
    <row r="19" spans="1:5" x14ac:dyDescent="0.8">
      <c r="A19" s="5" t="s">
        <v>40</v>
      </c>
      <c r="B19">
        <v>96</v>
      </c>
      <c r="C19" cm="1">
        <f t="array" ref="C19">_xlfn.IFS(B19&gt;89,3,B19&gt;79,2,B19&gt;0,1)</f>
        <v>3</v>
      </c>
    </row>
    <row r="20" spans="1:5" x14ac:dyDescent="0.8">
      <c r="A20" s="5" t="s">
        <v>42</v>
      </c>
      <c r="B20">
        <v>90</v>
      </c>
      <c r="C20" cm="1">
        <f t="array" ref="C20">_xlfn.IFS(B20&gt;89,3,B20&gt;79,2,B20&gt;0,1)</f>
        <v>3</v>
      </c>
    </row>
    <row r="21" spans="1:5" x14ac:dyDescent="0.8">
      <c r="A21" s="5" t="s">
        <v>43</v>
      </c>
      <c r="B21">
        <v>96</v>
      </c>
      <c r="C21" cm="1">
        <f t="array" ref="C21">_xlfn.IFS(B21&gt;89,3,B21&gt;79,2,B21&gt;0,1)</f>
        <v>3</v>
      </c>
    </row>
    <row r="22" spans="1:5" x14ac:dyDescent="0.8">
      <c r="A22" s="5" t="s">
        <v>44</v>
      </c>
      <c r="B22">
        <v>90</v>
      </c>
      <c r="C22" cm="1">
        <f t="array" ref="C22">_xlfn.IFS(B22&gt;89,3,B22&gt;79,2,B22&gt;0,1)</f>
        <v>3</v>
      </c>
    </row>
    <row r="23" spans="1:5" x14ac:dyDescent="0.8">
      <c r="A23" s="5" t="s">
        <v>45</v>
      </c>
      <c r="B23">
        <v>92</v>
      </c>
      <c r="C23" cm="1">
        <f t="array" ref="C23">_xlfn.IFS(B23&gt;89,3,B23&gt;79,2,B23&gt;0,1)</f>
        <v>3</v>
      </c>
    </row>
    <row r="24" spans="1:5" x14ac:dyDescent="0.8">
      <c r="A24" s="5" t="s">
        <v>47</v>
      </c>
      <c r="B24">
        <v>94</v>
      </c>
      <c r="C24" cm="1">
        <f t="array" ref="C24">_xlfn.IFS(B24&gt;89,3,B24&gt;79,2,B24&gt;0,1)</f>
        <v>3</v>
      </c>
    </row>
    <row r="25" spans="1:5" x14ac:dyDescent="0.8">
      <c r="A25" s="5" t="s">
        <v>49</v>
      </c>
      <c r="B25">
        <v>96</v>
      </c>
      <c r="C25" cm="1">
        <f t="array" ref="C25">_xlfn.IFS(B25&gt;89,3,B25&gt;79,2,B25&gt;0,1)</f>
        <v>3</v>
      </c>
    </row>
    <row r="26" spans="1:5" x14ac:dyDescent="0.8">
      <c r="A26" s="5" t="s">
        <v>51</v>
      </c>
      <c r="B26">
        <v>92</v>
      </c>
      <c r="C26" cm="1">
        <f t="array" ref="C26">_xlfn.IFS(B26&gt;89,3,B26&gt;79,2,B26&gt;0,1)</f>
        <v>3</v>
      </c>
    </row>
    <row r="27" spans="1:5" x14ac:dyDescent="0.8">
      <c r="A27" s="5" t="s">
        <v>52</v>
      </c>
      <c r="B27">
        <v>94</v>
      </c>
      <c r="C27" cm="1">
        <f t="array" ref="C27">_xlfn.IFS(B27&gt;89,3,B27&gt;79,2,B27&gt;0,1)</f>
        <v>3</v>
      </c>
    </row>
    <row r="28" spans="1:5" x14ac:dyDescent="0.8">
      <c r="A28" s="5" t="s">
        <v>53</v>
      </c>
      <c r="B28">
        <v>98</v>
      </c>
      <c r="C28" cm="1">
        <f t="array" ref="C28">_xlfn.IFS(B28&gt;89,3,B28&gt;79,2,B28&gt;0,1)</f>
        <v>3</v>
      </c>
    </row>
    <row r="29" spans="1:5" x14ac:dyDescent="0.8">
      <c r="A29" s="5" t="s">
        <v>54</v>
      </c>
      <c r="B29">
        <v>90</v>
      </c>
      <c r="C29" cm="1">
        <f t="array" ref="C29">_xlfn.IFS(B29&gt;89,3,B29&gt;79,2,B29&gt;0,1)</f>
        <v>3</v>
      </c>
    </row>
    <row r="30" spans="1:5" x14ac:dyDescent="0.8">
      <c r="A30" s="5" t="s">
        <v>55</v>
      </c>
      <c r="B30">
        <v>90</v>
      </c>
      <c r="C30" cm="1">
        <f t="array" ref="C30">_xlfn.IFS(B30&gt;89,3,B30&gt;79,2,B30&gt;0,1)</f>
        <v>3</v>
      </c>
    </row>
    <row r="31" spans="1:5" x14ac:dyDescent="0.8">
      <c r="A31" s="5" t="s">
        <v>56</v>
      </c>
      <c r="B31">
        <v>94</v>
      </c>
      <c r="C31" cm="1">
        <f t="array" ref="C31">_xlfn.IFS(B31&gt;89,3,B31&gt;79,2,B31&gt;0,1)</f>
        <v>3</v>
      </c>
    </row>
    <row r="32" spans="1:5" x14ac:dyDescent="0.8">
      <c r="A32" s="5" t="s">
        <v>57</v>
      </c>
      <c r="B32">
        <v>96</v>
      </c>
      <c r="C32" cm="1">
        <f t="array" ref="C32">_xlfn.IFS(B32&gt;89,3,B32&gt;79,2,B32&gt;0,1)</f>
        <v>3</v>
      </c>
    </row>
    <row r="33" spans="1:3" x14ac:dyDescent="0.8">
      <c r="A33" s="5" t="s">
        <v>58</v>
      </c>
      <c r="B33">
        <v>90</v>
      </c>
      <c r="C33" cm="1">
        <f t="array" ref="C33">_xlfn.IFS(B33&gt;89,3,B33&gt;79,2,B33&gt;0,1)</f>
        <v>3</v>
      </c>
    </row>
    <row r="34" spans="1:3" x14ac:dyDescent="0.8">
      <c r="A34" s="6" t="s">
        <v>14</v>
      </c>
      <c r="B34">
        <v>84</v>
      </c>
      <c r="C34" cm="1">
        <f t="array" ref="C34">_xlfn.IFS(B34&gt;89,3,B34&gt;79,2,B34&gt;0,1)</f>
        <v>2</v>
      </c>
    </row>
    <row r="35" spans="1:3" x14ac:dyDescent="0.8">
      <c r="A35" s="5" t="s">
        <v>17</v>
      </c>
      <c r="B35">
        <v>84</v>
      </c>
      <c r="C35" cm="1">
        <f t="array" ref="C35">_xlfn.IFS(B35&gt;89,3,B35&gt;79,2,B35&gt;0,1)</f>
        <v>2</v>
      </c>
    </row>
    <row r="36" spans="1:3" x14ac:dyDescent="0.8">
      <c r="A36" s="5" t="s">
        <v>21</v>
      </c>
      <c r="B36">
        <v>88</v>
      </c>
      <c r="C36" cm="1">
        <f t="array" ref="C36">_xlfn.IFS(B36&gt;89,3,B36&gt;79,2,B36&gt;0,1)</f>
        <v>2</v>
      </c>
    </row>
    <row r="37" spans="1:3" x14ac:dyDescent="0.8">
      <c r="A37" s="5" t="s">
        <v>25</v>
      </c>
      <c r="B37">
        <v>80</v>
      </c>
      <c r="C37" cm="1">
        <f t="array" ref="C37">_xlfn.IFS(B37&gt;89,3,B37&gt;79,2,B37&gt;0,1)</f>
        <v>2</v>
      </c>
    </row>
    <row r="38" spans="1:3" x14ac:dyDescent="0.8">
      <c r="A38" s="6" t="s">
        <v>26</v>
      </c>
      <c r="B38">
        <v>88</v>
      </c>
      <c r="C38" cm="1">
        <f t="array" ref="C38">_xlfn.IFS(B38&gt;89,3,B38&gt;79,2,B38&gt;0,1)</f>
        <v>2</v>
      </c>
    </row>
    <row r="39" spans="1:3" x14ac:dyDescent="0.8">
      <c r="A39" s="5" t="s">
        <v>27</v>
      </c>
      <c r="B39">
        <v>88</v>
      </c>
      <c r="C39" cm="1">
        <f t="array" ref="C39">_xlfn.IFS(B39&gt;89,3,B39&gt;79,2,B39&gt;0,1)</f>
        <v>2</v>
      </c>
    </row>
    <row r="40" spans="1:3" x14ac:dyDescent="0.8">
      <c r="A40" s="6" t="s">
        <v>28</v>
      </c>
      <c r="B40">
        <v>88</v>
      </c>
      <c r="C40" cm="1">
        <f t="array" ref="C40">_xlfn.IFS(B40&gt;89,3,B40&gt;79,2,B40&gt;0,1)</f>
        <v>2</v>
      </c>
    </row>
    <row r="41" spans="1:3" x14ac:dyDescent="0.8">
      <c r="A41" s="5" t="s">
        <v>29</v>
      </c>
      <c r="B41">
        <v>84</v>
      </c>
      <c r="C41" cm="1">
        <f t="array" ref="C41">_xlfn.IFS(B41&gt;89,3,B41&gt;79,2,B41&gt;0,1)</f>
        <v>2</v>
      </c>
    </row>
    <row r="42" spans="1:3" x14ac:dyDescent="0.8">
      <c r="A42" s="5" t="s">
        <v>33</v>
      </c>
      <c r="B42">
        <v>88</v>
      </c>
      <c r="C42" cm="1">
        <f t="array" ref="C42">_xlfn.IFS(B42&gt;89,3,B42&gt;79,2,B42&gt;0,1)</f>
        <v>2</v>
      </c>
    </row>
    <row r="43" spans="1:3" x14ac:dyDescent="0.8">
      <c r="A43" s="5" t="s">
        <v>34</v>
      </c>
      <c r="B43">
        <v>88</v>
      </c>
      <c r="C43" cm="1">
        <f t="array" ref="C43">_xlfn.IFS(B43&gt;89,3,B43&gt;79,2,B43&gt;0,1)</f>
        <v>2</v>
      </c>
    </row>
    <row r="44" spans="1:3" x14ac:dyDescent="0.8">
      <c r="A44" s="5" t="s">
        <v>35</v>
      </c>
      <c r="B44">
        <v>84</v>
      </c>
      <c r="C44" cm="1">
        <f t="array" ref="C44">_xlfn.IFS(B44&gt;89,3,B44&gt;79,2,B44&gt;0,1)</f>
        <v>2</v>
      </c>
    </row>
    <row r="45" spans="1:3" x14ac:dyDescent="0.8">
      <c r="A45" s="5" t="s">
        <v>36</v>
      </c>
      <c r="B45">
        <v>84</v>
      </c>
      <c r="C45" cm="1">
        <f t="array" ref="C45">_xlfn.IFS(B45&gt;89,3,B45&gt;79,2,B45&gt;0,1)</f>
        <v>2</v>
      </c>
    </row>
    <row r="46" spans="1:3" x14ac:dyDescent="0.8">
      <c r="A46" s="5" t="s">
        <v>41</v>
      </c>
      <c r="B46">
        <v>88</v>
      </c>
      <c r="C46" cm="1">
        <f t="array" ref="C46">_xlfn.IFS(B46&gt;89,3,B46&gt;79,2,B46&gt;0,1)</f>
        <v>2</v>
      </c>
    </row>
    <row r="47" spans="1:3" x14ac:dyDescent="0.8">
      <c r="A47" s="5" t="s">
        <v>46</v>
      </c>
      <c r="B47">
        <v>84</v>
      </c>
      <c r="C47" cm="1">
        <f t="array" ref="C47">_xlfn.IFS(B47&gt;89,3,B47&gt;79,2,B47&gt;0,1)</f>
        <v>2</v>
      </c>
    </row>
    <row r="48" spans="1:3" x14ac:dyDescent="0.8">
      <c r="A48" s="5" t="s">
        <v>48</v>
      </c>
      <c r="B48">
        <v>84</v>
      </c>
      <c r="C48" cm="1">
        <f t="array" ref="C48">_xlfn.IFS(B48&gt;89,3,B48&gt;79,2,B48&gt;0,1)</f>
        <v>2</v>
      </c>
    </row>
    <row r="49" spans="1:6" x14ac:dyDescent="0.8">
      <c r="A49" s="5" t="s">
        <v>50</v>
      </c>
      <c r="B49">
        <v>80</v>
      </c>
      <c r="C49" cm="1">
        <f t="array" ref="C49">_xlfn.IFS(B49&gt;89,3,B49&gt;79,2,B49&gt;0,1)</f>
        <v>2</v>
      </c>
    </row>
    <row r="50" spans="1:6" x14ac:dyDescent="0.8">
      <c r="A50" s="5" t="s">
        <v>59</v>
      </c>
      <c r="B50">
        <v>88</v>
      </c>
      <c r="C50" cm="1">
        <f t="array" ref="C50">_xlfn.IFS(B50&gt;89,3,B50&gt;79,2,B50&gt;0,1)</f>
        <v>2</v>
      </c>
    </row>
    <row r="51" spans="1:6" x14ac:dyDescent="0.8">
      <c r="F51" t="s">
        <v>63</v>
      </c>
    </row>
    <row r="52" spans="1:6" x14ac:dyDescent="0.8">
      <c r="E52" t="s">
        <v>64</v>
      </c>
      <c r="F52">
        <v>32</v>
      </c>
    </row>
    <row r="53" spans="1:6" x14ac:dyDescent="0.8">
      <c r="E53" t="s">
        <v>65</v>
      </c>
      <c r="F53">
        <v>17</v>
      </c>
    </row>
    <row r="54" spans="1:6" x14ac:dyDescent="0.8">
      <c r="E54" t="s">
        <v>66</v>
      </c>
      <c r="F54">
        <v>0</v>
      </c>
    </row>
    <row r="55" spans="1:6" x14ac:dyDescent="0.8">
      <c r="E55" t="s">
        <v>67</v>
      </c>
      <c r="F55">
        <f>SUM(F52:F54)</f>
        <v>49</v>
      </c>
    </row>
  </sheetData>
  <sortState xmlns:xlrd2="http://schemas.microsoft.com/office/spreadsheetml/2017/richdata2" ref="A2:C50">
    <sortCondition descending="1" ref="C2:C50"/>
  </sortState>
  <phoneticPr fontId="19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2651-434C-3E48-A679-A32FD8AE4A3C}">
  <dimension ref="A1:F32"/>
  <sheetViews>
    <sheetView tabSelected="1" topLeftCell="A7" workbookViewId="0">
      <selection activeCell="H14" sqref="H14"/>
    </sheetView>
  </sheetViews>
  <sheetFormatPr defaultColWidth="10.6640625" defaultRowHeight="16" x14ac:dyDescent="0.8"/>
  <cols>
    <col min="5" max="5" width="30.1640625" customWidth="1"/>
  </cols>
  <sheetData>
    <row r="1" spans="1:6" x14ac:dyDescent="0.8">
      <c r="A1" s="2" t="s">
        <v>8</v>
      </c>
      <c r="B1" s="3" t="s">
        <v>9</v>
      </c>
      <c r="C1" s="4" t="s">
        <v>10</v>
      </c>
    </row>
    <row r="2" spans="1:6" x14ac:dyDescent="0.8">
      <c r="A2" s="6" t="s">
        <v>12</v>
      </c>
      <c r="B2">
        <v>98</v>
      </c>
      <c r="C2" cm="1">
        <f t="array" ref="C2">_xlfn.IFS(B2&gt;89,3,B2&gt;79,2,B2&gt;0,1)</f>
        <v>3</v>
      </c>
    </row>
    <row r="3" spans="1:6" x14ac:dyDescent="0.8">
      <c r="A3" s="5" t="s">
        <v>13</v>
      </c>
      <c r="B3">
        <v>92</v>
      </c>
      <c r="C3" cm="1">
        <f t="array" ref="C3">_xlfn.IFS(B3&gt;89,3,B3&gt;79,2,B3&gt;0,1)</f>
        <v>3</v>
      </c>
    </row>
    <row r="4" spans="1:6" x14ac:dyDescent="0.8">
      <c r="A4" s="5" t="s">
        <v>16</v>
      </c>
      <c r="B4">
        <v>98</v>
      </c>
      <c r="C4" cm="1">
        <f t="array" ref="C4">_xlfn.IFS(B4&gt;89,3,B4&gt;79,2,B4&gt;0,1)</f>
        <v>3</v>
      </c>
    </row>
    <row r="5" spans="1:6" x14ac:dyDescent="0.8">
      <c r="A5" s="5" t="s">
        <v>17</v>
      </c>
      <c r="B5">
        <v>96</v>
      </c>
      <c r="C5" cm="1">
        <f t="array" ref="C5">_xlfn.IFS(B5&gt;89,3,B5&gt;79,2,B5&gt;0,1)</f>
        <v>3</v>
      </c>
      <c r="E5" t="s">
        <v>60</v>
      </c>
      <c r="F5">
        <v>3</v>
      </c>
    </row>
    <row r="6" spans="1:6" x14ac:dyDescent="0.8">
      <c r="A6" s="5" t="s">
        <v>19</v>
      </c>
      <c r="B6">
        <v>96</v>
      </c>
      <c r="C6" cm="1">
        <f t="array" ref="C6">_xlfn.IFS(B6&gt;89,3,B6&gt;79,2,B6&gt;0,1)</f>
        <v>3</v>
      </c>
      <c r="E6" t="s">
        <v>61</v>
      </c>
      <c r="F6">
        <v>2</v>
      </c>
    </row>
    <row r="7" spans="1:6" x14ac:dyDescent="0.8">
      <c r="A7" s="5" t="s">
        <v>21</v>
      </c>
      <c r="B7">
        <v>92</v>
      </c>
      <c r="C7" cm="1">
        <f t="array" ref="C7">_xlfn.IFS(B7&gt;89,3,B7&gt;79,2,B7&gt;0,1)</f>
        <v>3</v>
      </c>
      <c r="E7" t="s">
        <v>62</v>
      </c>
      <c r="F7">
        <v>1</v>
      </c>
    </row>
    <row r="8" spans="1:6" x14ac:dyDescent="0.8">
      <c r="A8" s="5" t="s">
        <v>23</v>
      </c>
      <c r="B8">
        <v>92</v>
      </c>
      <c r="C8" cm="1">
        <f t="array" ref="C8">_xlfn.IFS(B8&gt;89,3,B8&gt;79,2,B8&gt;0,1)</f>
        <v>3</v>
      </c>
    </row>
    <row r="9" spans="1:6" x14ac:dyDescent="0.8">
      <c r="A9" s="5" t="s">
        <v>24</v>
      </c>
      <c r="B9">
        <v>96</v>
      </c>
      <c r="C9" cm="1">
        <f t="array" ref="C9">_xlfn.IFS(B9&gt;89,3,B9&gt;79,2,B9&gt;0,1)</f>
        <v>3</v>
      </c>
    </row>
    <row r="10" spans="1:6" x14ac:dyDescent="0.8">
      <c r="A10" s="5" t="s">
        <v>25</v>
      </c>
      <c r="B10">
        <v>92</v>
      </c>
      <c r="C10" cm="1">
        <f t="array" ref="C10">_xlfn.IFS(B10&gt;89,3,B10&gt;79,2,B10&gt;0,1)</f>
        <v>3</v>
      </c>
      <c r="E10" t="s">
        <v>0</v>
      </c>
      <c r="F10" t="s">
        <v>1</v>
      </c>
    </row>
    <row r="11" spans="1:6" x14ac:dyDescent="0.8">
      <c r="A11" s="5" t="s">
        <v>26</v>
      </c>
      <c r="B11">
        <v>90</v>
      </c>
      <c r="C11" cm="1">
        <f t="array" ref="C11">_xlfn.IFS(B11&gt;89,3,B11&gt;79,2,B11&gt;0,1)</f>
        <v>3</v>
      </c>
      <c r="E11" s="1" t="s">
        <v>2</v>
      </c>
      <c r="F11" t="s">
        <v>3</v>
      </c>
    </row>
    <row r="12" spans="1:6" x14ac:dyDescent="0.8">
      <c r="A12" s="5" t="s">
        <v>27</v>
      </c>
      <c r="B12">
        <v>92</v>
      </c>
      <c r="C12" cm="1">
        <f t="array" ref="C12">_xlfn.IFS(B12&gt;89,3,B12&gt;79,2,B12&gt;0,1)</f>
        <v>3</v>
      </c>
      <c r="E12" s="1" t="s">
        <v>4</v>
      </c>
      <c r="F12" t="s">
        <v>3</v>
      </c>
    </row>
    <row r="13" spans="1:6" x14ac:dyDescent="0.8">
      <c r="A13" s="5" t="s">
        <v>28</v>
      </c>
      <c r="B13">
        <v>100</v>
      </c>
      <c r="C13" cm="1">
        <f t="array" ref="C13">_xlfn.IFS(B13&gt;89,3,B13&gt;79,2,B13&gt;0,1)</f>
        <v>3</v>
      </c>
      <c r="E13" s="1" t="s">
        <v>5</v>
      </c>
      <c r="F13" s="7">
        <f>AVERAGE(C2:C27)</f>
        <v>2.7307692307692308</v>
      </c>
    </row>
    <row r="14" spans="1:6" x14ac:dyDescent="0.8">
      <c r="A14" s="5" t="s">
        <v>30</v>
      </c>
      <c r="B14">
        <v>98</v>
      </c>
      <c r="C14" cm="1">
        <f t="array" ref="C14">_xlfn.IFS(B14&gt;89,3,B14&gt;79,2,B14&gt;0,1)</f>
        <v>3</v>
      </c>
      <c r="E14" s="1" t="s">
        <v>6</v>
      </c>
      <c r="F14" s="7">
        <f>STDEV(C2:C27)</f>
        <v>0.45234432086120474</v>
      </c>
    </row>
    <row r="15" spans="1:6" x14ac:dyDescent="0.8">
      <c r="A15" s="5" t="s">
        <v>31</v>
      </c>
      <c r="B15">
        <v>90</v>
      </c>
      <c r="C15" cm="1">
        <f t="array" ref="C15">_xlfn.IFS(B15&gt;89,3,B15&gt;79,2,B15&gt;0,1)</f>
        <v>3</v>
      </c>
    </row>
    <row r="16" spans="1:6" x14ac:dyDescent="0.8">
      <c r="A16" s="5" t="s">
        <v>32</v>
      </c>
      <c r="B16">
        <v>96</v>
      </c>
      <c r="C16" cm="1">
        <f t="array" ref="C16">_xlfn.IFS(B16&gt;89,3,B16&gt;79,2,B16&gt;0,1)</f>
        <v>3</v>
      </c>
    </row>
    <row r="17" spans="1:6" x14ac:dyDescent="0.8">
      <c r="A17" s="5" t="s">
        <v>33</v>
      </c>
      <c r="B17">
        <v>96</v>
      </c>
      <c r="C17" cm="1">
        <f t="array" ref="C17">_xlfn.IFS(B17&gt;89,3,B17&gt;79,2,B17&gt;0,1)</f>
        <v>3</v>
      </c>
      <c r="E17" t="s">
        <v>7</v>
      </c>
    </row>
    <row r="18" spans="1:6" x14ac:dyDescent="0.8">
      <c r="A18" s="5" t="s">
        <v>34</v>
      </c>
      <c r="B18">
        <v>90</v>
      </c>
      <c r="C18" cm="1">
        <f t="array" ref="C18">_xlfn.IFS(B18&gt;89,3,B18&gt;79,2,B18&gt;0,1)</f>
        <v>3</v>
      </c>
    </row>
    <row r="19" spans="1:6" x14ac:dyDescent="0.8">
      <c r="A19" s="5" t="s">
        <v>35</v>
      </c>
      <c r="B19">
        <v>98</v>
      </c>
      <c r="C19" cm="1">
        <f t="array" ref="C19">_xlfn.IFS(B19&gt;89,3,B19&gt;79,2,B19&gt;0,1)</f>
        <v>3</v>
      </c>
    </row>
    <row r="20" spans="1:6" x14ac:dyDescent="0.8">
      <c r="A20" s="5" t="s">
        <v>36</v>
      </c>
      <c r="B20">
        <v>100</v>
      </c>
      <c r="C20" cm="1">
        <f t="array" ref="C20">_xlfn.IFS(B20&gt;89,3,B20&gt;79,2,B20&gt;0,1)</f>
        <v>3</v>
      </c>
    </row>
    <row r="21" spans="1:6" x14ac:dyDescent="0.8">
      <c r="A21" s="5" t="s">
        <v>11</v>
      </c>
      <c r="B21">
        <v>80</v>
      </c>
      <c r="C21" cm="1">
        <f t="array" ref="C21">_xlfn.IFS(B21&gt;89,3,B21&gt;79,2,B21&gt;0,1)</f>
        <v>2</v>
      </c>
    </row>
    <row r="22" spans="1:6" x14ac:dyDescent="0.8">
      <c r="A22" s="5" t="s">
        <v>14</v>
      </c>
      <c r="B22">
        <v>80</v>
      </c>
      <c r="C22" cm="1">
        <f t="array" ref="C22">_xlfn.IFS(B22&gt;89,3,B22&gt;79,2,B22&gt;0,1)</f>
        <v>2</v>
      </c>
    </row>
    <row r="23" spans="1:6" x14ac:dyDescent="0.8">
      <c r="A23" s="5" t="s">
        <v>15</v>
      </c>
      <c r="B23">
        <v>80</v>
      </c>
      <c r="C23" cm="1">
        <f t="array" ref="C23">_xlfn.IFS(B23&gt;89,3,B23&gt;79,2,B23&gt;0,1)</f>
        <v>2</v>
      </c>
    </row>
    <row r="24" spans="1:6" x14ac:dyDescent="0.8">
      <c r="A24" s="5" t="s">
        <v>18</v>
      </c>
      <c r="B24">
        <v>80</v>
      </c>
      <c r="C24" cm="1">
        <f t="array" ref="C24">_xlfn.IFS(B24&gt;89,3,B24&gt;79,2,B24&gt;0,1)</f>
        <v>2</v>
      </c>
    </row>
    <row r="25" spans="1:6" x14ac:dyDescent="0.8">
      <c r="A25" s="5" t="s">
        <v>20</v>
      </c>
      <c r="B25">
        <v>88</v>
      </c>
      <c r="C25" cm="1">
        <f t="array" ref="C25">_xlfn.IFS(B25&gt;89,3,B25&gt;79,2,B25&gt;0,1)</f>
        <v>2</v>
      </c>
    </row>
    <row r="26" spans="1:6" x14ac:dyDescent="0.8">
      <c r="A26" s="5" t="s">
        <v>22</v>
      </c>
      <c r="B26">
        <v>88</v>
      </c>
      <c r="C26" cm="1">
        <f t="array" ref="C26">_xlfn.IFS(B26&gt;89,3,B26&gt;79,2,B26&gt;0,1)</f>
        <v>2</v>
      </c>
    </row>
    <row r="27" spans="1:6" x14ac:dyDescent="0.8">
      <c r="A27" s="5" t="s">
        <v>29</v>
      </c>
      <c r="B27">
        <v>88</v>
      </c>
      <c r="C27" cm="1">
        <f t="array" ref="C27">_xlfn.IFS(B27&gt;89,3,B27&gt;79,2,B27&gt;0,1)</f>
        <v>2</v>
      </c>
    </row>
    <row r="28" spans="1:6" x14ac:dyDescent="0.8">
      <c r="F28" t="s">
        <v>63</v>
      </c>
    </row>
    <row r="29" spans="1:6" x14ac:dyDescent="0.8">
      <c r="E29" t="s">
        <v>64</v>
      </c>
      <c r="F29">
        <v>19</v>
      </c>
    </row>
    <row r="30" spans="1:6" x14ac:dyDescent="0.8">
      <c r="E30" t="s">
        <v>65</v>
      </c>
      <c r="F30">
        <v>7</v>
      </c>
    </row>
    <row r="31" spans="1:6" x14ac:dyDescent="0.8">
      <c r="E31" t="s">
        <v>66</v>
      </c>
      <c r="F31">
        <v>0</v>
      </c>
    </row>
    <row r="32" spans="1:6" x14ac:dyDescent="0.8">
      <c r="E32" t="s">
        <v>67</v>
      </c>
      <c r="F32">
        <f>SUM(F29:F31)</f>
        <v>26</v>
      </c>
    </row>
  </sheetData>
  <sortState xmlns:xlrd2="http://schemas.microsoft.com/office/spreadsheetml/2017/richdata2" ref="A2:C27">
    <sortCondition descending="1" ref="C2:C27"/>
  </sortState>
  <phoneticPr fontId="1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Spring 2024</vt:lpstr>
      <vt:lpstr>Spring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Zdunek, Alan</cp:lastModifiedBy>
  <dcterms:created xsi:type="dcterms:W3CDTF">2026-04-09T23:22:08Z</dcterms:created>
  <dcterms:modified xsi:type="dcterms:W3CDTF">2026-05-22T00:49:02Z</dcterms:modified>
</cp:coreProperties>
</file>