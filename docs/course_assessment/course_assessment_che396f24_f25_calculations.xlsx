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F8735590-68C0-4606-8CD2-B142ACB28D4E}" xr6:coauthVersionLast="47" xr6:coauthVersionMax="47" xr10:uidLastSave="{00000000-0000-0000-0000-000000000000}"/>
  <bookViews>
    <workbookView xWindow="48480" yWindow="-120" windowWidth="29040" windowHeight="15225" activeTab="1" xr2:uid="{869A4E78-F0BC-7141-B46C-F3B74E182D2A}"/>
  </bookViews>
  <sheets>
    <sheet name="Fall 2024_HW 3" sheetId="1" r:id="rId1"/>
    <sheet name="Fall 2025_HW 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G44" i="1"/>
  <c r="H14" i="2" l="1"/>
  <c r="D4" i="2"/>
  <c r="H13" i="2" s="1"/>
  <c r="D6" i="2"/>
  <c r="D7" i="2"/>
  <c r="D12" i="2"/>
  <c r="D13" i="2"/>
  <c r="D15" i="2"/>
  <c r="D16" i="2"/>
  <c r="D2" i="1"/>
  <c r="D3" i="1"/>
  <c r="D4" i="1"/>
  <c r="D5" i="1"/>
  <c r="H13" i="1" s="1"/>
  <c r="D6" i="1"/>
  <c r="D25" i="1"/>
  <c r="D26" i="1"/>
  <c r="D7" i="1"/>
  <c r="H14" i="1" s="1"/>
  <c r="D27" i="1"/>
  <c r="D28" i="1"/>
  <c r="D8" i="1"/>
  <c r="D9" i="1"/>
  <c r="D10" i="1"/>
  <c r="D11" i="1"/>
  <c r="D29" i="1"/>
  <c r="D12" i="1"/>
  <c r="D13" i="1"/>
  <c r="D14" i="1"/>
  <c r="D15" i="1"/>
  <c r="D30" i="1"/>
  <c r="D31" i="1"/>
  <c r="D16" i="1"/>
  <c r="D17" i="1"/>
  <c r="D32" i="1"/>
  <c r="D33" i="1"/>
  <c r="D34" i="1"/>
  <c r="D18" i="1"/>
  <c r="D35" i="1"/>
  <c r="D36" i="1"/>
  <c r="D19" i="1"/>
  <c r="D37" i="1"/>
  <c r="D38" i="1"/>
  <c r="D20" i="1"/>
  <c r="D21" i="1"/>
  <c r="D22" i="1"/>
  <c r="D39" i="1"/>
  <c r="D40" i="1"/>
  <c r="D23" i="1"/>
  <c r="D24" i="1"/>
</calcChain>
</file>

<file path=xl/sharedStrings.xml><?xml version="1.0" encoding="utf-8"?>
<sst xmlns="http://schemas.openxmlformats.org/spreadsheetml/2006/main" count="103" uniqueCount="60">
  <si>
    <t>95-100</t>
  </si>
  <si>
    <t>90-94</t>
  </si>
  <si>
    <t>&lt;90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</si>
  <si>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</si>
  <si>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</si>
  <si>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</si>
  <si>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</si>
  <si>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</si>
  <si>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</si>
  <si>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</si>
  <si>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</si>
  <si>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</si>
  <si>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</si>
  <si>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</si>
  <si>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</si>
  <si>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</si>
  <si>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</si>
  <si>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</si>
  <si>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</si>
  <si>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</si>
  <si>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</si>
  <si>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</si>
  <si>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</si>
  <si>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</si>
  <si>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</si>
  <si>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</si>
  <si>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</si>
  <si>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</si>
  <si>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</si>
  <si>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</si>
  <si>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</si>
  <si>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</si>
  <si>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</si>
  <si>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</si>
  <si>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</si>
  <si>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</si>
  <si>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</si>
  <si>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</si>
  <si>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</si>
  <si>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</si>
  <si>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</si>
  <si>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</si>
  <si>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number</t>
  </si>
  <si>
    <t>Grade</t>
  </si>
  <si>
    <t>Rubric Item</t>
  </si>
  <si>
    <t>Column1</t>
  </si>
  <si>
    <t>Mapped PI</t>
  </si>
  <si>
    <t>Mapped SLO</t>
  </si>
  <si>
    <t>Avg</t>
  </si>
  <si>
    <t>STD</t>
  </si>
  <si>
    <t>This HW is about Economics</t>
  </si>
  <si>
    <t>2, 5</t>
  </si>
  <si>
    <t>90-100</t>
  </si>
  <si>
    <t>80-89</t>
  </si>
  <si>
    <t>&lt;80</t>
  </si>
  <si>
    <t>Satisfactory</t>
  </si>
  <si>
    <t>Developing</t>
  </si>
  <si>
    <t>Unsatisfactory</t>
  </si>
  <si>
    <t>Total</t>
  </si>
  <si>
    <t>Average for SO 2 and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</si>
</sst>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5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/>
      <bottom style="thin">
        <color theme="5"/>
      </bottom>
      <diagonal/>
    </border>
    <border>
      <left/>
      <right style="thin">
        <color theme="7" tint="0.39997558519241921"/>
      </right>
      <top/>
      <bottom style="thin">
        <color theme="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/>
    <xf numFmtId="0" fontId="0" fillId="34" borderId="11" xfId="0" applyFill="1" applyBorder="1"/>
    <xf numFmtId="0" fontId="0" fillId="0" borderId="11" xfId="0" applyBorder="1"/>
    <xf numFmtId="0" fontId="0" fillId="35" borderId="12" xfId="0" applyFill="1" applyBorder="1"/>
    <xf numFmtId="0" fontId="19" fillId="33" borderId="13" xfId="0" applyFont="1" applyFill="1" applyBorder="1"/>
    <xf numFmtId="0" fontId="19" fillId="33" borderId="10" xfId="0" applyFont="1" applyFill="1" applyBorder="1"/>
    <xf numFmtId="0" fontId="19" fillId="33" borderId="14" xfId="0" applyFont="1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outline="0">
        <bottom style="thin">
          <color theme="5"/>
        </bottom>
      </border>
    </dxf>
    <dxf>
      <border outline="0"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Aptos Narrow"/>
        <family val="2"/>
        <scheme val="minor"/>
      </font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border outline="0">
        <top style="thin">
          <color theme="5"/>
        </top>
      </border>
    </dxf>
    <dxf>
      <border outline="0"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Aptos Narrow"/>
        <family val="2"/>
        <scheme val="minor"/>
      </font>
      <fill>
        <patternFill patternType="solid">
          <fgColor theme="7"/>
          <bgColor theme="7"/>
        </patternFill>
      </fill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615FC-5251-8843-8AA2-C89B78ACA0A1}" name="Table1" displayName="Table1" ref="B1:D1048576" totalsRowShown="0" headerRowDxfId="2" headerRowBorderDxfId="0" tableBorderDxfId="1">
  <autoFilter ref="B1:D1048576" xr:uid="{B41615FC-5251-8843-8AA2-C89B78ACA0A1}"/>
  <sortState xmlns:xlrd2="http://schemas.microsoft.com/office/spreadsheetml/2017/richdata2" ref="B2:D40">
    <sortCondition descending="1" ref="D2:D40"/>
  </sortState>
  <tableColumns count="3">
    <tableColumn id="1" xr3:uid="{E2D658DF-725A-6644-877E-2AB8AD666DC3}" name="Student number"/>
    <tableColumn id="2" xr3:uid="{6E55CF90-94EC-6642-9EC2-74E392F3AACE}" name="Grade"/>
    <tableColumn id="3" xr3:uid="{8482543D-2983-2B49-9C9E-232A6C5226F8}" name="Rubric Item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339E9-1159-1C4B-B2DE-0C46B072A5F2}" name="Table2" displayName="Table2" ref="G10:H14" totalsRowShown="0">
  <autoFilter ref="G10:H14" xr:uid="{555339E9-1159-1C4B-B2DE-0C46B072A5F2}"/>
  <tableColumns count="2">
    <tableColumn id="1" xr3:uid="{62DE5495-793F-414A-9791-B2F86484D405}" name="This HW is about Economics" dataDxfId="8"/>
    <tableColumn id="2" xr3:uid="{4A9FCB9A-33E2-B34B-94B3-BADF376507BC}" name="Column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37EEFF-43A1-3D4A-9D0C-4884B6ACA4AD}" name="Table3" displayName="Table3" ref="B1:D1048576" totalsRowShown="0" headerRowDxfId="7" headerRowBorderDxfId="6" tableBorderDxfId="5">
  <autoFilter ref="B1:D1048576" xr:uid="{C637EEFF-43A1-3D4A-9D0C-4884B6ACA4AD}"/>
  <sortState xmlns:xlrd2="http://schemas.microsoft.com/office/spreadsheetml/2017/richdata2" ref="B2:D27">
    <sortCondition descending="1" ref="D2:D27"/>
  </sortState>
  <tableColumns count="3">
    <tableColumn id="1" xr3:uid="{86670CDC-F9D8-7F42-859E-862C627426DC}" name="Student number"/>
    <tableColumn id="2" xr3:uid="{42CB829E-0A53-3D4B-A637-08C05C7A0A63}" name="Grade"/>
    <tableColumn id="3" xr3:uid="{B0B6023B-93FC-FF49-973B-937D221FE763}" name="Rubric Item" dataDxfId="4">
      <calculatedColumnFormula>IF(C2&gt; 94, 3, 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47803D-E999-3E41-9317-55F6D2043C1F}" name="Table25" displayName="Table25" ref="G10:H14" totalsRowShown="0">
  <autoFilter ref="G10:H14" xr:uid="{9E47803D-E999-3E41-9317-55F6D2043C1F}"/>
  <tableColumns count="2">
    <tableColumn id="1" xr3:uid="{0CBD50BB-58A2-2C42-A3F5-58DA547802C3}" name="This HW is about Economics" dataDxfId="3"/>
    <tableColumn id="2" xr3:uid="{7BF61EC7-91E2-AA45-BFFB-8BC69B1A56ED}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4F58-D338-8B42-B2A1-A0C9AF4D47D7}">
  <dimension ref="B1:H44"/>
  <sheetViews>
    <sheetView topLeftCell="A22" workbookViewId="0">
      <selection activeCell="F40" sqref="F40:G44"/>
    </sheetView>
  </sheetViews>
  <sheetFormatPr defaultColWidth="10.6640625" defaultRowHeight="16" x14ac:dyDescent="0.8"/>
  <cols>
    <col min="2" max="2" width="16.5" customWidth="1"/>
    <col min="4" max="4" width="13" customWidth="1"/>
    <col min="6" max="6" width="12.6640625" customWidth="1"/>
    <col min="7" max="7" width="30.6640625" customWidth="1"/>
  </cols>
  <sheetData>
    <row r="1" spans="2:8" x14ac:dyDescent="0.8">
      <c r="B1" s="1" t="s">
        <v>42</v>
      </c>
      <c r="C1" s="1" t="s">
        <v>43</v>
      </c>
      <c r="D1" s="1" t="s">
        <v>44</v>
      </c>
    </row>
    <row r="2" spans="2:8" x14ac:dyDescent="0.8">
      <c r="B2" t="s">
        <v>4</v>
      </c>
      <c r="C2">
        <v>100</v>
      </c>
      <c r="D2">
        <f>IF(C2&gt; 94, 3, 2)</f>
        <v>3</v>
      </c>
    </row>
    <row r="3" spans="2:8" x14ac:dyDescent="0.8">
      <c r="B3" t="s">
        <v>5</v>
      </c>
      <c r="C3">
        <v>95</v>
      </c>
      <c r="D3">
        <f>IF(C3&gt; 94, 3, 2)</f>
        <v>3</v>
      </c>
    </row>
    <row r="4" spans="2:8" x14ac:dyDescent="0.8">
      <c r="B4" t="s">
        <v>6</v>
      </c>
      <c r="C4">
        <v>100</v>
      </c>
      <c r="D4">
        <f>IF(C4&gt; 94, 3, 2)</f>
        <v>3</v>
      </c>
    </row>
    <row r="5" spans="2:8" x14ac:dyDescent="0.8">
      <c r="B5" t="s">
        <v>7</v>
      </c>
      <c r="C5">
        <v>95</v>
      </c>
      <c r="D5">
        <f>IF(C5&gt; 94, 3, 2)</f>
        <v>3</v>
      </c>
      <c r="G5" t="s">
        <v>0</v>
      </c>
      <c r="H5">
        <v>3</v>
      </c>
    </row>
    <row r="6" spans="2:8" x14ac:dyDescent="0.8">
      <c r="B6" t="s">
        <v>8</v>
      </c>
      <c r="C6">
        <v>100</v>
      </c>
      <c r="D6">
        <f>IF(C6&gt; 94, 3, 2)</f>
        <v>3</v>
      </c>
      <c r="G6" t="s">
        <v>1</v>
      </c>
      <c r="H6">
        <v>2</v>
      </c>
    </row>
    <row r="7" spans="2:8" x14ac:dyDescent="0.8">
      <c r="B7" t="s">
        <v>11</v>
      </c>
      <c r="C7">
        <v>95</v>
      </c>
      <c r="D7">
        <f>IF(C7&gt; 94, 3, 2)</f>
        <v>3</v>
      </c>
      <c r="G7" t="s">
        <v>2</v>
      </c>
      <c r="H7">
        <v>1</v>
      </c>
    </row>
    <row r="8" spans="2:8" x14ac:dyDescent="0.8">
      <c r="B8" t="s">
        <v>14</v>
      </c>
      <c r="C8">
        <v>95</v>
      </c>
      <c r="D8">
        <f>IF(C8&gt; 94, 3, 2)</f>
        <v>3</v>
      </c>
    </row>
    <row r="9" spans="2:8" x14ac:dyDescent="0.8">
      <c r="B9" t="s">
        <v>15</v>
      </c>
      <c r="C9">
        <v>95</v>
      </c>
      <c r="D9">
        <f>IF(C9&gt; 94, 3, 2)</f>
        <v>3</v>
      </c>
    </row>
    <row r="10" spans="2:8" x14ac:dyDescent="0.8">
      <c r="B10" t="s">
        <v>16</v>
      </c>
      <c r="C10">
        <v>95</v>
      </c>
      <c r="D10">
        <f>IF(C10&gt; 94, 3, 2)</f>
        <v>3</v>
      </c>
      <c r="G10" t="s">
        <v>50</v>
      </c>
      <c r="H10" t="s">
        <v>45</v>
      </c>
    </row>
    <row r="11" spans="2:8" x14ac:dyDescent="0.8">
      <c r="B11" t="s">
        <v>17</v>
      </c>
      <c r="C11">
        <v>95</v>
      </c>
      <c r="D11">
        <f>IF(C11&gt; 94, 3, 2)</f>
        <v>3</v>
      </c>
      <c r="G11" s="4" t="s">
        <v>46</v>
      </c>
      <c r="H11" t="s">
        <v>51</v>
      </c>
    </row>
    <row r="12" spans="2:8" x14ac:dyDescent="0.8">
      <c r="B12" t="s">
        <v>19</v>
      </c>
      <c r="C12">
        <v>95</v>
      </c>
      <c r="D12">
        <f>IF(C12&gt; 94, 3, 2)</f>
        <v>3</v>
      </c>
      <c r="G12" s="4" t="s">
        <v>47</v>
      </c>
      <c r="H12" t="s">
        <v>51</v>
      </c>
    </row>
    <row r="13" spans="2:8" x14ac:dyDescent="0.8">
      <c r="B13" t="s">
        <v>20</v>
      </c>
      <c r="C13">
        <v>95</v>
      </c>
      <c r="D13">
        <f>IF(C13&gt; 94, 3, 2)</f>
        <v>3</v>
      </c>
      <c r="G13" s="4" t="s">
        <v>48</v>
      </c>
      <c r="H13" s="8">
        <f>AVERAGE(D2:D40)</f>
        <v>2.5641025641025643</v>
      </c>
    </row>
    <row r="14" spans="2:8" x14ac:dyDescent="0.8">
      <c r="B14" t="s">
        <v>21</v>
      </c>
      <c r="C14">
        <v>95</v>
      </c>
      <c r="D14">
        <f>IF(C14&gt; 94, 3, 2)</f>
        <v>3</v>
      </c>
      <c r="G14" s="4" t="s">
        <v>49</v>
      </c>
      <c r="H14" s="8">
        <f>STDEV(D2:D40)</f>
        <v>0.50235612210294112</v>
      </c>
    </row>
    <row r="15" spans="2:8" x14ac:dyDescent="0.8">
      <c r="B15" t="s">
        <v>22</v>
      </c>
      <c r="C15">
        <v>100</v>
      </c>
      <c r="D15">
        <f>IF(C15&gt; 94, 3, 2)</f>
        <v>3</v>
      </c>
    </row>
    <row r="16" spans="2:8" x14ac:dyDescent="0.8">
      <c r="B16" t="s">
        <v>25</v>
      </c>
      <c r="C16">
        <v>95</v>
      </c>
      <c r="D16">
        <f>IF(C16&gt; 94, 3, 2)</f>
        <v>3</v>
      </c>
    </row>
    <row r="17" spans="2:4" x14ac:dyDescent="0.8">
      <c r="B17" t="s">
        <v>26</v>
      </c>
      <c r="C17">
        <v>95</v>
      </c>
      <c r="D17">
        <f>IF(C17&gt; 94, 3, 2)</f>
        <v>3</v>
      </c>
    </row>
    <row r="18" spans="2:4" x14ac:dyDescent="0.8">
      <c r="B18" t="s">
        <v>30</v>
      </c>
      <c r="C18">
        <v>95</v>
      </c>
      <c r="D18">
        <f>IF(C18&gt; 94, 3, 2)</f>
        <v>3</v>
      </c>
    </row>
    <row r="19" spans="2:4" x14ac:dyDescent="0.8">
      <c r="B19" t="s">
        <v>33</v>
      </c>
      <c r="C19">
        <v>95</v>
      </c>
      <c r="D19">
        <f>IF(C19&gt; 94, 3, 2)</f>
        <v>3</v>
      </c>
    </row>
    <row r="20" spans="2:4" x14ac:dyDescent="0.8">
      <c r="B20" t="s">
        <v>36</v>
      </c>
      <c r="C20">
        <v>100</v>
      </c>
      <c r="D20">
        <f>IF(C20&gt; 94, 3, 2)</f>
        <v>3</v>
      </c>
    </row>
    <row r="21" spans="2:4" x14ac:dyDescent="0.8">
      <c r="B21" t="s">
        <v>37</v>
      </c>
      <c r="C21">
        <v>95</v>
      </c>
      <c r="D21">
        <f>IF(C21&gt; 94, 3, 2)</f>
        <v>3</v>
      </c>
    </row>
    <row r="22" spans="2:4" x14ac:dyDescent="0.8">
      <c r="B22" t="s">
        <v>38</v>
      </c>
      <c r="C22">
        <v>95</v>
      </c>
      <c r="D22">
        <f>IF(C22&gt; 94, 3, 2)</f>
        <v>3</v>
      </c>
    </row>
    <row r="23" spans="2:4" x14ac:dyDescent="0.8">
      <c r="B23" t="s">
        <v>41</v>
      </c>
      <c r="C23">
        <v>95</v>
      </c>
      <c r="D23">
        <f>IF(C23&gt; 94, 3, 2)</f>
        <v>3</v>
      </c>
    </row>
    <row r="24" spans="2:4" x14ac:dyDescent="0.8">
      <c r="B24" t="s">
        <v>3</v>
      </c>
      <c r="C24">
        <v>90</v>
      </c>
      <c r="D24">
        <f>IF(C24&gt; 94, 3, 2)</f>
        <v>2</v>
      </c>
    </row>
    <row r="25" spans="2:4" x14ac:dyDescent="0.8">
      <c r="B25" t="s">
        <v>9</v>
      </c>
      <c r="C25">
        <v>90</v>
      </c>
      <c r="D25">
        <f>IF(C25&gt; 94, 3, 2)</f>
        <v>2</v>
      </c>
    </row>
    <row r="26" spans="2:4" x14ac:dyDescent="0.8">
      <c r="B26" t="s">
        <v>10</v>
      </c>
      <c r="C26">
        <v>90</v>
      </c>
      <c r="D26">
        <f>IF(C26&gt; 94, 3, 2)</f>
        <v>2</v>
      </c>
    </row>
    <row r="27" spans="2:4" x14ac:dyDescent="0.8">
      <c r="B27" t="s">
        <v>12</v>
      </c>
      <c r="C27">
        <v>90</v>
      </c>
      <c r="D27">
        <f>IF(C27&gt; 94, 3, 2)</f>
        <v>2</v>
      </c>
    </row>
    <row r="28" spans="2:4" x14ac:dyDescent="0.8">
      <c r="B28" t="s">
        <v>13</v>
      </c>
      <c r="C28">
        <v>90</v>
      </c>
      <c r="D28">
        <f>IF(C28&gt; 94, 3, 2)</f>
        <v>2</v>
      </c>
    </row>
    <row r="29" spans="2:4" x14ac:dyDescent="0.8">
      <c r="B29" t="s">
        <v>18</v>
      </c>
      <c r="C29">
        <v>90</v>
      </c>
      <c r="D29">
        <f>IF(C29&gt; 94, 3, 2)</f>
        <v>2</v>
      </c>
    </row>
    <row r="30" spans="2:4" x14ac:dyDescent="0.8">
      <c r="B30" t="s">
        <v>23</v>
      </c>
      <c r="C30">
        <v>90</v>
      </c>
      <c r="D30">
        <f>IF(C30&gt; 94, 3, 2)</f>
        <v>2</v>
      </c>
    </row>
    <row r="31" spans="2:4" x14ac:dyDescent="0.8">
      <c r="B31" t="s">
        <v>24</v>
      </c>
      <c r="C31">
        <v>90</v>
      </c>
      <c r="D31">
        <f>IF(C31&gt; 94, 3, 2)</f>
        <v>2</v>
      </c>
    </row>
    <row r="32" spans="2:4" x14ac:dyDescent="0.8">
      <c r="B32" t="s">
        <v>27</v>
      </c>
      <c r="C32">
        <v>90</v>
      </c>
      <c r="D32">
        <f>IF(C32&gt; 94, 3, 2)</f>
        <v>2</v>
      </c>
    </row>
    <row r="33" spans="2:7" x14ac:dyDescent="0.8">
      <c r="B33" t="s">
        <v>28</v>
      </c>
      <c r="C33">
        <v>90</v>
      </c>
      <c r="D33">
        <f>IF(C33&gt; 94, 3, 2)</f>
        <v>2</v>
      </c>
    </row>
    <row r="34" spans="2:7" x14ac:dyDescent="0.8">
      <c r="B34" t="s">
        <v>29</v>
      </c>
      <c r="C34">
        <v>90</v>
      </c>
      <c r="D34">
        <f>IF(C34&gt; 94, 3, 2)</f>
        <v>2</v>
      </c>
    </row>
    <row r="35" spans="2:7" x14ac:dyDescent="0.8">
      <c r="B35" t="s">
        <v>31</v>
      </c>
      <c r="C35">
        <v>90</v>
      </c>
      <c r="D35">
        <f>IF(C35&gt; 94, 3, 2)</f>
        <v>2</v>
      </c>
    </row>
    <row r="36" spans="2:7" x14ac:dyDescent="0.8">
      <c r="B36" t="s">
        <v>32</v>
      </c>
      <c r="C36">
        <v>90</v>
      </c>
      <c r="D36">
        <f>IF(C36&gt; 94, 3, 2)</f>
        <v>2</v>
      </c>
    </row>
    <row r="37" spans="2:7" x14ac:dyDescent="0.8">
      <c r="B37" t="s">
        <v>34</v>
      </c>
      <c r="C37">
        <v>90</v>
      </c>
      <c r="D37">
        <f>IF(C37&gt; 94, 3, 2)</f>
        <v>2</v>
      </c>
    </row>
    <row r="38" spans="2:7" x14ac:dyDescent="0.8">
      <c r="B38" t="s">
        <v>35</v>
      </c>
      <c r="C38">
        <v>90</v>
      </c>
      <c r="D38">
        <f>IF(C38&gt; 94, 3, 2)</f>
        <v>2</v>
      </c>
    </row>
    <row r="39" spans="2:7" x14ac:dyDescent="0.8">
      <c r="B39" t="s">
        <v>39</v>
      </c>
      <c r="C39">
        <v>90</v>
      </c>
      <c r="D39">
        <f>IF(C39&gt; 94, 3, 2)</f>
        <v>2</v>
      </c>
    </row>
    <row r="40" spans="2:7" x14ac:dyDescent="0.8">
      <c r="B40" t="s">
        <v>40</v>
      </c>
      <c r="C40">
        <v>90</v>
      </c>
      <c r="D40">
        <f>IF(C40&gt; 94, 3, 2)</f>
        <v>2</v>
      </c>
      <c r="G40" t="s">
        <v>59</v>
      </c>
    </row>
    <row r="41" spans="2:7" x14ac:dyDescent="0.8">
      <c r="F41" t="s">
        <v>55</v>
      </c>
      <c r="G41">
        <v>22</v>
      </c>
    </row>
    <row r="42" spans="2:7" x14ac:dyDescent="0.8">
      <c r="F42" t="s">
        <v>56</v>
      </c>
      <c r="G42">
        <v>17</v>
      </c>
    </row>
    <row r="43" spans="2:7" x14ac:dyDescent="0.8">
      <c r="F43" t="s">
        <v>57</v>
      </c>
      <c r="G43">
        <v>0</v>
      </c>
    </row>
    <row r="44" spans="2:7" x14ac:dyDescent="0.8">
      <c r="F44" t="s">
        <v>58</v>
      </c>
      <c r="G44">
        <f>SUM(G41:G43)</f>
        <v>39</v>
      </c>
    </row>
  </sheetData>
  <phoneticPr fontId="18" type="noConversion"/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C0FB-5ED7-9240-89A9-0D22635699E4}">
  <dimension ref="B1:H32"/>
  <sheetViews>
    <sheetView tabSelected="1" topLeftCell="A10" workbookViewId="0">
      <selection activeCell="J13" sqref="J13"/>
    </sheetView>
  </sheetViews>
  <sheetFormatPr defaultColWidth="10.6640625" defaultRowHeight="16" x14ac:dyDescent="0.8"/>
  <cols>
    <col min="2" max="2" width="16.5" customWidth="1"/>
    <col min="4" max="4" width="13" customWidth="1"/>
  </cols>
  <sheetData>
    <row r="1" spans="2:8" x14ac:dyDescent="0.8">
      <c r="B1" s="5" t="s">
        <v>42</v>
      </c>
      <c r="C1" s="6" t="s">
        <v>43</v>
      </c>
      <c r="D1" s="7" t="s">
        <v>44</v>
      </c>
    </row>
    <row r="2" spans="2:8" x14ac:dyDescent="0.8">
      <c r="B2" s="2" t="s">
        <v>3</v>
      </c>
      <c r="C2">
        <v>90</v>
      </c>
      <c r="D2">
        <v>3</v>
      </c>
    </row>
    <row r="3" spans="2:8" x14ac:dyDescent="0.8">
      <c r="B3" s="3" t="s">
        <v>4</v>
      </c>
      <c r="C3">
        <v>95</v>
      </c>
      <c r="D3">
        <v>3</v>
      </c>
    </row>
    <row r="4" spans="2:8" x14ac:dyDescent="0.8">
      <c r="B4" s="2" t="s">
        <v>5</v>
      </c>
      <c r="C4">
        <v>95</v>
      </c>
      <c r="D4">
        <f>IF(C4&gt; 94, 3, 2)</f>
        <v>3</v>
      </c>
    </row>
    <row r="5" spans="2:8" x14ac:dyDescent="0.8">
      <c r="B5" s="2" t="s">
        <v>7</v>
      </c>
      <c r="C5">
        <v>90</v>
      </c>
      <c r="D5">
        <v>3</v>
      </c>
      <c r="G5" t="s">
        <v>52</v>
      </c>
      <c r="H5">
        <v>3</v>
      </c>
    </row>
    <row r="6" spans="2:8" x14ac:dyDescent="0.8">
      <c r="B6" s="3" t="s">
        <v>8</v>
      </c>
      <c r="C6">
        <v>95</v>
      </c>
      <c r="D6">
        <f>IF(C6&gt; 94, 3, 2)</f>
        <v>3</v>
      </c>
      <c r="G6" t="s">
        <v>53</v>
      </c>
      <c r="H6">
        <v>2</v>
      </c>
    </row>
    <row r="7" spans="2:8" x14ac:dyDescent="0.8">
      <c r="B7" s="2" t="s">
        <v>9</v>
      </c>
      <c r="C7">
        <v>95</v>
      </c>
      <c r="D7">
        <f>IF(C7&gt; 94, 3, 2)</f>
        <v>3</v>
      </c>
      <c r="G7" t="s">
        <v>54</v>
      </c>
      <c r="H7">
        <v>1</v>
      </c>
    </row>
    <row r="8" spans="2:8" x14ac:dyDescent="0.8">
      <c r="B8" s="3" t="s">
        <v>12</v>
      </c>
      <c r="C8">
        <v>90</v>
      </c>
      <c r="D8">
        <v>3</v>
      </c>
    </row>
    <row r="9" spans="2:8" x14ac:dyDescent="0.8">
      <c r="B9" s="3" t="s">
        <v>14</v>
      </c>
      <c r="C9">
        <v>90</v>
      </c>
      <c r="D9">
        <v>3</v>
      </c>
    </row>
    <row r="10" spans="2:8" x14ac:dyDescent="0.8">
      <c r="B10" s="3" t="s">
        <v>16</v>
      </c>
      <c r="C10">
        <v>90</v>
      </c>
      <c r="D10">
        <v>3</v>
      </c>
      <c r="G10" t="s">
        <v>50</v>
      </c>
      <c r="H10" t="s">
        <v>45</v>
      </c>
    </row>
    <row r="11" spans="2:8" x14ac:dyDescent="0.8">
      <c r="B11" s="2" t="s">
        <v>17</v>
      </c>
      <c r="C11">
        <v>90</v>
      </c>
      <c r="D11">
        <v>3</v>
      </c>
      <c r="G11" s="4" t="s">
        <v>46</v>
      </c>
      <c r="H11" t="s">
        <v>51</v>
      </c>
    </row>
    <row r="12" spans="2:8" x14ac:dyDescent="0.8">
      <c r="B12" s="3" t="s">
        <v>18</v>
      </c>
      <c r="C12">
        <v>95</v>
      </c>
      <c r="D12">
        <f>IF(C12&gt; 94, 3, 2)</f>
        <v>3</v>
      </c>
      <c r="G12" s="4" t="s">
        <v>47</v>
      </c>
      <c r="H12" t="s">
        <v>51</v>
      </c>
    </row>
    <row r="13" spans="2:8" x14ac:dyDescent="0.8">
      <c r="B13" s="2" t="s">
        <v>19</v>
      </c>
      <c r="C13">
        <v>95</v>
      </c>
      <c r="D13">
        <f>IF(C13&gt; 94, 3, 2)</f>
        <v>3</v>
      </c>
      <c r="G13" s="4" t="s">
        <v>48</v>
      </c>
      <c r="H13" s="8">
        <f>AVERAGE(D2:D27)</f>
        <v>2.6538461538461537</v>
      </c>
    </row>
    <row r="14" spans="2:8" x14ac:dyDescent="0.8">
      <c r="B14" s="3" t="s">
        <v>20</v>
      </c>
      <c r="C14">
        <v>90</v>
      </c>
      <c r="D14">
        <v>3</v>
      </c>
      <c r="G14" s="4" t="s">
        <v>49</v>
      </c>
      <c r="H14" s="8">
        <f>STDEV(D2:D27)</f>
        <v>0.48516452403758403</v>
      </c>
    </row>
    <row r="15" spans="2:8" x14ac:dyDescent="0.8">
      <c r="B15" s="2" t="s">
        <v>23</v>
      </c>
      <c r="C15">
        <v>95</v>
      </c>
      <c r="D15">
        <f>IF(C15&gt; 94, 3, 2)</f>
        <v>3</v>
      </c>
    </row>
    <row r="16" spans="2:8" x14ac:dyDescent="0.8">
      <c r="B16" s="3" t="s">
        <v>24</v>
      </c>
      <c r="C16">
        <v>95</v>
      </c>
      <c r="D16">
        <f>IF(C16&gt; 94, 3, 2)</f>
        <v>3</v>
      </c>
    </row>
    <row r="17" spans="2:7" x14ac:dyDescent="0.8">
      <c r="B17" s="3" t="s">
        <v>26</v>
      </c>
      <c r="C17">
        <v>90</v>
      </c>
      <c r="D17">
        <v>3</v>
      </c>
    </row>
    <row r="18" spans="2:7" x14ac:dyDescent="0.8">
      <c r="B18" s="2" t="s">
        <v>27</v>
      </c>
      <c r="C18">
        <v>90</v>
      </c>
      <c r="D18">
        <v>3</v>
      </c>
    </row>
    <row r="19" spans="2:7" x14ac:dyDescent="0.8">
      <c r="B19" s="3" t="s">
        <v>6</v>
      </c>
      <c r="C19">
        <v>85</v>
      </c>
      <c r="D19">
        <v>2</v>
      </c>
    </row>
    <row r="20" spans="2:7" x14ac:dyDescent="0.8">
      <c r="B20" s="3" t="s">
        <v>10</v>
      </c>
      <c r="C20">
        <v>85</v>
      </c>
      <c r="D20">
        <v>2</v>
      </c>
    </row>
    <row r="21" spans="2:7" x14ac:dyDescent="0.8">
      <c r="B21" s="2" t="s">
        <v>11</v>
      </c>
      <c r="C21">
        <v>85</v>
      </c>
      <c r="D21">
        <v>2</v>
      </c>
    </row>
    <row r="22" spans="2:7" x14ac:dyDescent="0.8">
      <c r="B22" s="2" t="s">
        <v>13</v>
      </c>
      <c r="C22">
        <v>85</v>
      </c>
      <c r="D22">
        <v>2</v>
      </c>
    </row>
    <row r="23" spans="2:7" x14ac:dyDescent="0.8">
      <c r="B23" s="2" t="s">
        <v>15</v>
      </c>
      <c r="C23">
        <v>85</v>
      </c>
      <c r="D23">
        <v>2</v>
      </c>
    </row>
    <row r="24" spans="2:7" x14ac:dyDescent="0.8">
      <c r="B24" s="2" t="s">
        <v>21</v>
      </c>
      <c r="C24">
        <v>85</v>
      </c>
      <c r="D24">
        <v>2</v>
      </c>
    </row>
    <row r="25" spans="2:7" x14ac:dyDescent="0.8">
      <c r="B25" s="3" t="s">
        <v>22</v>
      </c>
      <c r="C25">
        <v>85</v>
      </c>
      <c r="D25">
        <v>2</v>
      </c>
    </row>
    <row r="26" spans="2:7" x14ac:dyDescent="0.8">
      <c r="B26" s="2" t="s">
        <v>25</v>
      </c>
      <c r="C26">
        <v>85</v>
      </c>
      <c r="D26">
        <v>2</v>
      </c>
    </row>
    <row r="27" spans="2:7" x14ac:dyDescent="0.8">
      <c r="B27" s="3" t="s">
        <v>28</v>
      </c>
      <c r="C27">
        <v>85</v>
      </c>
      <c r="D27">
        <v>2</v>
      </c>
    </row>
    <row r="28" spans="2:7" x14ac:dyDescent="0.8">
      <c r="G28" t="s">
        <v>59</v>
      </c>
    </row>
    <row r="29" spans="2:7" x14ac:dyDescent="0.8">
      <c r="F29" t="s">
        <v>55</v>
      </c>
      <c r="G29">
        <v>17</v>
      </c>
    </row>
    <row r="30" spans="2:7" x14ac:dyDescent="0.8">
      <c r="F30" t="s">
        <v>56</v>
      </c>
      <c r="G30">
        <v>9</v>
      </c>
    </row>
    <row r="31" spans="2:7" x14ac:dyDescent="0.8">
      <c r="F31" t="s">
        <v>57</v>
      </c>
      <c r="G31">
        <v>0</v>
      </c>
    </row>
    <row r="32" spans="2:7" x14ac:dyDescent="0.8">
      <c r="F32" t="s">
        <v>58</v>
      </c>
      <c r="G32">
        <f>SUM(G29:G31)</f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 2024_HW 3</vt:lpstr>
      <vt:lpstr>Fall 2025_HW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Zdunek, Alan</cp:lastModifiedBy>
  <dcterms:created xsi:type="dcterms:W3CDTF">2026-04-09T23:05:57Z</dcterms:created>
  <dcterms:modified xsi:type="dcterms:W3CDTF">2026-05-22T00:43:09Z</dcterms:modified>
</cp:coreProperties>
</file>