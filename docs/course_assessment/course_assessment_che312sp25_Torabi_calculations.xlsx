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c365-my.sharepoint.com/personal/korosh_uic_edu/Documents/Documents/ABET Review 2026 for Alan/312 Spring 2025/"/>
    </mc:Choice>
  </mc:AlternateContent>
  <xr:revisionPtr revIDLastSave="94" documentId="11_39AE6AB1E06677C93E22CD31C4F7A2D1C97EBBF5" xr6:coauthVersionLast="47" xr6:coauthVersionMax="47" xr10:uidLastSave="{2B9EC355-BC8A-4BC3-828D-74E2E8B87BB6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1" i="1" l="1"/>
  <c r="B60" i="1"/>
  <c r="B51" i="1"/>
  <c r="B50" i="1"/>
  <c r="B56" i="1" l="1"/>
</calcChain>
</file>

<file path=xl/sharedStrings.xml><?xml version="1.0" encoding="utf-8"?>
<sst xmlns="http://schemas.openxmlformats.org/spreadsheetml/2006/main" count="47" uniqueCount="44">
  <si>
    <t>SO</t>
  </si>
  <si>
    <t>Unsatisfactory</t>
  </si>
  <si>
    <t>Developing</t>
  </si>
  <si>
    <t>Satisfactory</t>
  </si>
  <si>
    <t>Average</t>
  </si>
  <si>
    <t>Std Dev</t>
  </si>
  <si>
    <t>Student</t>
  </si>
  <si>
    <t>U</t>
  </si>
  <si>
    <t>Checksum</t>
  </si>
  <si>
    <t>S</t>
  </si>
  <si>
    <t>D</t>
  </si>
  <si>
    <t>Average Score</t>
  </si>
  <si>
    <t>Standard dev.</t>
  </si>
  <si>
    <t>RESULTS BY STUDENT OUTCOME</t>
  </si>
  <si>
    <t>RESULTS BY PERFORMANCE INDICATOR</t>
  </si>
  <si>
    <t>Mapped SO</t>
  </si>
  <si>
    <t>RATINGS</t>
  </si>
  <si>
    <t>Rubric #</t>
  </si>
  <si>
    <t>Rubric</t>
  </si>
  <si>
    <t>PI</t>
  </si>
  <si>
    <t>Total pts</t>
  </si>
  <si>
    <t>an ability to identify, formulate, and solve complex engineering problems by applying principles of engineering, science, and mathematics.</t>
  </si>
  <si>
    <t>Student Learning Outcome 1</t>
  </si>
  <si>
    <t>Emphasized</t>
  </si>
  <si>
    <t>1. Apply mathematical and scientific principles to formulate models and systems relevant to the subject</t>
  </si>
  <si>
    <t xml:space="preserve">2. Solve engineering problems by using the concepts of algebra, calculus, differential equations and/or linear algebra </t>
  </si>
  <si>
    <t>3. Appropriate engineering interpretation of mathematical and scientific terms</t>
  </si>
  <si>
    <t>`</t>
  </si>
  <si>
    <t>4. Translates academic theory into engineering applications</t>
  </si>
  <si>
    <t xml:space="preserve">5. Predict and defend problem outcomes </t>
  </si>
  <si>
    <t xml:space="preserve">6. The uses of appropriate resources needed to solve problems </t>
  </si>
  <si>
    <t xml:space="preserve">7. Solution creativity  and alternatives </t>
  </si>
  <si>
    <t>Performance Indicators (Red font PI's used to assess problem)</t>
  </si>
  <si>
    <t>Transport Phenomena II</t>
  </si>
  <si>
    <t xml:space="preserve">Assessment of student outcome 1 </t>
  </si>
  <si>
    <t>1, 2, 6</t>
  </si>
  <si>
    <t>Final Exam</t>
  </si>
  <si>
    <t>CHE 312 Spring 2025</t>
  </si>
  <si>
    <t xml:space="preserve">Final Exam </t>
  </si>
  <si>
    <t>&lt;35</t>
  </si>
  <si>
    <t>35 to 45</t>
  </si>
  <si>
    <t>&gt;45</t>
  </si>
  <si>
    <t>Assessment rubric: Final Exam</t>
  </si>
  <si>
    <t>Prepared by Korosh Torabi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</si>
</sst>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Georgia"/>
      <family val="1"/>
    </font>
    <font>
      <sz val="12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right"/>
    </xf>
    <xf numFmtId="0" fontId="0" fillId="4" borderId="0" xfId="0" applyFill="1"/>
    <xf numFmtId="2" fontId="0" fillId="4" borderId="0" xfId="0" applyNumberFormat="1" applyFill="1"/>
    <xf numFmtId="2" fontId="0" fillId="3" borderId="0" xfId="0" applyNumberFormat="1" applyFill="1"/>
    <xf numFmtId="0" fontId="1" fillId="3" borderId="0" xfId="0" applyFont="1" applyFill="1"/>
    <xf numFmtId="0" fontId="1" fillId="4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 vertical="center"/>
    </xf>
    <xf numFmtId="0" fontId="3" fillId="0" borderId="0" xfId="0" applyFont="1"/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4" fillId="0" borderId="0" xfId="0" applyFont="1"/>
    <xf numFmtId="0" fontId="4" fillId="5" borderId="0" xfId="0" applyFont="1" applyFill="1"/>
    <xf numFmtId="0" fontId="0" fillId="0" borderId="0" xfId="0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5" fillId="0" borderId="0" xfId="0" applyFont="1" applyFill="1"/>
    <xf numFmtId="0" fontId="5" fillId="0" borderId="0" xfId="0" applyFont="1" applyFill="1" applyAlignment="1">
      <alignment horizontal="center"/>
    </xf>
    <xf numFmtId="0" fontId="5" fillId="0" borderId="0" xfId="0" applyFont="1" applyFill="1" applyAlignment="1">
      <alignment horizontal="right"/>
    </xf>
    <xf numFmtId="1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3"/>
  <sheetViews>
    <sheetView tabSelected="1" zoomScale="130" zoomScaleNormal="130" workbookViewId="0">
      <selection activeCell="F17" sqref="F17"/>
    </sheetView>
  </sheetViews>
  <sheetFormatPr defaultRowHeight="14.5" x14ac:dyDescent="0.35"/>
  <cols>
    <col min="1" max="1" width="45.6328125" bestFit="1" customWidth="1"/>
    <col min="2" max="2" width="12.7265625" bestFit="1" customWidth="1"/>
    <col min="3" max="3" width="11" customWidth="1"/>
    <col min="6" max="6" width="126.90625" bestFit="1" customWidth="1"/>
    <col min="8" max="8" width="9.1796875" customWidth="1"/>
    <col min="9" max="9" width="9.7265625" bestFit="1" customWidth="1"/>
    <col min="11" max="11" width="16" customWidth="1"/>
    <col min="12" max="12" width="17.453125" customWidth="1"/>
    <col min="13" max="13" width="16.1796875" customWidth="1"/>
    <col min="15" max="15" width="9.1796875" customWidth="1"/>
  </cols>
  <sheetData>
    <row r="1" spans="1:22" x14ac:dyDescent="0.35">
      <c r="A1" s="1" t="s">
        <v>37</v>
      </c>
      <c r="F1" s="1" t="s">
        <v>22</v>
      </c>
      <c r="H1" s="1" t="s">
        <v>18</v>
      </c>
    </row>
    <row r="2" spans="1:22" ht="15.5" x14ac:dyDescent="0.35">
      <c r="A2" s="1" t="s">
        <v>33</v>
      </c>
      <c r="F2" s="18" t="s">
        <v>21</v>
      </c>
      <c r="H2" s="15" t="s">
        <v>19</v>
      </c>
      <c r="I2" s="15" t="s">
        <v>36</v>
      </c>
      <c r="J2" s="15" t="s">
        <v>20</v>
      </c>
      <c r="K2" s="15" t="s">
        <v>1</v>
      </c>
      <c r="L2" s="15" t="s">
        <v>2</v>
      </c>
      <c r="M2" s="15" t="s">
        <v>3</v>
      </c>
    </row>
    <row r="3" spans="1:22" x14ac:dyDescent="0.35">
      <c r="A3" s="1" t="s">
        <v>34</v>
      </c>
      <c r="F3" t="s">
        <v>23</v>
      </c>
      <c r="H3" s="15" t="s">
        <v>35</v>
      </c>
      <c r="I3" s="15"/>
      <c r="J3" s="15">
        <v>100</v>
      </c>
      <c r="K3" s="16" t="s">
        <v>39</v>
      </c>
      <c r="L3" s="17" t="s">
        <v>40</v>
      </c>
      <c r="M3" s="16" t="s">
        <v>41</v>
      </c>
    </row>
    <row r="4" spans="1:22" x14ac:dyDescent="0.35">
      <c r="A4" t="s">
        <v>42</v>
      </c>
    </row>
    <row r="5" spans="1:22" x14ac:dyDescent="0.35">
      <c r="A5" t="s">
        <v>43</v>
      </c>
      <c r="F5" s="1" t="s">
        <v>32</v>
      </c>
    </row>
    <row r="6" spans="1:22" x14ac:dyDescent="0.35">
      <c r="F6" s="22" t="s">
        <v>24</v>
      </c>
    </row>
    <row r="7" spans="1:22" x14ac:dyDescent="0.35">
      <c r="F7" s="21" t="s">
        <v>25</v>
      </c>
    </row>
    <row r="8" spans="1:22" x14ac:dyDescent="0.35">
      <c r="F8" t="s">
        <v>26</v>
      </c>
    </row>
    <row r="9" spans="1:22" x14ac:dyDescent="0.35">
      <c r="A9" s="3" t="s">
        <v>16</v>
      </c>
      <c r="B9" s="3"/>
      <c r="C9" s="3"/>
      <c r="F9" t="s">
        <v>28</v>
      </c>
    </row>
    <row r="10" spans="1:22" x14ac:dyDescent="0.35">
      <c r="A10" s="3">
        <v>1</v>
      </c>
      <c r="B10" s="3" t="s">
        <v>1</v>
      </c>
      <c r="C10" s="3"/>
      <c r="F10" t="s">
        <v>29</v>
      </c>
    </row>
    <row r="11" spans="1:22" x14ac:dyDescent="0.35">
      <c r="A11" s="3">
        <v>2</v>
      </c>
      <c r="B11" s="3" t="s">
        <v>2</v>
      </c>
      <c r="C11" s="3"/>
      <c r="F11" s="21" t="s">
        <v>30</v>
      </c>
    </row>
    <row r="12" spans="1:22" x14ac:dyDescent="0.35">
      <c r="A12" s="3">
        <v>3</v>
      </c>
      <c r="B12" s="3" t="s">
        <v>3</v>
      </c>
      <c r="C12" s="3"/>
      <c r="F12" t="s">
        <v>31</v>
      </c>
    </row>
    <row r="13" spans="1:22" x14ac:dyDescent="0.35">
      <c r="A13" s="3"/>
      <c r="B13" s="3"/>
      <c r="C13" s="3"/>
      <c r="V13" t="s">
        <v>27</v>
      </c>
    </row>
    <row r="15" spans="1:22" x14ac:dyDescent="0.35">
      <c r="A15" s="25"/>
      <c r="B15" s="26"/>
      <c r="C15" s="25"/>
      <c r="D15" s="25"/>
      <c r="E15" s="25"/>
    </row>
    <row r="16" spans="1:22" x14ac:dyDescent="0.35">
      <c r="A16" s="25"/>
      <c r="B16" s="26"/>
      <c r="C16" s="27"/>
      <c r="D16" s="27"/>
      <c r="E16" s="27"/>
      <c r="F16" s="2"/>
      <c r="G16" s="2"/>
    </row>
    <row r="17" spans="1:13" x14ac:dyDescent="0.35">
      <c r="B17" s="2"/>
      <c r="H17" s="12"/>
      <c r="I17" s="12"/>
      <c r="J17" s="12"/>
      <c r="K17" s="23"/>
      <c r="L17" s="24"/>
      <c r="M17" s="23"/>
    </row>
    <row r="18" spans="1:13" x14ac:dyDescent="0.35">
      <c r="A18" s="12" t="s">
        <v>6</v>
      </c>
      <c r="B18" s="2"/>
      <c r="C18" s="28" t="s">
        <v>38</v>
      </c>
      <c r="H18" s="12"/>
      <c r="I18" s="12"/>
      <c r="J18" s="12"/>
      <c r="K18" s="23"/>
      <c r="L18" s="23"/>
      <c r="M18" s="23"/>
    </row>
    <row r="19" spans="1:13" x14ac:dyDescent="0.35">
      <c r="A19" s="12">
        <v>1</v>
      </c>
      <c r="B19" s="12">
        <v>1</v>
      </c>
      <c r="C19" s="28">
        <v>10</v>
      </c>
      <c r="D19" s="12"/>
    </row>
    <row r="20" spans="1:13" x14ac:dyDescent="0.35">
      <c r="A20" s="12">
        <v>2</v>
      </c>
      <c r="B20" s="12">
        <v>1</v>
      </c>
      <c r="C20" s="28">
        <v>15</v>
      </c>
      <c r="D20" s="12"/>
    </row>
    <row r="21" spans="1:13" x14ac:dyDescent="0.35">
      <c r="A21" s="12">
        <v>3</v>
      </c>
      <c r="B21" s="12">
        <v>1</v>
      </c>
      <c r="C21" s="28">
        <v>20</v>
      </c>
      <c r="D21" s="12"/>
    </row>
    <row r="22" spans="1:13" x14ac:dyDescent="0.35">
      <c r="A22" s="12">
        <v>4</v>
      </c>
      <c r="B22" s="12">
        <v>1</v>
      </c>
      <c r="C22" s="28">
        <v>25</v>
      </c>
      <c r="D22" s="12"/>
    </row>
    <row r="23" spans="1:13" x14ac:dyDescent="0.35">
      <c r="A23" s="12">
        <v>5</v>
      </c>
      <c r="B23" s="12">
        <v>1</v>
      </c>
      <c r="C23" s="28">
        <v>25</v>
      </c>
      <c r="D23" s="12"/>
    </row>
    <row r="24" spans="1:13" x14ac:dyDescent="0.35">
      <c r="A24" s="12">
        <v>6</v>
      </c>
      <c r="B24" s="12">
        <v>1</v>
      </c>
      <c r="C24" s="28">
        <v>25</v>
      </c>
      <c r="D24" s="12"/>
    </row>
    <row r="25" spans="1:13" x14ac:dyDescent="0.35">
      <c r="A25" s="12">
        <v>7</v>
      </c>
      <c r="B25" s="12">
        <v>1</v>
      </c>
      <c r="C25" s="28">
        <v>30</v>
      </c>
      <c r="D25" s="12"/>
    </row>
    <row r="26" spans="1:13" x14ac:dyDescent="0.35">
      <c r="A26" s="12">
        <v>8</v>
      </c>
      <c r="B26" s="12">
        <v>1</v>
      </c>
      <c r="C26" s="28">
        <v>30</v>
      </c>
      <c r="D26" s="12"/>
    </row>
    <row r="27" spans="1:13" x14ac:dyDescent="0.35">
      <c r="A27" s="12">
        <v>9</v>
      </c>
      <c r="B27" s="12">
        <v>2</v>
      </c>
      <c r="C27" s="28">
        <v>35</v>
      </c>
      <c r="D27" s="12"/>
    </row>
    <row r="28" spans="1:13" x14ac:dyDescent="0.35">
      <c r="A28" s="12">
        <v>10</v>
      </c>
      <c r="B28" s="12">
        <v>2</v>
      </c>
      <c r="C28" s="28">
        <v>35</v>
      </c>
      <c r="D28" s="12"/>
    </row>
    <row r="29" spans="1:13" x14ac:dyDescent="0.35">
      <c r="A29" s="12">
        <v>11</v>
      </c>
      <c r="B29" s="12">
        <v>2</v>
      </c>
      <c r="C29" s="28">
        <v>35</v>
      </c>
      <c r="D29" s="12"/>
    </row>
    <row r="30" spans="1:13" x14ac:dyDescent="0.35">
      <c r="A30" s="12">
        <v>12</v>
      </c>
      <c r="B30" s="12">
        <v>2</v>
      </c>
      <c r="C30" s="28">
        <v>35</v>
      </c>
      <c r="D30" s="12"/>
    </row>
    <row r="31" spans="1:13" x14ac:dyDescent="0.35">
      <c r="A31" s="12">
        <v>13</v>
      </c>
      <c r="B31" s="12">
        <v>2</v>
      </c>
      <c r="C31" s="28">
        <v>40</v>
      </c>
      <c r="D31" s="12"/>
    </row>
    <row r="32" spans="1:13" x14ac:dyDescent="0.35">
      <c r="A32" s="12">
        <v>14</v>
      </c>
      <c r="B32" s="12">
        <v>2</v>
      </c>
      <c r="C32" s="28">
        <v>40</v>
      </c>
      <c r="D32" s="12"/>
    </row>
    <row r="33" spans="1:5" x14ac:dyDescent="0.35">
      <c r="A33" s="12">
        <v>15</v>
      </c>
      <c r="B33" s="12">
        <v>2</v>
      </c>
      <c r="C33" s="28">
        <v>45</v>
      </c>
      <c r="D33" s="12"/>
    </row>
    <row r="34" spans="1:5" x14ac:dyDescent="0.35">
      <c r="A34" s="12">
        <v>16</v>
      </c>
      <c r="B34" s="12">
        <v>3</v>
      </c>
      <c r="C34" s="28">
        <v>55</v>
      </c>
      <c r="D34" s="12"/>
    </row>
    <row r="35" spans="1:5" x14ac:dyDescent="0.35">
      <c r="A35" s="12">
        <v>17</v>
      </c>
      <c r="B35" s="12">
        <v>3</v>
      </c>
      <c r="C35" s="28">
        <v>60</v>
      </c>
      <c r="D35" s="12"/>
    </row>
    <row r="36" spans="1:5" x14ac:dyDescent="0.35">
      <c r="A36" s="12">
        <v>18</v>
      </c>
      <c r="B36" s="12">
        <v>3</v>
      </c>
      <c r="C36" s="28">
        <v>60</v>
      </c>
      <c r="D36" s="12"/>
    </row>
    <row r="37" spans="1:5" x14ac:dyDescent="0.35">
      <c r="A37" s="12">
        <v>19</v>
      </c>
      <c r="B37" s="12">
        <v>3</v>
      </c>
      <c r="C37" s="28">
        <v>80</v>
      </c>
      <c r="D37" s="12"/>
    </row>
    <row r="38" spans="1:5" x14ac:dyDescent="0.35">
      <c r="A38" s="12">
        <v>20</v>
      </c>
      <c r="B38" s="12">
        <v>3</v>
      </c>
      <c r="C38" s="28">
        <v>85</v>
      </c>
      <c r="D38" s="12"/>
    </row>
    <row r="39" spans="1:5" x14ac:dyDescent="0.35">
      <c r="A39" s="12"/>
      <c r="B39" s="12"/>
      <c r="D39" s="12"/>
    </row>
    <row r="40" spans="1:5" x14ac:dyDescent="0.35">
      <c r="A40" s="12"/>
      <c r="B40" s="12"/>
      <c r="D40" s="12"/>
    </row>
    <row r="41" spans="1:5" x14ac:dyDescent="0.35">
      <c r="A41" s="12"/>
      <c r="B41" s="12"/>
      <c r="D41" s="12"/>
    </row>
    <row r="42" spans="1:5" x14ac:dyDescent="0.35">
      <c r="A42" s="12"/>
      <c r="B42" s="12"/>
      <c r="D42" s="12"/>
    </row>
    <row r="43" spans="1:5" x14ac:dyDescent="0.35">
      <c r="A43" s="12"/>
      <c r="B43" s="12"/>
      <c r="C43" s="12"/>
      <c r="D43" s="12"/>
    </row>
    <row r="44" spans="1:5" x14ac:dyDescent="0.35">
      <c r="A44" s="12"/>
      <c r="B44" s="12"/>
      <c r="C44" s="12"/>
      <c r="D44" s="12"/>
    </row>
    <row r="45" spans="1:5" x14ac:dyDescent="0.35">
      <c r="A45" s="12"/>
      <c r="B45" s="12"/>
      <c r="C45" s="12"/>
      <c r="D45" s="12"/>
    </row>
    <row r="46" spans="1:5" x14ac:dyDescent="0.35">
      <c r="A46" s="12"/>
      <c r="B46" s="12"/>
      <c r="C46" s="12"/>
      <c r="D46" s="12"/>
    </row>
    <row r="47" spans="1:5" x14ac:dyDescent="0.35">
      <c r="A47" s="9" t="s">
        <v>14</v>
      </c>
      <c r="B47" s="4"/>
      <c r="C47" s="4"/>
      <c r="D47" s="4"/>
      <c r="E47" s="4"/>
    </row>
    <row r="48" spans="1:5" x14ac:dyDescent="0.35">
      <c r="A48" s="13" t="s">
        <v>17</v>
      </c>
      <c r="B48" s="13">
        <v>1</v>
      </c>
      <c r="C48" s="13"/>
      <c r="D48" s="13"/>
      <c r="E48" s="4"/>
    </row>
    <row r="49" spans="1:6" x14ac:dyDescent="0.35">
      <c r="A49" s="13" t="s">
        <v>15</v>
      </c>
      <c r="B49" s="13">
        <v>1</v>
      </c>
      <c r="C49" s="13"/>
      <c r="D49" s="13"/>
      <c r="E49" s="5"/>
    </row>
    <row r="50" spans="1:6" x14ac:dyDescent="0.35">
      <c r="A50" s="13" t="s">
        <v>4</v>
      </c>
      <c r="B50" s="14">
        <f>AVERAGE(B19:B38)</f>
        <v>1.85</v>
      </c>
      <c r="C50" s="14"/>
      <c r="D50" s="14"/>
      <c r="E50" s="8"/>
    </row>
    <row r="51" spans="1:6" x14ac:dyDescent="0.35">
      <c r="A51" s="13" t="s">
        <v>5</v>
      </c>
      <c r="B51" s="14">
        <f>STDEV(B19:B38)</f>
        <v>0.81272770088724888</v>
      </c>
      <c r="C51" s="14"/>
      <c r="D51" s="14"/>
      <c r="E51" s="8"/>
    </row>
    <row r="52" spans="1:6" x14ac:dyDescent="0.35">
      <c r="A52" s="13"/>
      <c r="B52" s="13"/>
      <c r="C52" s="13"/>
      <c r="D52" s="13"/>
      <c r="E52" s="4"/>
    </row>
    <row r="53" spans="1:6" x14ac:dyDescent="0.35">
      <c r="A53" s="13" t="s">
        <v>9</v>
      </c>
      <c r="B53" s="13">
        <v>5</v>
      </c>
      <c r="C53" s="13"/>
      <c r="D53" s="13"/>
      <c r="E53" s="4"/>
    </row>
    <row r="54" spans="1:6" x14ac:dyDescent="0.35">
      <c r="A54" s="13" t="s">
        <v>10</v>
      </c>
      <c r="B54" s="13">
        <v>7</v>
      </c>
      <c r="C54" s="13"/>
      <c r="D54" s="13"/>
      <c r="E54" s="4"/>
    </row>
    <row r="55" spans="1:6" x14ac:dyDescent="0.35">
      <c r="A55" s="13" t="s">
        <v>7</v>
      </c>
      <c r="B55" s="13">
        <v>8</v>
      </c>
      <c r="C55" s="13"/>
      <c r="D55" s="13"/>
      <c r="E55" s="4"/>
    </row>
    <row r="56" spans="1:6" x14ac:dyDescent="0.35">
      <c r="A56" s="13" t="s">
        <v>8</v>
      </c>
      <c r="B56" s="13">
        <f>SUM(B52:B55)</f>
        <v>20</v>
      </c>
      <c r="C56" s="13"/>
      <c r="D56" s="13"/>
      <c r="E56" s="4"/>
    </row>
    <row r="58" spans="1:6" x14ac:dyDescent="0.35">
      <c r="A58" s="10" t="s">
        <v>13</v>
      </c>
      <c r="B58" s="6"/>
      <c r="C58" s="6"/>
      <c r="D58" s="6"/>
      <c r="E58" s="6"/>
      <c r="F58" s="6"/>
    </row>
    <row r="59" spans="1:6" x14ac:dyDescent="0.35">
      <c r="A59" s="6" t="s">
        <v>0</v>
      </c>
      <c r="B59" s="19">
        <v>1</v>
      </c>
      <c r="C59" s="6"/>
      <c r="D59" s="6"/>
      <c r="E59" s="6"/>
      <c r="F59" s="6"/>
    </row>
    <row r="60" spans="1:6" x14ac:dyDescent="0.35">
      <c r="A60" s="6" t="s">
        <v>11</v>
      </c>
      <c r="B60" s="20">
        <f>AVERAGE(C19:C38)</f>
        <v>39.25</v>
      </c>
      <c r="C60" s="7"/>
      <c r="D60" s="7"/>
      <c r="E60" s="7"/>
      <c r="F60" s="7"/>
    </row>
    <row r="61" spans="1:6" x14ac:dyDescent="0.35">
      <c r="A61" s="6" t="s">
        <v>12</v>
      </c>
      <c r="B61" s="20">
        <f>STDEV(C19:C38)</f>
        <v>19.952245619557662</v>
      </c>
      <c r="C61" s="7"/>
      <c r="D61" s="7"/>
      <c r="E61" s="7"/>
      <c r="F61" s="7"/>
    </row>
    <row r="62" spans="1:6" x14ac:dyDescent="0.35">
      <c r="A62" s="12"/>
      <c r="B62" s="12"/>
      <c r="C62" s="12"/>
      <c r="D62" s="12"/>
    </row>
    <row r="63" spans="1:6" x14ac:dyDescent="0.35">
      <c r="A63" s="12"/>
      <c r="B63" s="12"/>
      <c r="C63" s="12"/>
      <c r="D63" s="12"/>
    </row>
    <row r="64" spans="1:6" x14ac:dyDescent="0.35">
      <c r="A64" s="12"/>
      <c r="B64" s="12"/>
      <c r="C64" s="12"/>
      <c r="D64" s="12"/>
    </row>
    <row r="65" spans="1:4" x14ac:dyDescent="0.35">
      <c r="A65" s="12"/>
      <c r="B65" s="12"/>
      <c r="C65" s="12"/>
      <c r="D65" s="12"/>
    </row>
    <row r="66" spans="1:4" x14ac:dyDescent="0.35">
      <c r="A66" s="12"/>
      <c r="B66" s="12"/>
      <c r="C66" s="12"/>
      <c r="D66" s="12"/>
    </row>
    <row r="67" spans="1:4" x14ac:dyDescent="0.35">
      <c r="A67" s="12"/>
      <c r="B67" s="12"/>
      <c r="C67" s="12"/>
      <c r="D67" s="12"/>
    </row>
    <row r="68" spans="1:4" x14ac:dyDescent="0.35">
      <c r="A68" s="12"/>
      <c r="B68" s="12"/>
      <c r="C68" s="12"/>
      <c r="D68" s="12"/>
    </row>
    <row r="69" spans="1:4" x14ac:dyDescent="0.35">
      <c r="A69" s="12"/>
      <c r="B69" s="12"/>
      <c r="C69" s="12"/>
      <c r="D69" s="12"/>
    </row>
    <row r="70" spans="1:4" x14ac:dyDescent="0.35">
      <c r="A70" s="12"/>
      <c r="B70" s="12"/>
      <c r="C70" s="12"/>
      <c r="D70" s="12"/>
    </row>
    <row r="71" spans="1:4" x14ac:dyDescent="0.35">
      <c r="A71" s="12"/>
      <c r="B71" s="12"/>
      <c r="C71" s="12"/>
      <c r="D71" s="12"/>
    </row>
    <row r="72" spans="1:4" x14ac:dyDescent="0.35">
      <c r="A72" s="12"/>
      <c r="B72" s="12"/>
      <c r="C72" s="12"/>
      <c r="D72" s="12"/>
    </row>
    <row r="73" spans="1:4" x14ac:dyDescent="0.35">
      <c r="B73" s="2"/>
    </row>
    <row r="101" spans="9:13" x14ac:dyDescent="0.35">
      <c r="I101" s="2"/>
      <c r="J101" s="2"/>
      <c r="K101" s="2"/>
      <c r="L101" s="2"/>
      <c r="M101" s="2"/>
    </row>
    <row r="186" spans="8:13" x14ac:dyDescent="0.35">
      <c r="H186" s="2"/>
      <c r="I186" s="2"/>
      <c r="J186" s="2"/>
      <c r="K186" s="2"/>
      <c r="L186" s="2"/>
      <c r="M186" s="2"/>
    </row>
    <row r="208" spans="2:2" x14ac:dyDescent="0.35">
      <c r="B208" s="11"/>
    </row>
    <row r="209" spans="1:2" x14ac:dyDescent="0.35">
      <c r="B209" s="11"/>
    </row>
    <row r="210" spans="1:2" x14ac:dyDescent="0.35">
      <c r="B210" s="11"/>
    </row>
    <row r="211" spans="1:2" x14ac:dyDescent="0.35">
      <c r="B211" s="11"/>
    </row>
    <row r="213" spans="1:2" x14ac:dyDescent="0.35">
      <c r="A213" s="1"/>
    </row>
  </sheetData>
  <sortState xmlns:xlrd2="http://schemas.microsoft.com/office/spreadsheetml/2017/richdata2" ref="C19:C38">
    <sortCondition ref="C19:C38"/>
  </sortState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Ludwig C. Nitsche</dc:creator>
  <cp:lastModifiedBy>Torabi, Korosh</cp:lastModifiedBy>
  <dcterms:created xsi:type="dcterms:W3CDTF">2013-01-15T05:38:26Z</dcterms:created>
  <dcterms:modified xsi:type="dcterms:W3CDTF">2026-04-11T19:44:54Z</dcterms:modified>
</cp:coreProperties>
</file>