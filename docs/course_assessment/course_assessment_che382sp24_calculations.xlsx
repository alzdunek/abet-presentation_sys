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3471E74F-7791-4CA6-9D39-A40721DECDD1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" l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R120" i="1"/>
  <c r="R119" i="1"/>
  <c r="R122" i="1" s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R111" i="1"/>
  <c r="R110" i="1"/>
  <c r="R113" i="1" s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R102" i="1"/>
  <c r="R101" i="1"/>
  <c r="Y90" i="1"/>
  <c r="X90" i="1"/>
  <c r="W90" i="1"/>
  <c r="Z89" i="1"/>
  <c r="Z88" i="1"/>
  <c r="Z87" i="1"/>
  <c r="D95" i="1"/>
  <c r="D94" i="1"/>
  <c r="S85" i="1"/>
  <c r="R85" i="1"/>
  <c r="Q85" i="1"/>
  <c r="P85" i="1"/>
  <c r="S84" i="1"/>
  <c r="R84" i="1"/>
  <c r="Q84" i="1"/>
  <c r="P84" i="1"/>
  <c r="AC40" i="1"/>
  <c r="AC39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B30" i="1"/>
  <c r="AB29" i="1"/>
  <c r="AB28" i="1"/>
  <c r="AB27" i="1"/>
  <c r="AB26" i="1"/>
  <c r="AB24" i="1"/>
  <c r="AB25" i="1"/>
  <c r="AB22" i="1"/>
  <c r="AB23" i="1"/>
  <c r="AB19" i="1"/>
  <c r="AB20" i="1"/>
  <c r="AB2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B84" i="1"/>
  <c r="X85" i="1"/>
  <c r="X84" i="1"/>
  <c r="W85" i="1"/>
  <c r="W84" i="1"/>
  <c r="V59" i="1"/>
  <c r="R104" i="1" l="1"/>
  <c r="Z90" i="1"/>
  <c r="A71" i="1"/>
  <c r="M85" i="1"/>
  <c r="M84" i="1"/>
  <c r="AB40" i="1" l="1"/>
  <c r="AD40" i="1" s="1"/>
  <c r="AB39" i="1"/>
  <c r="AD39" i="1" s="1"/>
  <c r="AA40" i="1"/>
  <c r="AA39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F95" i="1" l="1"/>
  <c r="F94" i="1"/>
  <c r="V60" i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85" i="1" l="1"/>
  <c r="C85" i="1"/>
  <c r="B85" i="1"/>
  <c r="D84" i="1"/>
  <c r="C84" i="1"/>
  <c r="B87" i="1" l="1"/>
  <c r="B94" i="1"/>
  <c r="B95" i="1"/>
  <c r="G94" i="1"/>
  <c r="G95" i="1"/>
  <c r="H95" i="1"/>
  <c r="E95" i="1"/>
  <c r="E94" i="1"/>
  <c r="H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s="1"/>
  <c r="A73" i="1" l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<sst xmlns="http://schemas.openxmlformats.org/spreadsheetml/2006/main" count="222" uniqueCount="90">
  <si>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</si>
  <si>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</si>
  <si>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</si>
  <si>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</si>
  <si>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</si>
  <si>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</si>
  <si>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</si>
  <si>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</si>
  <si>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</si>
  <si>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</si>
  <si>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</si>
  <si>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</si>
  <si>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</si>
  <si>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</si>
  <si>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</si>
  <si>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</si>
  <si>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</si>
  <si>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</si>
  <si>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</si>
  <si>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</si>
  <si>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</si>
  <si>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</si>
  <si>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</si>
  <si>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</si>
  <si>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</si>
  <si>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</si>
  <si>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</si>
  <si>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</si>
  <si>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</si>
  <si>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</si>
  <si>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</si>
  <si>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</si>
  <si>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</si>
  <si>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</si>
  <si>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</si>
  <si>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</si>
  <si>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</si>
  <si>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</si>
  <si>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</si>
  <si>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</si>
  <si>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</si>
  <si>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</si>
  <si>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</si>
  <si>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</si>
  <si>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</si>
  <si>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</si>
  <si>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</si>
  <si>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</si>
  <si>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</si>
  <si>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</si>
  <si>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</si>
  <si>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</si>
  <si>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</si>
  <si>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</si>
  <si>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</si>
  <si>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</si>
  <si>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</si>
  <si>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</si>
  <si>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Team 12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</si>
  <si>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</si>
  <si>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</si>
  <si>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</si>
  <si>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</si>
  <si>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</si>
  <si>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</si>
  <si>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</si>
  <si>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</si>
  <si>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</si>
  <si>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</si>
  <si>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</si>
  <si>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</si>
  <si>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</si>
  <si>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</si>
  <si>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</si>
  <si>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</si>
  <si>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</si>
  <si>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</si>
  <si>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</si>
  <si>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Team 11</t>
  </si>
  <si>
    <t>ChE 382 Rubric Assessment Spring 2024</t>
  </si>
  <si>
    <t>Chemical Engineering Laboratory II</t>
  </si>
  <si>
    <t>RESULTS BY PERFORMANCE INDICATOR: Prelab, Final Lab Reports, Safety, Presentations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</si>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</sst>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0" fontId="0" fillId="3" borderId="5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78"/>
  <sheetViews>
    <sheetView tabSelected="1" topLeftCell="A89" zoomScale="80" zoomScaleNormal="80" workbookViewId="0">
      <selection activeCell="A107" sqref="A107:R122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328125" customWidth="1"/>
  </cols>
  <sheetData>
    <row r="1" spans="1:29" x14ac:dyDescent="0.75">
      <c r="A1" s="1" t="s">
        <v>79</v>
      </c>
      <c r="D1" t="s">
        <v>76</v>
      </c>
      <c r="J1" s="40"/>
      <c r="K1" s="11" t="s">
        <v>61</v>
      </c>
      <c r="L1" s="40" t="s">
        <v>60</v>
      </c>
      <c r="M1" s="11" t="s">
        <v>61</v>
      </c>
      <c r="N1" s="40" t="s">
        <v>60</v>
      </c>
      <c r="O1" s="11" t="s">
        <v>61</v>
      </c>
      <c r="P1" s="40" t="s">
        <v>60</v>
      </c>
      <c r="R1" s="38"/>
      <c r="S1" s="11" t="s">
        <v>61</v>
      </c>
      <c r="T1" s="40" t="s">
        <v>60</v>
      </c>
      <c r="U1" s="11" t="s">
        <v>61</v>
      </c>
      <c r="V1" s="40" t="s">
        <v>60</v>
      </c>
      <c r="W1" s="11" t="s">
        <v>61</v>
      </c>
      <c r="X1" s="40" t="s">
        <v>60</v>
      </c>
    </row>
    <row r="2" spans="1:29" x14ac:dyDescent="0.75">
      <c r="A2" s="1" t="s">
        <v>80</v>
      </c>
      <c r="J2" s="38">
        <v>1</v>
      </c>
      <c r="K2" s="22" t="s">
        <v>62</v>
      </c>
      <c r="L2" s="39">
        <v>3</v>
      </c>
      <c r="M2" s="22" t="s">
        <v>66</v>
      </c>
      <c r="N2" s="39">
        <v>2</v>
      </c>
      <c r="O2" s="22" t="s">
        <v>69</v>
      </c>
      <c r="P2" s="39">
        <v>1</v>
      </c>
      <c r="R2" s="38">
        <v>13</v>
      </c>
      <c r="S2" s="22" t="s">
        <v>64</v>
      </c>
      <c r="T2" s="39">
        <v>3</v>
      </c>
      <c r="U2" s="22" t="s">
        <v>67</v>
      </c>
      <c r="V2" s="41">
        <v>2</v>
      </c>
      <c r="W2" s="22" t="s">
        <v>71</v>
      </c>
      <c r="X2" s="39">
        <v>1</v>
      </c>
    </row>
    <row r="3" spans="1:29" x14ac:dyDescent="0.75">
      <c r="A3" s="1" t="s">
        <v>14</v>
      </c>
      <c r="J3" s="38">
        <v>2</v>
      </c>
      <c r="K3" s="22" t="s">
        <v>63</v>
      </c>
      <c r="L3" s="39">
        <v>3</v>
      </c>
      <c r="M3" s="22" t="s">
        <v>65</v>
      </c>
      <c r="N3" s="39">
        <v>2</v>
      </c>
      <c r="O3" s="22" t="s">
        <v>70</v>
      </c>
      <c r="P3" s="39">
        <v>1</v>
      </c>
      <c r="R3" s="38">
        <v>14</v>
      </c>
      <c r="S3" s="22" t="s">
        <v>63</v>
      </c>
      <c r="T3" s="39">
        <v>3</v>
      </c>
      <c r="U3" s="22" t="s">
        <v>65</v>
      </c>
      <c r="V3" s="41">
        <v>2</v>
      </c>
      <c r="W3" s="22" t="s">
        <v>70</v>
      </c>
      <c r="X3" s="39">
        <v>1</v>
      </c>
    </row>
    <row r="4" spans="1:29" x14ac:dyDescent="0.75">
      <c r="A4" t="s">
        <v>20</v>
      </c>
      <c r="J4" s="38">
        <v>3</v>
      </c>
      <c r="K4" s="22" t="s">
        <v>64</v>
      </c>
      <c r="L4" s="39">
        <v>3</v>
      </c>
      <c r="M4" s="22" t="s">
        <v>67</v>
      </c>
      <c r="N4" s="39">
        <v>2</v>
      </c>
      <c r="O4" s="22" t="s">
        <v>71</v>
      </c>
      <c r="P4" s="39">
        <v>1</v>
      </c>
      <c r="R4" s="38">
        <v>15</v>
      </c>
      <c r="S4" s="22" t="s">
        <v>63</v>
      </c>
      <c r="T4" s="39">
        <v>3</v>
      </c>
      <c r="U4" s="22" t="s">
        <v>65</v>
      </c>
      <c r="V4" s="41">
        <v>2</v>
      </c>
      <c r="W4" s="22" t="s">
        <v>70</v>
      </c>
      <c r="X4" s="39">
        <v>1</v>
      </c>
    </row>
    <row r="5" spans="1:29" x14ac:dyDescent="0.75">
      <c r="A5" t="s">
        <v>11</v>
      </c>
      <c r="J5" s="38">
        <v>4</v>
      </c>
      <c r="K5" s="22" t="s">
        <v>64</v>
      </c>
      <c r="L5" s="39">
        <v>3</v>
      </c>
      <c r="M5" s="22" t="s">
        <v>67</v>
      </c>
      <c r="N5" s="39">
        <v>2</v>
      </c>
      <c r="O5" s="22" t="s">
        <v>71</v>
      </c>
      <c r="P5" s="39">
        <v>1</v>
      </c>
      <c r="R5" s="38">
        <v>16</v>
      </c>
      <c r="S5" s="22" t="s">
        <v>73</v>
      </c>
      <c r="T5" s="39">
        <v>3</v>
      </c>
      <c r="U5" s="22" t="s">
        <v>74</v>
      </c>
      <c r="V5" s="41">
        <v>2</v>
      </c>
      <c r="W5" s="22" t="s">
        <v>75</v>
      </c>
      <c r="X5" s="39">
        <v>1</v>
      </c>
    </row>
    <row r="6" spans="1:29" x14ac:dyDescent="0.75">
      <c r="J6" s="38">
        <v>5</v>
      </c>
      <c r="K6" s="22" t="s">
        <v>64</v>
      </c>
      <c r="L6" s="39">
        <v>3</v>
      </c>
      <c r="M6" s="22" t="s">
        <v>67</v>
      </c>
      <c r="N6" s="39">
        <v>2</v>
      </c>
      <c r="O6" s="22" t="s">
        <v>71</v>
      </c>
      <c r="P6" s="39">
        <v>1</v>
      </c>
    </row>
    <row r="7" spans="1:29" x14ac:dyDescent="0.75">
      <c r="J7" s="38">
        <v>6</v>
      </c>
      <c r="K7" s="22" t="s">
        <v>64</v>
      </c>
      <c r="L7" s="39">
        <v>3</v>
      </c>
      <c r="M7" s="22" t="s">
        <v>67</v>
      </c>
      <c r="N7" s="39">
        <v>2</v>
      </c>
      <c r="O7" s="22" t="s">
        <v>71</v>
      </c>
      <c r="P7" s="39">
        <v>1</v>
      </c>
    </row>
    <row r="8" spans="1:29" x14ac:dyDescent="0.75">
      <c r="J8" s="38">
        <v>7</v>
      </c>
      <c r="K8" s="22" t="s">
        <v>65</v>
      </c>
      <c r="L8" s="39">
        <v>3</v>
      </c>
      <c r="M8" s="22" t="s">
        <v>68</v>
      </c>
      <c r="N8" s="39">
        <v>2</v>
      </c>
      <c r="O8" s="22" t="s">
        <v>72</v>
      </c>
      <c r="P8" s="39">
        <v>1</v>
      </c>
    </row>
    <row r="9" spans="1:29" x14ac:dyDescent="0.75">
      <c r="A9" s="3" t="s">
        <v>10</v>
      </c>
      <c r="B9" s="3"/>
      <c r="C9" s="3"/>
      <c r="J9" s="38">
        <v>8</v>
      </c>
      <c r="K9" s="22" t="s">
        <v>65</v>
      </c>
      <c r="L9" s="39">
        <v>3</v>
      </c>
      <c r="M9" s="22" t="s">
        <v>68</v>
      </c>
      <c r="N9" s="39">
        <v>2</v>
      </c>
      <c r="O9" s="22" t="s">
        <v>72</v>
      </c>
      <c r="P9" s="39">
        <v>1</v>
      </c>
      <c r="X9" t="s">
        <v>37</v>
      </c>
    </row>
    <row r="10" spans="1:29" x14ac:dyDescent="0.75">
      <c r="A10" s="3">
        <v>1</v>
      </c>
      <c r="B10" s="3" t="s">
        <v>1</v>
      </c>
      <c r="C10" s="3"/>
      <c r="J10" s="38">
        <v>9</v>
      </c>
      <c r="K10" s="22" t="s">
        <v>64</v>
      </c>
      <c r="L10" s="39">
        <v>3</v>
      </c>
      <c r="M10" s="22" t="s">
        <v>67</v>
      </c>
      <c r="N10" s="39">
        <v>2</v>
      </c>
      <c r="O10" s="22" t="s">
        <v>71</v>
      </c>
      <c r="P10" s="39">
        <v>1</v>
      </c>
      <c r="W10" t="s">
        <v>38</v>
      </c>
      <c r="X10" t="s">
        <v>40</v>
      </c>
    </row>
    <row r="11" spans="1:29" x14ac:dyDescent="0.75">
      <c r="A11" s="3">
        <v>2</v>
      </c>
      <c r="B11" s="3" t="s">
        <v>2</v>
      </c>
      <c r="C11" s="3"/>
      <c r="J11" s="38">
        <v>10</v>
      </c>
      <c r="K11" s="22" t="s">
        <v>64</v>
      </c>
      <c r="L11" s="39">
        <v>3</v>
      </c>
      <c r="M11" s="22" t="s">
        <v>67</v>
      </c>
      <c r="N11" s="39">
        <v>2</v>
      </c>
      <c r="O11" s="22" t="s">
        <v>71</v>
      </c>
      <c r="P11" s="39">
        <v>1</v>
      </c>
      <c r="W11" t="s">
        <v>39</v>
      </c>
      <c r="X11" t="s">
        <v>42</v>
      </c>
    </row>
    <row r="12" spans="1:29" x14ac:dyDescent="0.75">
      <c r="A12" s="3">
        <v>3</v>
      </c>
      <c r="B12" s="3" t="s">
        <v>3</v>
      </c>
      <c r="C12" s="3"/>
      <c r="J12" s="38">
        <v>11</v>
      </c>
      <c r="K12" s="22" t="s">
        <v>64</v>
      </c>
      <c r="L12" s="39">
        <v>3</v>
      </c>
      <c r="M12" s="22" t="s">
        <v>67</v>
      </c>
      <c r="N12" s="39">
        <v>2</v>
      </c>
      <c r="O12" s="22" t="s">
        <v>71</v>
      </c>
      <c r="P12" s="39">
        <v>1</v>
      </c>
      <c r="W12" s="11" t="s">
        <v>41</v>
      </c>
      <c r="X12" s="11" t="s">
        <v>43</v>
      </c>
    </row>
    <row r="13" spans="1:29" x14ac:dyDescent="0.75">
      <c r="A13" s="3"/>
      <c r="B13" s="3"/>
      <c r="C13" s="3"/>
      <c r="J13" s="38">
        <v>12</v>
      </c>
      <c r="K13" s="22" t="s">
        <v>64</v>
      </c>
      <c r="L13" s="39">
        <v>3</v>
      </c>
      <c r="M13" s="22" t="s">
        <v>67</v>
      </c>
      <c r="N13" s="39">
        <v>2</v>
      </c>
      <c r="O13" s="22" t="s">
        <v>71</v>
      </c>
      <c r="P13" s="39">
        <v>1</v>
      </c>
      <c r="W13" t="s">
        <v>21</v>
      </c>
      <c r="X13" t="s">
        <v>24</v>
      </c>
      <c r="AA13" t="s">
        <v>44</v>
      </c>
    </row>
    <row r="14" spans="1:29" x14ac:dyDescent="0.75">
      <c r="A14" t="s">
        <v>77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45</v>
      </c>
      <c r="AB14" t="s">
        <v>46</v>
      </c>
      <c r="AC14" t="s">
        <v>47</v>
      </c>
    </row>
    <row r="15" spans="1:29" x14ac:dyDescent="0.75">
      <c r="A15" s="17" t="s">
        <v>9</v>
      </c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N15" s="17"/>
      <c r="O15" s="19" t="s">
        <v>9</v>
      </c>
      <c r="P15" s="17">
        <v>13</v>
      </c>
      <c r="Q15" s="17">
        <v>14</v>
      </c>
      <c r="R15" s="17">
        <v>15</v>
      </c>
      <c r="S15" s="17">
        <v>16</v>
      </c>
      <c r="T15" s="17"/>
      <c r="V15" s="19" t="s">
        <v>9</v>
      </c>
      <c r="W15" s="17">
        <v>17</v>
      </c>
      <c r="X15" s="17">
        <v>18</v>
      </c>
      <c r="Z15" s="19" t="s">
        <v>9</v>
      </c>
      <c r="AA15" s="17">
        <v>19</v>
      </c>
      <c r="AB15" s="17">
        <v>20</v>
      </c>
      <c r="AC15" s="17">
        <v>21</v>
      </c>
    </row>
    <row r="16" spans="1:29" x14ac:dyDescent="0.75">
      <c r="A16" s="17" t="s">
        <v>13</v>
      </c>
      <c r="B16" s="17" t="s">
        <v>16</v>
      </c>
      <c r="C16" s="17" t="s">
        <v>15</v>
      </c>
      <c r="D16" s="17" t="s">
        <v>35</v>
      </c>
      <c r="E16" s="17">
        <v>3</v>
      </c>
      <c r="F16" s="18" t="s">
        <v>16</v>
      </c>
      <c r="G16" s="18" t="s">
        <v>36</v>
      </c>
      <c r="H16" s="18" t="s">
        <v>12</v>
      </c>
      <c r="I16" s="18" t="s">
        <v>12</v>
      </c>
      <c r="J16" s="18" t="s">
        <v>17</v>
      </c>
      <c r="K16" s="18" t="s">
        <v>12</v>
      </c>
      <c r="L16" s="18" t="s">
        <v>12</v>
      </c>
      <c r="M16" s="18" t="s">
        <v>12</v>
      </c>
      <c r="N16" s="18"/>
      <c r="O16" s="19" t="s">
        <v>13</v>
      </c>
      <c r="P16" s="17">
        <v>3</v>
      </c>
      <c r="Q16" s="17">
        <v>3</v>
      </c>
      <c r="R16" s="17">
        <v>3</v>
      </c>
      <c r="S16" s="17">
        <v>3</v>
      </c>
      <c r="T16" s="17"/>
      <c r="V16" s="19" t="s">
        <v>13</v>
      </c>
      <c r="W16" s="17">
        <v>4</v>
      </c>
      <c r="X16" s="17">
        <v>4</v>
      </c>
      <c r="Z16" s="19" t="s">
        <v>13</v>
      </c>
      <c r="AA16" s="17">
        <v>5</v>
      </c>
      <c r="AB16" s="17">
        <v>5</v>
      </c>
      <c r="AC16" s="17">
        <v>5</v>
      </c>
    </row>
    <row r="17" spans="1:29" x14ac:dyDescent="0.75">
      <c r="B17" s="2"/>
    </row>
    <row r="18" spans="1:29" x14ac:dyDescent="0.75">
      <c r="A18" s="11" t="s">
        <v>6</v>
      </c>
      <c r="B18" s="3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0">
        <v>1</v>
      </c>
      <c r="B19" s="22">
        <v>3</v>
      </c>
      <c r="C19" s="22">
        <v>3</v>
      </c>
      <c r="D19" s="22">
        <v>3</v>
      </c>
      <c r="E19" s="22">
        <v>2</v>
      </c>
      <c r="F19" s="22">
        <v>3</v>
      </c>
      <c r="G19" s="22">
        <v>3</v>
      </c>
      <c r="H19" s="22">
        <v>2</v>
      </c>
      <c r="I19" s="22">
        <v>2</v>
      </c>
      <c r="J19" s="22">
        <v>3</v>
      </c>
      <c r="K19" s="22">
        <v>3</v>
      </c>
      <c r="L19" s="22">
        <v>1</v>
      </c>
      <c r="M19" s="22">
        <v>3</v>
      </c>
      <c r="N19" s="22"/>
      <c r="O19" s="20">
        <v>1</v>
      </c>
      <c r="P19" s="22">
        <v>2</v>
      </c>
      <c r="Q19" s="22">
        <v>3</v>
      </c>
      <c r="R19" s="22">
        <v>3</v>
      </c>
      <c r="S19" s="22">
        <v>2</v>
      </c>
      <c r="V19" s="20">
        <v>1</v>
      </c>
      <c r="W19" s="22">
        <v>3</v>
      </c>
      <c r="X19">
        <v>3</v>
      </c>
      <c r="Z19" t="s">
        <v>48</v>
      </c>
      <c r="AA19" s="37">
        <f>AVERAGE(B19:D21)</f>
        <v>3</v>
      </c>
      <c r="AB19" s="37">
        <f>AVERAGE(E19:M21)</f>
        <v>2.4444444444444446</v>
      </c>
      <c r="AC19" s="37">
        <f>AVERAGE(P19:S21)</f>
        <v>2.5</v>
      </c>
    </row>
    <row r="20" spans="1:29" x14ac:dyDescent="0.75">
      <c r="A20" s="20">
        <f>A19+1</f>
        <v>2</v>
      </c>
      <c r="B20" s="22">
        <v>3</v>
      </c>
      <c r="C20" s="22">
        <v>3</v>
      </c>
      <c r="D20" s="22">
        <v>3</v>
      </c>
      <c r="E20" s="22">
        <v>2</v>
      </c>
      <c r="F20" s="22">
        <v>3</v>
      </c>
      <c r="G20" s="22">
        <v>3</v>
      </c>
      <c r="H20" s="22">
        <v>2</v>
      </c>
      <c r="I20" s="22">
        <v>2</v>
      </c>
      <c r="J20" s="22">
        <v>3</v>
      </c>
      <c r="K20" s="22">
        <v>3</v>
      </c>
      <c r="L20" s="22">
        <v>1</v>
      </c>
      <c r="M20" s="22">
        <v>3</v>
      </c>
      <c r="N20" s="22"/>
      <c r="O20" s="20">
        <f>O19+1</f>
        <v>2</v>
      </c>
      <c r="P20" s="22">
        <v>2</v>
      </c>
      <c r="Q20" s="22">
        <v>3</v>
      </c>
      <c r="R20" s="22">
        <v>3</v>
      </c>
      <c r="S20" s="22">
        <v>2</v>
      </c>
      <c r="V20" s="20">
        <f>V19+1</f>
        <v>2</v>
      </c>
      <c r="W20" s="22">
        <v>3</v>
      </c>
      <c r="X20">
        <v>3</v>
      </c>
      <c r="Z20" t="s">
        <v>49</v>
      </c>
      <c r="AA20" s="37">
        <f>AVERAGE(B22:D26)</f>
        <v>3</v>
      </c>
      <c r="AB20" s="37">
        <f>AVERAGE(E22:M26)</f>
        <v>3</v>
      </c>
      <c r="AC20" s="37">
        <f>AVERAGE(P22:S26)</f>
        <v>3</v>
      </c>
    </row>
    <row r="21" spans="1:29" x14ac:dyDescent="0.75">
      <c r="A21" s="21">
        <f t="shared" ref="A21:A78" si="0">A20+1</f>
        <v>3</v>
      </c>
      <c r="B21" s="23">
        <v>3</v>
      </c>
      <c r="C21" s="23">
        <v>3</v>
      </c>
      <c r="D21" s="23">
        <v>3</v>
      </c>
      <c r="E21" s="23">
        <v>2</v>
      </c>
      <c r="F21" s="23">
        <v>3</v>
      </c>
      <c r="G21" s="23">
        <v>3</v>
      </c>
      <c r="H21" s="23">
        <v>2</v>
      </c>
      <c r="I21" s="23">
        <v>2</v>
      </c>
      <c r="J21" s="23">
        <v>3</v>
      </c>
      <c r="K21" s="23">
        <v>3</v>
      </c>
      <c r="L21" s="23">
        <v>1</v>
      </c>
      <c r="M21" s="23">
        <v>3</v>
      </c>
      <c r="N21" s="22"/>
      <c r="O21" s="21">
        <f t="shared" ref="O21:O78" si="1">O20+1</f>
        <v>3</v>
      </c>
      <c r="P21" s="23">
        <v>2</v>
      </c>
      <c r="Q21" s="23">
        <v>3</v>
      </c>
      <c r="R21" s="23">
        <v>3</v>
      </c>
      <c r="S21" s="23">
        <v>2</v>
      </c>
      <c r="V21" s="20">
        <f t="shared" ref="V21:V78" si="2">V20+1</f>
        <v>3</v>
      </c>
      <c r="W21" s="22">
        <v>3</v>
      </c>
      <c r="X21">
        <v>3</v>
      </c>
      <c r="Z21" t="s">
        <v>50</v>
      </c>
      <c r="AA21" s="37">
        <f>AVERAGE(B27:D30)</f>
        <v>3</v>
      </c>
      <c r="AB21" s="37">
        <f>AVERAGE(E27:M30)</f>
        <v>3</v>
      </c>
      <c r="AC21" s="37">
        <f>AVERAGE(P27:S30)</f>
        <v>2.75</v>
      </c>
    </row>
    <row r="22" spans="1:29" x14ac:dyDescent="0.75">
      <c r="A22" s="20">
        <f t="shared" si="0"/>
        <v>4</v>
      </c>
      <c r="B22" s="22">
        <v>3</v>
      </c>
      <c r="C22" s="22">
        <v>3</v>
      </c>
      <c r="D22" s="22">
        <v>3</v>
      </c>
      <c r="E22" s="22">
        <v>3</v>
      </c>
      <c r="F22" s="22">
        <v>3</v>
      </c>
      <c r="G22" s="22">
        <v>3</v>
      </c>
      <c r="H22" s="22">
        <v>3</v>
      </c>
      <c r="I22" s="22">
        <v>3</v>
      </c>
      <c r="J22" s="22">
        <v>3</v>
      </c>
      <c r="K22" s="22">
        <v>3</v>
      </c>
      <c r="L22" s="22">
        <v>3</v>
      </c>
      <c r="M22" s="22">
        <v>3</v>
      </c>
      <c r="N22" s="22"/>
      <c r="O22" s="20">
        <f t="shared" si="1"/>
        <v>4</v>
      </c>
      <c r="P22" s="22">
        <v>3</v>
      </c>
      <c r="Q22" s="22">
        <v>3</v>
      </c>
      <c r="R22" s="22">
        <v>3</v>
      </c>
      <c r="S22" s="22">
        <v>3</v>
      </c>
      <c r="V22" s="20">
        <f t="shared" si="2"/>
        <v>4</v>
      </c>
      <c r="W22" s="22">
        <v>3</v>
      </c>
      <c r="X22">
        <v>3</v>
      </c>
      <c r="Z22" t="s">
        <v>51</v>
      </c>
      <c r="AA22" s="37">
        <f>AVERAGE(B31:D34)</f>
        <v>2.6666666666666665</v>
      </c>
      <c r="AB22" s="37">
        <f>AVERAGE(E31:M34)</f>
        <v>2.9444444444444446</v>
      </c>
      <c r="AC22" s="37">
        <f>AVERAGE(P31:S34)</f>
        <v>3</v>
      </c>
    </row>
    <row r="23" spans="1:29" x14ac:dyDescent="0.75">
      <c r="A23" s="20">
        <f t="shared" si="0"/>
        <v>5</v>
      </c>
      <c r="B23" s="22">
        <v>3</v>
      </c>
      <c r="C23" s="22">
        <v>3</v>
      </c>
      <c r="D23" s="22">
        <v>3</v>
      </c>
      <c r="E23" s="22">
        <v>3</v>
      </c>
      <c r="F23" s="22">
        <v>3</v>
      </c>
      <c r="G23" s="22">
        <v>3</v>
      </c>
      <c r="H23" s="22">
        <v>3</v>
      </c>
      <c r="I23" s="22">
        <v>3</v>
      </c>
      <c r="J23" s="22">
        <v>3</v>
      </c>
      <c r="K23" s="22">
        <v>3</v>
      </c>
      <c r="L23" s="22">
        <v>3</v>
      </c>
      <c r="M23" s="22">
        <v>3</v>
      </c>
      <c r="N23" s="22"/>
      <c r="O23" s="20">
        <f t="shared" si="1"/>
        <v>5</v>
      </c>
      <c r="P23" s="22">
        <v>3</v>
      </c>
      <c r="Q23" s="22">
        <v>3</v>
      </c>
      <c r="R23" s="22">
        <v>3</v>
      </c>
      <c r="S23" s="22">
        <v>3</v>
      </c>
      <c r="V23" s="20">
        <f t="shared" si="2"/>
        <v>5</v>
      </c>
      <c r="W23" s="22">
        <v>3</v>
      </c>
      <c r="X23">
        <v>3</v>
      </c>
      <c r="Z23" t="s">
        <v>52</v>
      </c>
      <c r="AA23" s="37">
        <f>AVERAGE(B35:D39)</f>
        <v>3</v>
      </c>
      <c r="AB23" s="37">
        <f>AVERAGE(E35:M39)</f>
        <v>2.8888888888888888</v>
      </c>
      <c r="AC23" s="37">
        <f>AVERAGE(P35:S39)</f>
        <v>2.75</v>
      </c>
    </row>
    <row r="24" spans="1:29" x14ac:dyDescent="0.75">
      <c r="A24" s="20">
        <f t="shared" si="0"/>
        <v>6</v>
      </c>
      <c r="B24" s="22">
        <v>3</v>
      </c>
      <c r="C24" s="22">
        <v>3</v>
      </c>
      <c r="D24" s="22">
        <v>3</v>
      </c>
      <c r="E24" s="22">
        <v>3</v>
      </c>
      <c r="F24" s="22">
        <v>3</v>
      </c>
      <c r="G24" s="22">
        <v>3</v>
      </c>
      <c r="H24" s="22">
        <v>3</v>
      </c>
      <c r="I24" s="22">
        <v>3</v>
      </c>
      <c r="J24" s="22">
        <v>3</v>
      </c>
      <c r="K24" s="22">
        <v>3</v>
      </c>
      <c r="L24" s="22">
        <v>3</v>
      </c>
      <c r="M24" s="22">
        <v>3</v>
      </c>
      <c r="N24" s="22"/>
      <c r="O24" s="20">
        <f t="shared" si="1"/>
        <v>6</v>
      </c>
      <c r="P24" s="22">
        <v>3</v>
      </c>
      <c r="Q24" s="22">
        <v>3</v>
      </c>
      <c r="R24" s="22">
        <v>3</v>
      </c>
      <c r="S24" s="22">
        <v>3</v>
      </c>
      <c r="V24" s="20">
        <f t="shared" si="2"/>
        <v>6</v>
      </c>
      <c r="W24" s="22">
        <v>3</v>
      </c>
      <c r="X24">
        <v>3</v>
      </c>
      <c r="Z24" t="s">
        <v>53</v>
      </c>
      <c r="AA24" s="37">
        <f>AVERAGE(B40:D44)</f>
        <v>3</v>
      </c>
      <c r="AB24" s="37">
        <f>AVERAGE(E40:M44)</f>
        <v>2.7222222222222223</v>
      </c>
      <c r="AC24" s="37">
        <f>AVERAGE(P40:S44)</f>
        <v>3</v>
      </c>
    </row>
    <row r="25" spans="1:29" x14ac:dyDescent="0.75">
      <c r="A25" s="20">
        <f t="shared" si="0"/>
        <v>7</v>
      </c>
      <c r="B25" s="22">
        <v>3</v>
      </c>
      <c r="C25" s="22">
        <v>3</v>
      </c>
      <c r="D25" s="22">
        <v>3</v>
      </c>
      <c r="E25" s="22">
        <v>3</v>
      </c>
      <c r="F25" s="22">
        <v>3</v>
      </c>
      <c r="G25" s="22">
        <v>3</v>
      </c>
      <c r="H25" s="22">
        <v>3</v>
      </c>
      <c r="I25" s="22">
        <v>3</v>
      </c>
      <c r="J25" s="22">
        <v>3</v>
      </c>
      <c r="K25" s="22">
        <v>3</v>
      </c>
      <c r="L25" s="22">
        <v>3</v>
      </c>
      <c r="M25" s="22">
        <v>3</v>
      </c>
      <c r="N25" s="22"/>
      <c r="O25" s="20">
        <f t="shared" si="1"/>
        <v>7</v>
      </c>
      <c r="P25" s="22">
        <v>3</v>
      </c>
      <c r="Q25" s="22">
        <v>3</v>
      </c>
      <c r="R25" s="22">
        <v>3</v>
      </c>
      <c r="S25" s="22">
        <v>3</v>
      </c>
      <c r="V25" s="20">
        <f t="shared" si="2"/>
        <v>7</v>
      </c>
      <c r="W25" s="22">
        <v>3</v>
      </c>
      <c r="X25">
        <v>3</v>
      </c>
      <c r="Z25" t="s">
        <v>54</v>
      </c>
      <c r="AA25" s="37">
        <f>AVERAGE(B45:D49)</f>
        <v>3</v>
      </c>
      <c r="AB25" s="37">
        <f>AVERAGE(E45:M49)</f>
        <v>2.5555555555555554</v>
      </c>
      <c r="AC25" s="37">
        <f>AVERAGE(P45:S49)</f>
        <v>2.5</v>
      </c>
    </row>
    <row r="26" spans="1:29" x14ac:dyDescent="0.75">
      <c r="A26" s="21">
        <f t="shared" si="0"/>
        <v>8</v>
      </c>
      <c r="B26" s="23">
        <v>3</v>
      </c>
      <c r="C26" s="23">
        <v>3</v>
      </c>
      <c r="D26" s="23">
        <v>3</v>
      </c>
      <c r="E26" s="23">
        <v>3</v>
      </c>
      <c r="F26" s="23">
        <v>3</v>
      </c>
      <c r="G26" s="23">
        <v>3</v>
      </c>
      <c r="H26" s="23">
        <v>3</v>
      </c>
      <c r="I26" s="23">
        <v>3</v>
      </c>
      <c r="J26" s="23">
        <v>3</v>
      </c>
      <c r="K26" s="23">
        <v>3</v>
      </c>
      <c r="L26" s="23">
        <v>3</v>
      </c>
      <c r="M26" s="23">
        <v>3</v>
      </c>
      <c r="N26" s="22"/>
      <c r="O26" s="21">
        <f t="shared" si="1"/>
        <v>8</v>
      </c>
      <c r="P26" s="23">
        <v>3</v>
      </c>
      <c r="Q26" s="23">
        <v>3</v>
      </c>
      <c r="R26" s="23">
        <v>3</v>
      </c>
      <c r="S26" s="23">
        <v>3</v>
      </c>
      <c r="V26" s="20">
        <f t="shared" si="2"/>
        <v>8</v>
      </c>
      <c r="W26" s="22">
        <v>3</v>
      </c>
      <c r="X26">
        <v>3</v>
      </c>
      <c r="Z26" t="s">
        <v>55</v>
      </c>
      <c r="AA26" s="37">
        <f>AVERAGE(B50:D53)</f>
        <v>3</v>
      </c>
      <c r="AB26" s="37">
        <f>AVERAGE(E50:M53)</f>
        <v>2.6666666666666665</v>
      </c>
      <c r="AC26" s="37">
        <f>AVERAGE(R52)</f>
        <v>3</v>
      </c>
    </row>
    <row r="27" spans="1:29" x14ac:dyDescent="0.75">
      <c r="A27" s="20">
        <f t="shared" si="0"/>
        <v>9</v>
      </c>
      <c r="B27" s="22">
        <v>3</v>
      </c>
      <c r="C27" s="22">
        <v>3</v>
      </c>
      <c r="D27" s="22">
        <v>3</v>
      </c>
      <c r="E27" s="22">
        <v>3</v>
      </c>
      <c r="F27" s="22">
        <v>3</v>
      </c>
      <c r="G27" s="22">
        <v>3</v>
      </c>
      <c r="H27" s="22">
        <v>3</v>
      </c>
      <c r="I27" s="22">
        <v>3</v>
      </c>
      <c r="J27" s="22">
        <v>3</v>
      </c>
      <c r="K27" s="22">
        <v>3</v>
      </c>
      <c r="L27" s="22">
        <v>3</v>
      </c>
      <c r="M27" s="22">
        <v>3</v>
      </c>
      <c r="N27" s="22"/>
      <c r="O27" s="20">
        <f t="shared" si="1"/>
        <v>9</v>
      </c>
      <c r="P27" s="22">
        <v>2</v>
      </c>
      <c r="Q27" s="22">
        <v>3</v>
      </c>
      <c r="R27" s="22">
        <v>3</v>
      </c>
      <c r="S27" s="22">
        <v>3</v>
      </c>
      <c r="V27" s="20">
        <f t="shared" si="2"/>
        <v>9</v>
      </c>
      <c r="W27" s="22">
        <v>3</v>
      </c>
      <c r="X27">
        <v>3</v>
      </c>
      <c r="Z27" t="s">
        <v>56</v>
      </c>
      <c r="AA27" s="37">
        <f>AVERAGE(B54:D57)</f>
        <v>2.6666666666666665</v>
      </c>
      <c r="AB27" s="37">
        <f>AVERAGE(E54:M57)</f>
        <v>2.6666666666666665</v>
      </c>
      <c r="AC27" s="37">
        <f>AVERAGE(P54:S57)</f>
        <v>3</v>
      </c>
    </row>
    <row r="28" spans="1:29" x14ac:dyDescent="0.75">
      <c r="A28" s="20">
        <f t="shared" si="0"/>
        <v>10</v>
      </c>
      <c r="B28" s="22">
        <v>3</v>
      </c>
      <c r="C28" s="22">
        <v>3</v>
      </c>
      <c r="D28" s="22">
        <v>3</v>
      </c>
      <c r="E28" s="22">
        <v>3</v>
      </c>
      <c r="F28" s="22">
        <v>3</v>
      </c>
      <c r="G28" s="22">
        <v>3</v>
      </c>
      <c r="H28" s="22">
        <v>3</v>
      </c>
      <c r="I28" s="22">
        <v>3</v>
      </c>
      <c r="J28" s="22">
        <v>3</v>
      </c>
      <c r="K28" s="22">
        <v>3</v>
      </c>
      <c r="L28" s="22">
        <v>3</v>
      </c>
      <c r="M28" s="22">
        <v>3</v>
      </c>
      <c r="N28" s="22"/>
      <c r="O28" s="20">
        <f t="shared" si="1"/>
        <v>10</v>
      </c>
      <c r="P28" s="22">
        <v>2</v>
      </c>
      <c r="Q28" s="22">
        <v>3</v>
      </c>
      <c r="R28" s="22">
        <v>3</v>
      </c>
      <c r="S28" s="22">
        <v>3</v>
      </c>
      <c r="V28" s="20">
        <f t="shared" si="2"/>
        <v>10</v>
      </c>
      <c r="W28" s="22">
        <v>3</v>
      </c>
      <c r="X28">
        <v>3</v>
      </c>
      <c r="Z28" t="s">
        <v>57</v>
      </c>
      <c r="AA28" s="37">
        <f>AVERAGE(B58:D62)</f>
        <v>2.6666666666666665</v>
      </c>
      <c r="AB28" s="37">
        <f>AVERAGE(E58:M62)</f>
        <v>2.7222222222222223</v>
      </c>
      <c r="AC28" s="37">
        <f>AVERAGE(P58:S62)</f>
        <v>2.75</v>
      </c>
    </row>
    <row r="29" spans="1:29" x14ac:dyDescent="0.75">
      <c r="A29" s="20">
        <f t="shared" si="0"/>
        <v>11</v>
      </c>
      <c r="B29" s="22">
        <v>3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2">
        <v>3</v>
      </c>
      <c r="I29" s="22">
        <v>3</v>
      </c>
      <c r="J29" s="22">
        <v>3</v>
      </c>
      <c r="K29" s="22">
        <v>3</v>
      </c>
      <c r="L29" s="22">
        <v>3</v>
      </c>
      <c r="M29" s="22">
        <v>3</v>
      </c>
      <c r="N29" s="22"/>
      <c r="O29" s="20">
        <f t="shared" si="1"/>
        <v>11</v>
      </c>
      <c r="P29" s="22">
        <v>2</v>
      </c>
      <c r="Q29" s="22">
        <v>3</v>
      </c>
      <c r="R29" s="22">
        <v>3</v>
      </c>
      <c r="S29" s="22">
        <v>3</v>
      </c>
      <c r="V29" s="20">
        <f t="shared" si="2"/>
        <v>11</v>
      </c>
      <c r="W29" s="22">
        <v>3</v>
      </c>
      <c r="X29">
        <v>3</v>
      </c>
      <c r="Z29" t="s">
        <v>78</v>
      </c>
      <c r="AA29" s="37">
        <f>AVERAGE(B63:D67)</f>
        <v>2.6666666666666665</v>
      </c>
      <c r="AB29" s="37">
        <f>AVERAGE(E63:M67)</f>
        <v>2.7777777777777777</v>
      </c>
      <c r="AC29" s="37">
        <f>AVERAGE(P63:S67)</f>
        <v>2.5</v>
      </c>
    </row>
    <row r="30" spans="1:29" x14ac:dyDescent="0.75">
      <c r="A30" s="21">
        <f t="shared" si="0"/>
        <v>12</v>
      </c>
      <c r="B30" s="23">
        <v>3</v>
      </c>
      <c r="C30" s="23">
        <v>3</v>
      </c>
      <c r="D30" s="23">
        <v>3</v>
      </c>
      <c r="E30" s="23">
        <v>3</v>
      </c>
      <c r="F30" s="23">
        <v>3</v>
      </c>
      <c r="G30" s="23">
        <v>3</v>
      </c>
      <c r="H30" s="23">
        <v>3</v>
      </c>
      <c r="I30" s="23">
        <v>3</v>
      </c>
      <c r="J30" s="23">
        <v>3</v>
      </c>
      <c r="K30" s="23">
        <v>3</v>
      </c>
      <c r="L30" s="23">
        <v>3</v>
      </c>
      <c r="M30" s="23">
        <v>3</v>
      </c>
      <c r="N30" s="22"/>
      <c r="O30" s="21">
        <f t="shared" si="1"/>
        <v>12</v>
      </c>
      <c r="P30" s="23">
        <v>2</v>
      </c>
      <c r="Q30" s="23">
        <v>3</v>
      </c>
      <c r="R30" s="23">
        <v>3</v>
      </c>
      <c r="S30" s="23">
        <v>3</v>
      </c>
      <c r="V30" s="20">
        <f t="shared" si="2"/>
        <v>12</v>
      </c>
      <c r="W30" s="22">
        <v>3</v>
      </c>
      <c r="X30">
        <v>3</v>
      </c>
      <c r="Z30" t="s">
        <v>58</v>
      </c>
      <c r="AA30" s="37">
        <f>AVERAGE(B68:D71)</f>
        <v>2.3333333333333335</v>
      </c>
      <c r="AB30" s="37">
        <f>AVERAGE(E68:M71)</f>
        <v>2.6111111111111112</v>
      </c>
      <c r="AC30" s="37">
        <f>AVERAGE(P68:S71)</f>
        <v>2.75</v>
      </c>
    </row>
    <row r="31" spans="1:29" x14ac:dyDescent="0.75">
      <c r="A31" s="20">
        <f t="shared" si="0"/>
        <v>13</v>
      </c>
      <c r="B31" s="22">
        <v>2</v>
      </c>
      <c r="C31" s="22">
        <v>3</v>
      </c>
      <c r="D31" s="22">
        <v>3</v>
      </c>
      <c r="E31" s="22">
        <v>3</v>
      </c>
      <c r="F31" s="22">
        <v>3</v>
      </c>
      <c r="G31" s="22">
        <v>3</v>
      </c>
      <c r="H31" s="22">
        <v>3</v>
      </c>
      <c r="I31" s="22">
        <v>3</v>
      </c>
      <c r="J31" s="22">
        <v>3</v>
      </c>
      <c r="K31" s="22">
        <v>3</v>
      </c>
      <c r="L31" s="22">
        <v>2.5</v>
      </c>
      <c r="M31" s="22">
        <v>3</v>
      </c>
      <c r="N31" s="22"/>
      <c r="O31" s="20">
        <f t="shared" si="1"/>
        <v>13</v>
      </c>
      <c r="P31" s="22">
        <v>3</v>
      </c>
      <c r="Q31" s="22">
        <v>3</v>
      </c>
      <c r="R31" s="22">
        <v>3</v>
      </c>
      <c r="S31" s="22">
        <v>3</v>
      </c>
      <c r="V31" s="20">
        <f t="shared" si="2"/>
        <v>13</v>
      </c>
      <c r="W31" s="22">
        <v>3</v>
      </c>
      <c r="X31">
        <v>3</v>
      </c>
      <c r="AA31" s="37"/>
      <c r="AB31" s="37"/>
      <c r="AC31" s="37"/>
    </row>
    <row r="32" spans="1:29" x14ac:dyDescent="0.75">
      <c r="A32" s="20">
        <f t="shared" si="0"/>
        <v>14</v>
      </c>
      <c r="B32" s="22">
        <v>2</v>
      </c>
      <c r="C32" s="22">
        <v>3</v>
      </c>
      <c r="D32" s="22">
        <v>3</v>
      </c>
      <c r="E32" s="22">
        <v>3</v>
      </c>
      <c r="F32" s="22">
        <v>3</v>
      </c>
      <c r="G32" s="22">
        <v>3</v>
      </c>
      <c r="H32" s="22">
        <v>3</v>
      </c>
      <c r="I32" s="22">
        <v>3</v>
      </c>
      <c r="J32" s="22">
        <v>3</v>
      </c>
      <c r="K32" s="22">
        <v>3</v>
      </c>
      <c r="L32" s="22">
        <v>2.5</v>
      </c>
      <c r="M32" s="22">
        <v>3</v>
      </c>
      <c r="N32" s="22"/>
      <c r="O32" s="20">
        <f t="shared" si="1"/>
        <v>14</v>
      </c>
      <c r="P32" s="22">
        <v>3</v>
      </c>
      <c r="Q32" s="22">
        <v>3</v>
      </c>
      <c r="R32" s="22">
        <v>3</v>
      </c>
      <c r="S32" s="22">
        <v>3</v>
      </c>
      <c r="V32" s="20">
        <f t="shared" si="2"/>
        <v>14</v>
      </c>
      <c r="W32" s="22">
        <v>3</v>
      </c>
      <c r="X32">
        <v>3</v>
      </c>
      <c r="AA32" s="37"/>
      <c r="AB32" s="37"/>
      <c r="AC32" s="37"/>
    </row>
    <row r="33" spans="1:30" x14ac:dyDescent="0.75">
      <c r="A33" s="20">
        <f t="shared" si="0"/>
        <v>15</v>
      </c>
      <c r="B33" s="22">
        <v>2</v>
      </c>
      <c r="C33" s="22">
        <v>3</v>
      </c>
      <c r="D33" s="22">
        <v>3</v>
      </c>
      <c r="E33" s="22">
        <v>3</v>
      </c>
      <c r="F33" s="22">
        <v>3</v>
      </c>
      <c r="G33" s="22">
        <v>3</v>
      </c>
      <c r="H33" s="22">
        <v>3</v>
      </c>
      <c r="I33" s="22">
        <v>3</v>
      </c>
      <c r="J33" s="22">
        <v>3</v>
      </c>
      <c r="K33" s="22">
        <v>3</v>
      </c>
      <c r="L33" s="22">
        <v>2.5</v>
      </c>
      <c r="M33" s="22">
        <v>3</v>
      </c>
      <c r="N33" s="22"/>
      <c r="O33" s="20">
        <f t="shared" si="1"/>
        <v>15</v>
      </c>
      <c r="P33" s="22">
        <v>3</v>
      </c>
      <c r="Q33" s="22">
        <v>3</v>
      </c>
      <c r="R33" s="22">
        <v>3</v>
      </c>
      <c r="S33" s="22">
        <v>3</v>
      </c>
      <c r="V33" s="20">
        <f t="shared" si="2"/>
        <v>15</v>
      </c>
      <c r="W33" s="22">
        <v>3</v>
      </c>
      <c r="X33">
        <v>3</v>
      </c>
      <c r="AA33" s="37"/>
      <c r="AB33" s="37"/>
      <c r="AC33" s="37"/>
    </row>
    <row r="34" spans="1:30" x14ac:dyDescent="0.75">
      <c r="A34" s="21">
        <f t="shared" si="0"/>
        <v>16</v>
      </c>
      <c r="B34" s="23">
        <v>2</v>
      </c>
      <c r="C34" s="23">
        <v>3</v>
      </c>
      <c r="D34" s="23">
        <v>3</v>
      </c>
      <c r="E34" s="23">
        <v>3</v>
      </c>
      <c r="F34" s="23">
        <v>3</v>
      </c>
      <c r="G34" s="23">
        <v>3</v>
      </c>
      <c r="H34" s="23">
        <v>3</v>
      </c>
      <c r="I34" s="23">
        <v>3</v>
      </c>
      <c r="J34" s="23">
        <v>3</v>
      </c>
      <c r="K34" s="23">
        <v>3</v>
      </c>
      <c r="L34" s="23">
        <v>2.5</v>
      </c>
      <c r="M34" s="23">
        <v>3</v>
      </c>
      <c r="N34" s="22"/>
      <c r="O34" s="21">
        <f t="shared" si="1"/>
        <v>16</v>
      </c>
      <c r="P34" s="23">
        <v>3</v>
      </c>
      <c r="Q34" s="23">
        <v>3</v>
      </c>
      <c r="R34" s="23">
        <v>3</v>
      </c>
      <c r="S34" s="23">
        <v>3</v>
      </c>
      <c r="V34" s="20">
        <f t="shared" si="2"/>
        <v>16</v>
      </c>
      <c r="W34" s="22">
        <v>3</v>
      </c>
      <c r="X34">
        <v>3</v>
      </c>
      <c r="AA34" s="37"/>
      <c r="AB34" s="37"/>
      <c r="AC34" s="37"/>
    </row>
    <row r="35" spans="1:30" x14ac:dyDescent="0.75">
      <c r="A35" s="20">
        <f t="shared" si="0"/>
        <v>17</v>
      </c>
      <c r="B35" s="22">
        <v>3</v>
      </c>
      <c r="C35" s="22">
        <v>3</v>
      </c>
      <c r="D35" s="22">
        <v>3</v>
      </c>
      <c r="E35" s="22">
        <v>3</v>
      </c>
      <c r="F35" s="22">
        <v>3</v>
      </c>
      <c r="G35" s="22">
        <v>3</v>
      </c>
      <c r="H35" s="22">
        <v>3</v>
      </c>
      <c r="I35" s="22">
        <v>3</v>
      </c>
      <c r="J35" s="22">
        <v>3</v>
      </c>
      <c r="K35" s="22">
        <v>3</v>
      </c>
      <c r="L35" s="22">
        <v>2</v>
      </c>
      <c r="M35" s="22">
        <v>3</v>
      </c>
      <c r="N35" s="22"/>
      <c r="O35" s="20">
        <f t="shared" si="1"/>
        <v>17</v>
      </c>
      <c r="P35" s="22">
        <v>2</v>
      </c>
      <c r="Q35" s="22">
        <v>3</v>
      </c>
      <c r="R35" s="22">
        <v>3</v>
      </c>
      <c r="S35" s="22">
        <v>3</v>
      </c>
      <c r="V35" s="20">
        <f t="shared" si="2"/>
        <v>17</v>
      </c>
      <c r="W35" s="22">
        <v>3</v>
      </c>
      <c r="X35">
        <v>3</v>
      </c>
      <c r="AA35" s="37"/>
    </row>
    <row r="36" spans="1:30" x14ac:dyDescent="0.75">
      <c r="A36" s="20">
        <f t="shared" si="0"/>
        <v>18</v>
      </c>
      <c r="B36" s="22">
        <v>3</v>
      </c>
      <c r="C36" s="22">
        <v>3</v>
      </c>
      <c r="D36" s="22">
        <v>3</v>
      </c>
      <c r="E36" s="22">
        <v>3</v>
      </c>
      <c r="F36" s="22">
        <v>3</v>
      </c>
      <c r="G36" s="22">
        <v>3</v>
      </c>
      <c r="H36" s="22">
        <v>3</v>
      </c>
      <c r="I36" s="22">
        <v>3</v>
      </c>
      <c r="J36" s="22">
        <v>3</v>
      </c>
      <c r="K36" s="22">
        <v>3</v>
      </c>
      <c r="L36" s="22">
        <v>2</v>
      </c>
      <c r="M36" s="22">
        <v>3</v>
      </c>
      <c r="N36" s="22"/>
      <c r="O36" s="20">
        <f t="shared" si="1"/>
        <v>18</v>
      </c>
      <c r="P36" s="22">
        <v>2</v>
      </c>
      <c r="Q36" s="22">
        <v>3</v>
      </c>
      <c r="R36" s="22">
        <v>3</v>
      </c>
      <c r="S36" s="22">
        <v>3</v>
      </c>
      <c r="V36" s="20">
        <f t="shared" si="2"/>
        <v>18</v>
      </c>
      <c r="W36" s="22">
        <v>3</v>
      </c>
      <c r="X36">
        <v>3</v>
      </c>
      <c r="Z36" s="28" t="s">
        <v>59</v>
      </c>
      <c r="AA36" s="4"/>
      <c r="AB36" s="4"/>
      <c r="AC36" s="4"/>
      <c r="AD36" t="s">
        <v>87</v>
      </c>
    </row>
    <row r="37" spans="1:30" x14ac:dyDescent="0.75">
      <c r="A37" s="20">
        <f t="shared" si="0"/>
        <v>19</v>
      </c>
      <c r="B37" s="22">
        <v>3</v>
      </c>
      <c r="C37" s="22">
        <v>3</v>
      </c>
      <c r="D37" s="22">
        <v>3</v>
      </c>
      <c r="E37" s="22">
        <v>3</v>
      </c>
      <c r="F37" s="22">
        <v>3</v>
      </c>
      <c r="G37" s="22">
        <v>3</v>
      </c>
      <c r="H37" s="22">
        <v>3</v>
      </c>
      <c r="I37" s="22">
        <v>3</v>
      </c>
      <c r="J37" s="22">
        <v>3</v>
      </c>
      <c r="K37" s="22">
        <v>3</v>
      </c>
      <c r="L37" s="22">
        <v>2</v>
      </c>
      <c r="M37" s="22">
        <v>3</v>
      </c>
      <c r="N37" s="22"/>
      <c r="O37" s="20">
        <f t="shared" si="1"/>
        <v>19</v>
      </c>
      <c r="P37" s="22">
        <v>2</v>
      </c>
      <c r="Q37" s="22">
        <v>3</v>
      </c>
      <c r="R37" s="22">
        <v>3</v>
      </c>
      <c r="S37" s="22">
        <v>3</v>
      </c>
      <c r="V37" s="20">
        <f t="shared" si="2"/>
        <v>19</v>
      </c>
      <c r="W37" s="22">
        <v>3</v>
      </c>
      <c r="X37">
        <v>3</v>
      </c>
      <c r="Z37" s="44" t="s">
        <v>0</v>
      </c>
      <c r="AA37" s="32">
        <v>19</v>
      </c>
      <c r="AB37" s="29">
        <v>20</v>
      </c>
      <c r="AC37" s="29">
        <v>21</v>
      </c>
    </row>
    <row r="38" spans="1:30" x14ac:dyDescent="0.75">
      <c r="A38" s="20">
        <f t="shared" si="0"/>
        <v>20</v>
      </c>
      <c r="B38" s="22">
        <v>3</v>
      </c>
      <c r="C38" s="22">
        <v>3</v>
      </c>
      <c r="D38" s="22">
        <v>3</v>
      </c>
      <c r="E38" s="22">
        <v>3</v>
      </c>
      <c r="F38" s="22">
        <v>3</v>
      </c>
      <c r="G38" s="22">
        <v>3</v>
      </c>
      <c r="H38" s="22">
        <v>3</v>
      </c>
      <c r="I38" s="22">
        <v>3</v>
      </c>
      <c r="J38" s="22">
        <v>3</v>
      </c>
      <c r="K38" s="22">
        <v>3</v>
      </c>
      <c r="L38" s="22">
        <v>2</v>
      </c>
      <c r="M38" s="22">
        <v>3</v>
      </c>
      <c r="N38" s="22"/>
      <c r="O38" s="20">
        <f t="shared" si="1"/>
        <v>20</v>
      </c>
      <c r="P38" s="22">
        <v>2</v>
      </c>
      <c r="Q38" s="22">
        <v>3</v>
      </c>
      <c r="R38" s="22">
        <v>3</v>
      </c>
      <c r="S38" s="22">
        <v>3</v>
      </c>
      <c r="V38" s="21">
        <f t="shared" si="2"/>
        <v>20</v>
      </c>
      <c r="W38" s="23">
        <v>3</v>
      </c>
      <c r="X38" s="11">
        <v>3</v>
      </c>
      <c r="Z38" s="44" t="s">
        <v>13</v>
      </c>
      <c r="AA38" s="32">
        <v>5</v>
      </c>
      <c r="AB38" s="32">
        <v>5</v>
      </c>
      <c r="AC38" s="32">
        <v>5</v>
      </c>
    </row>
    <row r="39" spans="1:30" x14ac:dyDescent="0.75">
      <c r="A39" s="21">
        <f t="shared" si="0"/>
        <v>21</v>
      </c>
      <c r="B39" s="23">
        <v>3</v>
      </c>
      <c r="C39" s="23">
        <v>3</v>
      </c>
      <c r="D39" s="23">
        <v>3</v>
      </c>
      <c r="E39" s="23">
        <v>3</v>
      </c>
      <c r="F39" s="23">
        <v>3</v>
      </c>
      <c r="G39" s="23">
        <v>3</v>
      </c>
      <c r="H39" s="23">
        <v>3</v>
      </c>
      <c r="I39" s="23">
        <v>3</v>
      </c>
      <c r="J39" s="23">
        <v>3</v>
      </c>
      <c r="K39" s="23">
        <v>3</v>
      </c>
      <c r="L39" s="23">
        <v>2</v>
      </c>
      <c r="M39" s="23">
        <v>3</v>
      </c>
      <c r="N39" s="22"/>
      <c r="O39" s="21">
        <f t="shared" si="1"/>
        <v>21</v>
      </c>
      <c r="P39" s="23">
        <v>2</v>
      </c>
      <c r="Q39" s="23">
        <v>3</v>
      </c>
      <c r="R39" s="23">
        <v>3</v>
      </c>
      <c r="S39" s="23">
        <v>3</v>
      </c>
      <c r="V39" s="20">
        <f t="shared" si="2"/>
        <v>21</v>
      </c>
      <c r="W39" s="22">
        <v>3</v>
      </c>
      <c r="X39">
        <v>3</v>
      </c>
      <c r="Z39" s="44" t="s">
        <v>4</v>
      </c>
      <c r="AA39" s="33">
        <f>AVERAGE(AA19:AA31)</f>
        <v>2.8333333333333335</v>
      </c>
      <c r="AB39" s="33">
        <f>AVERAGE(AB19:AB31)</f>
        <v>2.7500000000000004</v>
      </c>
      <c r="AC39" s="33">
        <f>AVERAGE(AC19:AC30)</f>
        <v>2.7916666666666665</v>
      </c>
      <c r="AD39" s="24">
        <f>AVERAGE(AA39:AC39)</f>
        <v>2.7916666666666665</v>
      </c>
    </row>
    <row r="40" spans="1:30" x14ac:dyDescent="0.75">
      <c r="A40" s="20">
        <f t="shared" si="0"/>
        <v>22</v>
      </c>
      <c r="B40" s="22">
        <v>3</v>
      </c>
      <c r="C40" s="22">
        <v>3</v>
      </c>
      <c r="D40" s="22">
        <v>3</v>
      </c>
      <c r="E40" s="22">
        <v>3</v>
      </c>
      <c r="F40" s="22">
        <v>3</v>
      </c>
      <c r="G40" s="22">
        <v>3</v>
      </c>
      <c r="H40" s="22">
        <v>2</v>
      </c>
      <c r="I40" s="22">
        <v>2</v>
      </c>
      <c r="J40" s="22">
        <v>3</v>
      </c>
      <c r="K40" s="22">
        <v>3</v>
      </c>
      <c r="L40" s="22">
        <v>2.5</v>
      </c>
      <c r="M40" s="22">
        <v>3</v>
      </c>
      <c r="N40" s="22"/>
      <c r="O40" s="20">
        <f t="shared" si="1"/>
        <v>22</v>
      </c>
      <c r="P40" s="22">
        <v>3</v>
      </c>
      <c r="Q40" s="22">
        <v>3</v>
      </c>
      <c r="R40" s="22">
        <v>3</v>
      </c>
      <c r="S40" s="22">
        <v>3</v>
      </c>
      <c r="V40" s="20">
        <f t="shared" si="2"/>
        <v>22</v>
      </c>
      <c r="W40" s="22">
        <v>3</v>
      </c>
      <c r="X40">
        <v>3</v>
      </c>
      <c r="Z40" s="44" t="s">
        <v>5</v>
      </c>
      <c r="AA40" s="33">
        <f>STDEV(AA19:AA31)</f>
        <v>0.22473328748774735</v>
      </c>
      <c r="AB40" s="33">
        <f>STDEV(AB19:AB31)</f>
        <v>0.17806164205862818</v>
      </c>
      <c r="AC40" s="33">
        <f>STDEV(AC19:AC30)</f>
        <v>0.20871177748418049</v>
      </c>
      <c r="AD40" s="24">
        <f>AVERAGE(AA40:AC40)</f>
        <v>0.20383556901018532</v>
      </c>
    </row>
    <row r="41" spans="1:30" x14ac:dyDescent="0.75">
      <c r="A41" s="20">
        <f t="shared" si="0"/>
        <v>23</v>
      </c>
      <c r="B41" s="22">
        <v>3</v>
      </c>
      <c r="C41" s="22">
        <v>3</v>
      </c>
      <c r="D41" s="22">
        <v>3</v>
      </c>
      <c r="E41" s="22">
        <v>3</v>
      </c>
      <c r="F41" s="22">
        <v>3</v>
      </c>
      <c r="G41" s="22">
        <v>3</v>
      </c>
      <c r="H41" s="22">
        <v>2</v>
      </c>
      <c r="I41" s="22">
        <v>2</v>
      </c>
      <c r="J41" s="22">
        <v>3</v>
      </c>
      <c r="K41" s="22">
        <v>3</v>
      </c>
      <c r="L41" s="22">
        <v>2.5</v>
      </c>
      <c r="M41" s="22">
        <v>3</v>
      </c>
      <c r="N41" s="22"/>
      <c r="O41" s="20">
        <f t="shared" si="1"/>
        <v>23</v>
      </c>
      <c r="P41" s="22">
        <v>3</v>
      </c>
      <c r="Q41" s="22">
        <v>3</v>
      </c>
      <c r="R41" s="22">
        <v>3</v>
      </c>
      <c r="S41" s="22">
        <v>3</v>
      </c>
      <c r="V41" s="20">
        <f t="shared" si="2"/>
        <v>23</v>
      </c>
      <c r="W41" s="22">
        <v>3</v>
      </c>
      <c r="X41">
        <v>3</v>
      </c>
    </row>
    <row r="42" spans="1:30" x14ac:dyDescent="0.75">
      <c r="A42" s="20">
        <f t="shared" si="0"/>
        <v>24</v>
      </c>
      <c r="B42" s="22">
        <v>3</v>
      </c>
      <c r="C42" s="22">
        <v>3</v>
      </c>
      <c r="D42" s="22">
        <v>3</v>
      </c>
      <c r="E42" s="22">
        <v>3</v>
      </c>
      <c r="F42" s="22">
        <v>3</v>
      </c>
      <c r="G42" s="22">
        <v>3</v>
      </c>
      <c r="H42" s="22">
        <v>2</v>
      </c>
      <c r="I42" s="22">
        <v>2</v>
      </c>
      <c r="J42" s="22">
        <v>3</v>
      </c>
      <c r="K42" s="22">
        <v>3</v>
      </c>
      <c r="L42" s="22">
        <v>2.5</v>
      </c>
      <c r="M42" s="22">
        <v>3</v>
      </c>
      <c r="N42" s="22"/>
      <c r="O42" s="20">
        <f t="shared" si="1"/>
        <v>24</v>
      </c>
      <c r="P42" s="22">
        <v>3</v>
      </c>
      <c r="Q42" s="22">
        <v>3</v>
      </c>
      <c r="R42" s="22">
        <v>3</v>
      </c>
      <c r="S42" s="22">
        <v>3</v>
      </c>
      <c r="V42" s="20">
        <f t="shared" si="2"/>
        <v>24</v>
      </c>
      <c r="W42" s="22">
        <v>3</v>
      </c>
      <c r="X42">
        <v>3</v>
      </c>
    </row>
    <row r="43" spans="1:30" x14ac:dyDescent="0.75">
      <c r="A43" s="20">
        <f t="shared" si="0"/>
        <v>25</v>
      </c>
      <c r="B43" s="22">
        <v>3</v>
      </c>
      <c r="C43" s="22">
        <v>3</v>
      </c>
      <c r="D43" s="22">
        <v>3</v>
      </c>
      <c r="E43" s="22">
        <v>3</v>
      </c>
      <c r="F43" s="22">
        <v>3</v>
      </c>
      <c r="G43" s="22">
        <v>3</v>
      </c>
      <c r="H43" s="22">
        <v>2</v>
      </c>
      <c r="I43" s="22">
        <v>2</v>
      </c>
      <c r="J43" s="22">
        <v>3</v>
      </c>
      <c r="K43" s="22">
        <v>3</v>
      </c>
      <c r="L43" s="22">
        <v>2.5</v>
      </c>
      <c r="M43" s="22">
        <v>3</v>
      </c>
      <c r="N43" s="22"/>
      <c r="O43" s="20">
        <f t="shared" si="1"/>
        <v>25</v>
      </c>
      <c r="P43" s="22">
        <v>3</v>
      </c>
      <c r="Q43" s="22">
        <v>3</v>
      </c>
      <c r="R43" s="22">
        <v>3</v>
      </c>
      <c r="S43" s="22">
        <v>3</v>
      </c>
      <c r="V43" s="20">
        <f t="shared" si="2"/>
        <v>25</v>
      </c>
      <c r="W43" s="22">
        <v>3</v>
      </c>
      <c r="X43">
        <v>3</v>
      </c>
    </row>
    <row r="44" spans="1:30" x14ac:dyDescent="0.75">
      <c r="A44" s="21">
        <f t="shared" si="0"/>
        <v>26</v>
      </c>
      <c r="B44" s="23">
        <v>3</v>
      </c>
      <c r="C44" s="23">
        <v>3</v>
      </c>
      <c r="D44" s="23">
        <v>3</v>
      </c>
      <c r="E44" s="23">
        <v>3</v>
      </c>
      <c r="F44" s="23">
        <v>3</v>
      </c>
      <c r="G44" s="23">
        <v>3</v>
      </c>
      <c r="H44" s="23">
        <v>2</v>
      </c>
      <c r="I44" s="23">
        <v>2</v>
      </c>
      <c r="J44" s="23">
        <v>3</v>
      </c>
      <c r="K44" s="23">
        <v>3</v>
      </c>
      <c r="L44" s="23">
        <v>2.5</v>
      </c>
      <c r="M44" s="23">
        <v>3</v>
      </c>
      <c r="N44" s="22"/>
      <c r="O44" s="21">
        <f t="shared" si="1"/>
        <v>26</v>
      </c>
      <c r="P44" s="23">
        <v>3</v>
      </c>
      <c r="Q44" s="23">
        <v>3</v>
      </c>
      <c r="R44" s="23">
        <v>3</v>
      </c>
      <c r="S44" s="23">
        <v>3</v>
      </c>
      <c r="V44" s="20">
        <f t="shared" si="2"/>
        <v>26</v>
      </c>
      <c r="W44" s="22">
        <v>3</v>
      </c>
      <c r="X44">
        <v>3</v>
      </c>
    </row>
    <row r="45" spans="1:30" x14ac:dyDescent="0.75">
      <c r="A45" s="20">
        <f t="shared" si="0"/>
        <v>27</v>
      </c>
      <c r="B45" s="22">
        <v>3</v>
      </c>
      <c r="C45" s="22">
        <v>3</v>
      </c>
      <c r="D45" s="22">
        <v>3</v>
      </c>
      <c r="E45" s="22">
        <v>2</v>
      </c>
      <c r="F45" s="22">
        <v>3</v>
      </c>
      <c r="G45" s="22">
        <v>3</v>
      </c>
      <c r="H45" s="22">
        <v>2</v>
      </c>
      <c r="I45" s="22">
        <v>2</v>
      </c>
      <c r="J45" s="22">
        <v>3</v>
      </c>
      <c r="K45" s="22">
        <v>3</v>
      </c>
      <c r="L45" s="22">
        <v>2</v>
      </c>
      <c r="M45" s="22">
        <v>3</v>
      </c>
      <c r="N45" s="22"/>
      <c r="O45" s="20">
        <f t="shared" si="1"/>
        <v>27</v>
      </c>
      <c r="P45" s="22">
        <v>2</v>
      </c>
      <c r="Q45" s="22">
        <v>3</v>
      </c>
      <c r="R45" s="22">
        <v>3</v>
      </c>
      <c r="S45" s="22">
        <v>2</v>
      </c>
      <c r="V45" s="20">
        <f t="shared" si="2"/>
        <v>27</v>
      </c>
      <c r="W45" s="22">
        <v>3</v>
      </c>
      <c r="X45">
        <v>3</v>
      </c>
    </row>
    <row r="46" spans="1:30" x14ac:dyDescent="0.75">
      <c r="A46" s="20">
        <f t="shared" si="0"/>
        <v>28</v>
      </c>
      <c r="B46" s="22">
        <v>3</v>
      </c>
      <c r="C46" s="22">
        <v>3</v>
      </c>
      <c r="D46" s="22">
        <v>3</v>
      </c>
      <c r="E46" s="22">
        <v>2</v>
      </c>
      <c r="F46" s="22">
        <v>3</v>
      </c>
      <c r="G46" s="22">
        <v>3</v>
      </c>
      <c r="H46" s="22">
        <v>2</v>
      </c>
      <c r="I46" s="22">
        <v>2</v>
      </c>
      <c r="J46" s="22">
        <v>3</v>
      </c>
      <c r="K46" s="22">
        <v>3</v>
      </c>
      <c r="L46" s="22">
        <v>2</v>
      </c>
      <c r="M46" s="22">
        <v>3</v>
      </c>
      <c r="N46" s="22"/>
      <c r="O46" s="20">
        <f t="shared" si="1"/>
        <v>28</v>
      </c>
      <c r="P46" s="22">
        <v>2</v>
      </c>
      <c r="Q46" s="22">
        <v>3</v>
      </c>
      <c r="R46" s="22">
        <v>3</v>
      </c>
      <c r="S46" s="22">
        <v>2</v>
      </c>
      <c r="V46" s="20">
        <f t="shared" si="2"/>
        <v>28</v>
      </c>
      <c r="W46" s="22">
        <v>3</v>
      </c>
      <c r="X46">
        <v>3</v>
      </c>
    </row>
    <row r="47" spans="1:30" x14ac:dyDescent="0.75">
      <c r="A47" s="20">
        <f t="shared" si="0"/>
        <v>29</v>
      </c>
      <c r="B47" s="22">
        <v>3</v>
      </c>
      <c r="C47" s="22">
        <v>3</v>
      </c>
      <c r="D47" s="22">
        <v>3</v>
      </c>
      <c r="E47" s="22">
        <v>2</v>
      </c>
      <c r="F47" s="22">
        <v>3</v>
      </c>
      <c r="G47" s="22">
        <v>3</v>
      </c>
      <c r="H47" s="22">
        <v>2</v>
      </c>
      <c r="I47" s="22">
        <v>2</v>
      </c>
      <c r="J47" s="22">
        <v>3</v>
      </c>
      <c r="K47" s="22">
        <v>3</v>
      </c>
      <c r="L47" s="22">
        <v>2</v>
      </c>
      <c r="M47" s="22">
        <v>3</v>
      </c>
      <c r="N47" s="22"/>
      <c r="O47" s="20">
        <f t="shared" si="1"/>
        <v>29</v>
      </c>
      <c r="P47" s="22">
        <v>2</v>
      </c>
      <c r="Q47" s="22">
        <v>3</v>
      </c>
      <c r="R47" s="22">
        <v>3</v>
      </c>
      <c r="S47" s="22">
        <v>2</v>
      </c>
      <c r="V47" s="20">
        <f t="shared" si="2"/>
        <v>29</v>
      </c>
      <c r="W47" s="22">
        <v>3</v>
      </c>
      <c r="X47">
        <v>3</v>
      </c>
    </row>
    <row r="48" spans="1:30" x14ac:dyDescent="0.75">
      <c r="A48" s="20">
        <f>A47+1</f>
        <v>30</v>
      </c>
      <c r="B48" s="22">
        <v>3</v>
      </c>
      <c r="C48" s="22">
        <v>3</v>
      </c>
      <c r="D48" s="22">
        <v>3</v>
      </c>
      <c r="E48" s="22">
        <v>2</v>
      </c>
      <c r="F48" s="22">
        <v>3</v>
      </c>
      <c r="G48" s="22">
        <v>3</v>
      </c>
      <c r="H48" s="22">
        <v>2</v>
      </c>
      <c r="I48" s="22">
        <v>2</v>
      </c>
      <c r="J48" s="22">
        <v>3</v>
      </c>
      <c r="K48" s="22">
        <v>3</v>
      </c>
      <c r="L48" s="22">
        <v>2</v>
      </c>
      <c r="M48" s="22">
        <v>3</v>
      </c>
      <c r="N48" s="22"/>
      <c r="O48" s="20">
        <f t="shared" si="1"/>
        <v>30</v>
      </c>
      <c r="P48" s="22">
        <v>2</v>
      </c>
      <c r="Q48" s="22">
        <v>3</v>
      </c>
      <c r="R48" s="22">
        <v>3</v>
      </c>
      <c r="S48" s="22">
        <v>2</v>
      </c>
      <c r="V48" s="20">
        <f t="shared" si="2"/>
        <v>30</v>
      </c>
      <c r="W48" s="22">
        <v>3</v>
      </c>
      <c r="X48">
        <v>3</v>
      </c>
    </row>
    <row r="49" spans="1:24" x14ac:dyDescent="0.75">
      <c r="A49" s="21">
        <f t="shared" si="0"/>
        <v>31</v>
      </c>
      <c r="B49" s="23">
        <v>3</v>
      </c>
      <c r="C49" s="23">
        <v>3</v>
      </c>
      <c r="D49" s="23">
        <v>3</v>
      </c>
      <c r="E49" s="23">
        <v>2</v>
      </c>
      <c r="F49" s="23">
        <v>3</v>
      </c>
      <c r="G49" s="23">
        <v>3</v>
      </c>
      <c r="H49" s="23">
        <v>2</v>
      </c>
      <c r="I49" s="23">
        <v>2</v>
      </c>
      <c r="J49" s="23">
        <v>3</v>
      </c>
      <c r="K49" s="23">
        <v>3</v>
      </c>
      <c r="L49" s="23">
        <v>2</v>
      </c>
      <c r="M49" s="23">
        <v>3</v>
      </c>
      <c r="N49" s="22"/>
      <c r="O49" s="21">
        <f t="shared" si="1"/>
        <v>31</v>
      </c>
      <c r="P49" s="23">
        <v>2</v>
      </c>
      <c r="Q49" s="23">
        <v>3</v>
      </c>
      <c r="R49" s="23">
        <v>3</v>
      </c>
      <c r="S49" s="23">
        <v>2</v>
      </c>
      <c r="V49" s="20">
        <f t="shared" si="2"/>
        <v>31</v>
      </c>
      <c r="W49" s="22">
        <v>3</v>
      </c>
      <c r="X49">
        <v>3</v>
      </c>
    </row>
    <row r="50" spans="1:24" x14ac:dyDescent="0.75">
      <c r="A50" s="20">
        <f t="shared" si="0"/>
        <v>32</v>
      </c>
      <c r="B50" s="22">
        <v>3</v>
      </c>
      <c r="C50" s="22">
        <v>3</v>
      </c>
      <c r="D50" s="22">
        <v>3</v>
      </c>
      <c r="E50" s="22">
        <v>2</v>
      </c>
      <c r="F50" s="22">
        <v>3</v>
      </c>
      <c r="G50" s="22">
        <v>3</v>
      </c>
      <c r="H50" s="22">
        <v>3</v>
      </c>
      <c r="I50" s="22">
        <v>2</v>
      </c>
      <c r="J50" s="22">
        <v>3</v>
      </c>
      <c r="K50" s="22">
        <v>3</v>
      </c>
      <c r="L50" s="22">
        <v>2</v>
      </c>
      <c r="M50" s="22">
        <v>3</v>
      </c>
      <c r="N50" s="22"/>
      <c r="O50" s="20">
        <f t="shared" si="1"/>
        <v>32</v>
      </c>
      <c r="P50" s="22">
        <v>2</v>
      </c>
      <c r="Q50" s="22">
        <v>3</v>
      </c>
      <c r="R50" s="22">
        <v>3</v>
      </c>
      <c r="S50" s="22">
        <v>3</v>
      </c>
      <c r="V50" s="20">
        <f t="shared" si="2"/>
        <v>32</v>
      </c>
      <c r="W50" s="22">
        <v>3</v>
      </c>
      <c r="X50">
        <v>3</v>
      </c>
    </row>
    <row r="51" spans="1:24" x14ac:dyDescent="0.75">
      <c r="A51" s="20">
        <f t="shared" si="0"/>
        <v>33</v>
      </c>
      <c r="B51" s="22">
        <v>3</v>
      </c>
      <c r="C51" s="22">
        <v>3</v>
      </c>
      <c r="D51" s="22">
        <v>3</v>
      </c>
      <c r="E51" s="22">
        <v>2</v>
      </c>
      <c r="F51" s="22">
        <v>3</v>
      </c>
      <c r="G51" s="22">
        <v>3</v>
      </c>
      <c r="H51" s="22">
        <v>3</v>
      </c>
      <c r="I51" s="22">
        <v>2</v>
      </c>
      <c r="J51" s="22">
        <v>3</v>
      </c>
      <c r="K51" s="22">
        <v>3</v>
      </c>
      <c r="L51" s="22">
        <v>2</v>
      </c>
      <c r="M51" s="22">
        <v>3</v>
      </c>
      <c r="N51" s="22"/>
      <c r="O51" s="20">
        <f t="shared" si="1"/>
        <v>33</v>
      </c>
      <c r="P51" s="22">
        <v>2</v>
      </c>
      <c r="Q51" s="22">
        <v>3</v>
      </c>
      <c r="R51" s="22">
        <v>3</v>
      </c>
      <c r="S51" s="22">
        <v>3</v>
      </c>
      <c r="V51" s="20">
        <f t="shared" si="2"/>
        <v>33</v>
      </c>
      <c r="W51" s="22">
        <v>3</v>
      </c>
      <c r="X51">
        <v>3</v>
      </c>
    </row>
    <row r="52" spans="1:24" x14ac:dyDescent="0.75">
      <c r="A52" s="20">
        <f t="shared" si="0"/>
        <v>34</v>
      </c>
      <c r="B52" s="22">
        <v>3</v>
      </c>
      <c r="C52" s="22">
        <v>3</v>
      </c>
      <c r="D52" s="22">
        <v>3</v>
      </c>
      <c r="E52" s="22">
        <v>2</v>
      </c>
      <c r="F52" s="22">
        <v>3</v>
      </c>
      <c r="G52" s="22">
        <v>3</v>
      </c>
      <c r="H52" s="22">
        <v>3</v>
      </c>
      <c r="I52" s="22">
        <v>2</v>
      </c>
      <c r="J52" s="22">
        <v>3</v>
      </c>
      <c r="K52" s="22">
        <v>3</v>
      </c>
      <c r="L52" s="22">
        <v>2</v>
      </c>
      <c r="M52" s="22">
        <v>3</v>
      </c>
      <c r="N52" s="22"/>
      <c r="O52" s="20">
        <f t="shared" si="1"/>
        <v>34</v>
      </c>
      <c r="P52" s="22">
        <v>2</v>
      </c>
      <c r="Q52" s="22">
        <v>3</v>
      </c>
      <c r="R52" s="22">
        <v>3</v>
      </c>
      <c r="S52" s="22">
        <v>3</v>
      </c>
      <c r="V52" s="20">
        <f t="shared" si="2"/>
        <v>34</v>
      </c>
      <c r="W52" s="22">
        <v>3</v>
      </c>
      <c r="X52">
        <v>3</v>
      </c>
    </row>
    <row r="53" spans="1:24" x14ac:dyDescent="0.75">
      <c r="A53" s="21">
        <f t="shared" si="0"/>
        <v>35</v>
      </c>
      <c r="B53" s="23">
        <v>3</v>
      </c>
      <c r="C53" s="23">
        <v>3</v>
      </c>
      <c r="D53" s="23">
        <v>3</v>
      </c>
      <c r="E53" s="23">
        <v>2</v>
      </c>
      <c r="F53" s="23">
        <v>3</v>
      </c>
      <c r="G53" s="23">
        <v>3</v>
      </c>
      <c r="H53" s="23">
        <v>3</v>
      </c>
      <c r="I53" s="23">
        <v>2</v>
      </c>
      <c r="J53" s="23">
        <v>3</v>
      </c>
      <c r="K53" s="23">
        <v>3</v>
      </c>
      <c r="L53" s="23">
        <v>2</v>
      </c>
      <c r="M53" s="23">
        <v>3</v>
      </c>
      <c r="N53" s="22"/>
      <c r="O53" s="21">
        <f t="shared" si="1"/>
        <v>35</v>
      </c>
      <c r="P53" s="23">
        <v>2</v>
      </c>
      <c r="Q53" s="23">
        <v>3</v>
      </c>
      <c r="R53" s="23">
        <v>3</v>
      </c>
      <c r="S53" s="23">
        <v>3</v>
      </c>
      <c r="V53" s="20">
        <f t="shared" si="2"/>
        <v>35</v>
      </c>
      <c r="W53" s="22">
        <v>3</v>
      </c>
      <c r="X53">
        <v>3</v>
      </c>
    </row>
    <row r="54" spans="1:24" x14ac:dyDescent="0.75">
      <c r="A54" s="20">
        <f t="shared" si="0"/>
        <v>36</v>
      </c>
      <c r="B54" s="22">
        <v>2</v>
      </c>
      <c r="C54" s="22">
        <v>3</v>
      </c>
      <c r="D54" s="22">
        <v>3</v>
      </c>
      <c r="E54" s="22">
        <v>2</v>
      </c>
      <c r="F54" s="22">
        <v>2</v>
      </c>
      <c r="G54" s="22">
        <v>3</v>
      </c>
      <c r="H54" s="22">
        <v>3</v>
      </c>
      <c r="I54" s="22">
        <v>3</v>
      </c>
      <c r="J54" s="22">
        <v>3</v>
      </c>
      <c r="K54" s="22">
        <v>3</v>
      </c>
      <c r="L54" s="22">
        <v>2</v>
      </c>
      <c r="M54" s="22">
        <v>3</v>
      </c>
      <c r="N54" s="22"/>
      <c r="O54" s="20">
        <f t="shared" si="1"/>
        <v>36</v>
      </c>
      <c r="P54" s="22">
        <v>3</v>
      </c>
      <c r="Q54" s="22">
        <v>3</v>
      </c>
      <c r="R54" s="22">
        <v>3</v>
      </c>
      <c r="S54" s="22">
        <v>3</v>
      </c>
      <c r="V54" s="21">
        <f t="shared" si="2"/>
        <v>36</v>
      </c>
      <c r="W54" s="23">
        <v>3</v>
      </c>
      <c r="X54" s="11">
        <v>3</v>
      </c>
    </row>
    <row r="55" spans="1:24" x14ac:dyDescent="0.75">
      <c r="A55" s="20">
        <f t="shared" si="0"/>
        <v>37</v>
      </c>
      <c r="B55" s="22">
        <v>2</v>
      </c>
      <c r="C55" s="22">
        <v>3</v>
      </c>
      <c r="D55" s="22">
        <v>3</v>
      </c>
      <c r="E55" s="22">
        <v>2</v>
      </c>
      <c r="F55" s="22">
        <v>2</v>
      </c>
      <c r="G55" s="22">
        <v>3</v>
      </c>
      <c r="H55" s="22">
        <v>3</v>
      </c>
      <c r="I55" s="22">
        <v>3</v>
      </c>
      <c r="J55" s="22">
        <v>3</v>
      </c>
      <c r="K55" s="22">
        <v>3</v>
      </c>
      <c r="L55" s="22">
        <v>2</v>
      </c>
      <c r="M55" s="22">
        <v>3</v>
      </c>
      <c r="N55" s="22"/>
      <c r="O55" s="20">
        <f t="shared" si="1"/>
        <v>37</v>
      </c>
      <c r="P55" s="22">
        <v>3</v>
      </c>
      <c r="Q55" s="22">
        <v>3</v>
      </c>
      <c r="R55" s="22">
        <v>3</v>
      </c>
      <c r="S55" s="22">
        <v>3</v>
      </c>
      <c r="T55" s="22"/>
      <c r="V55" s="20">
        <f t="shared" si="2"/>
        <v>37</v>
      </c>
      <c r="W55" s="22">
        <v>3</v>
      </c>
      <c r="X55">
        <v>3</v>
      </c>
    </row>
    <row r="56" spans="1:24" x14ac:dyDescent="0.75">
      <c r="A56" s="20">
        <f t="shared" si="0"/>
        <v>38</v>
      </c>
      <c r="B56" s="22">
        <v>2</v>
      </c>
      <c r="C56" s="22">
        <v>3</v>
      </c>
      <c r="D56" s="22">
        <v>3</v>
      </c>
      <c r="E56" s="22">
        <v>2</v>
      </c>
      <c r="F56" s="22">
        <v>2</v>
      </c>
      <c r="G56" s="22">
        <v>3</v>
      </c>
      <c r="H56" s="22">
        <v>3</v>
      </c>
      <c r="I56" s="22">
        <v>3</v>
      </c>
      <c r="J56" s="22">
        <v>3</v>
      </c>
      <c r="K56" s="22">
        <v>3</v>
      </c>
      <c r="L56" s="22">
        <v>2</v>
      </c>
      <c r="M56" s="22">
        <v>3</v>
      </c>
      <c r="N56" s="22"/>
      <c r="O56" s="20">
        <f t="shared" si="1"/>
        <v>38</v>
      </c>
      <c r="P56" s="22">
        <v>3</v>
      </c>
      <c r="Q56" s="22">
        <v>3</v>
      </c>
      <c r="R56" s="22">
        <v>3</v>
      </c>
      <c r="S56" s="22">
        <v>3</v>
      </c>
      <c r="V56" s="20">
        <f t="shared" si="2"/>
        <v>38</v>
      </c>
      <c r="W56" s="22">
        <v>3</v>
      </c>
      <c r="X56">
        <v>3</v>
      </c>
    </row>
    <row r="57" spans="1:24" x14ac:dyDescent="0.75">
      <c r="A57" s="21">
        <f t="shared" si="0"/>
        <v>39</v>
      </c>
      <c r="B57" s="23">
        <v>2</v>
      </c>
      <c r="C57" s="23">
        <v>3</v>
      </c>
      <c r="D57" s="23">
        <v>3</v>
      </c>
      <c r="E57" s="23">
        <v>2</v>
      </c>
      <c r="F57" s="23">
        <v>2</v>
      </c>
      <c r="G57" s="23">
        <v>3</v>
      </c>
      <c r="H57" s="23">
        <v>3</v>
      </c>
      <c r="I57" s="23">
        <v>3</v>
      </c>
      <c r="J57" s="23">
        <v>3</v>
      </c>
      <c r="K57" s="23">
        <v>3</v>
      </c>
      <c r="L57" s="23">
        <v>2</v>
      </c>
      <c r="M57" s="23">
        <v>3</v>
      </c>
      <c r="N57" s="22"/>
      <c r="O57" s="21">
        <f t="shared" si="1"/>
        <v>39</v>
      </c>
      <c r="P57" s="23">
        <v>3</v>
      </c>
      <c r="Q57" s="23">
        <v>3</v>
      </c>
      <c r="R57" s="23">
        <v>3</v>
      </c>
      <c r="S57" s="23">
        <v>3</v>
      </c>
      <c r="V57" s="20">
        <f t="shared" si="2"/>
        <v>39</v>
      </c>
      <c r="W57" s="22">
        <v>3</v>
      </c>
      <c r="X57">
        <v>3</v>
      </c>
    </row>
    <row r="58" spans="1:24" x14ac:dyDescent="0.75">
      <c r="A58" s="20">
        <f t="shared" si="0"/>
        <v>40</v>
      </c>
      <c r="B58" s="22">
        <v>3</v>
      </c>
      <c r="C58" s="22">
        <v>3</v>
      </c>
      <c r="D58" s="22">
        <v>2</v>
      </c>
      <c r="E58" s="22">
        <v>2</v>
      </c>
      <c r="F58" s="22">
        <v>3</v>
      </c>
      <c r="G58" s="22">
        <v>2</v>
      </c>
      <c r="H58" s="22">
        <v>3</v>
      </c>
      <c r="I58" s="22">
        <v>3</v>
      </c>
      <c r="J58" s="22">
        <v>3</v>
      </c>
      <c r="K58" s="22">
        <v>3</v>
      </c>
      <c r="L58" s="22">
        <v>2.5</v>
      </c>
      <c r="M58" s="22">
        <v>3</v>
      </c>
      <c r="N58" s="22"/>
      <c r="O58" s="20">
        <f t="shared" si="1"/>
        <v>40</v>
      </c>
      <c r="P58" s="22">
        <v>2</v>
      </c>
      <c r="Q58" s="22">
        <v>3</v>
      </c>
      <c r="R58" s="22">
        <v>3</v>
      </c>
      <c r="S58" s="22">
        <v>3</v>
      </c>
      <c r="V58" s="20">
        <f t="shared" si="2"/>
        <v>40</v>
      </c>
      <c r="W58" s="22">
        <v>3</v>
      </c>
      <c r="X58">
        <v>3</v>
      </c>
    </row>
    <row r="59" spans="1:24" x14ac:dyDescent="0.75">
      <c r="A59" s="20">
        <f t="shared" si="0"/>
        <v>41</v>
      </c>
      <c r="B59" s="22">
        <v>3</v>
      </c>
      <c r="C59" s="22">
        <v>3</v>
      </c>
      <c r="D59" s="22">
        <v>2</v>
      </c>
      <c r="E59" s="22">
        <v>2</v>
      </c>
      <c r="F59" s="22">
        <v>3</v>
      </c>
      <c r="G59" s="22">
        <v>2</v>
      </c>
      <c r="H59" s="22">
        <v>3</v>
      </c>
      <c r="I59" s="22">
        <v>3</v>
      </c>
      <c r="J59" s="22">
        <v>3</v>
      </c>
      <c r="K59" s="22">
        <v>3</v>
      </c>
      <c r="L59" s="22">
        <v>2.5</v>
      </c>
      <c r="M59" s="22">
        <v>3</v>
      </c>
      <c r="N59" s="22"/>
      <c r="O59" s="20">
        <f t="shared" si="1"/>
        <v>41</v>
      </c>
      <c r="P59" s="22">
        <v>2</v>
      </c>
      <c r="Q59" s="22">
        <v>3</v>
      </c>
      <c r="R59" s="22">
        <v>3</v>
      </c>
      <c r="S59" s="22">
        <v>3</v>
      </c>
      <c r="V59" s="20">
        <f>V58+1</f>
        <v>41</v>
      </c>
      <c r="W59" s="22">
        <v>3</v>
      </c>
      <c r="X59">
        <v>3</v>
      </c>
    </row>
    <row r="60" spans="1:24" x14ac:dyDescent="0.75">
      <c r="A60" s="20">
        <f t="shared" si="0"/>
        <v>42</v>
      </c>
      <c r="B60" s="22">
        <v>3</v>
      </c>
      <c r="C60" s="22">
        <v>3</v>
      </c>
      <c r="D60" s="22">
        <v>2</v>
      </c>
      <c r="E60" s="22">
        <v>2</v>
      </c>
      <c r="F60" s="22">
        <v>3</v>
      </c>
      <c r="G60" s="22">
        <v>2</v>
      </c>
      <c r="H60" s="22">
        <v>3</v>
      </c>
      <c r="I60" s="22">
        <v>3</v>
      </c>
      <c r="J60" s="22">
        <v>3</v>
      </c>
      <c r="K60" s="22">
        <v>3</v>
      </c>
      <c r="L60" s="22">
        <v>2.5</v>
      </c>
      <c r="M60" s="22">
        <v>3</v>
      </c>
      <c r="N60" s="22"/>
      <c r="O60" s="20">
        <f t="shared" si="1"/>
        <v>42</v>
      </c>
      <c r="P60" s="22">
        <v>2</v>
      </c>
      <c r="Q60" s="22">
        <v>3</v>
      </c>
      <c r="R60" s="22">
        <v>3</v>
      </c>
      <c r="S60" s="22">
        <v>3</v>
      </c>
      <c r="V60" s="20">
        <f t="shared" si="2"/>
        <v>42</v>
      </c>
      <c r="W60" s="22">
        <v>3</v>
      </c>
      <c r="X60">
        <v>3</v>
      </c>
    </row>
    <row r="61" spans="1:24" x14ac:dyDescent="0.75">
      <c r="A61" s="20">
        <f t="shared" si="0"/>
        <v>43</v>
      </c>
      <c r="B61" s="22">
        <v>3</v>
      </c>
      <c r="C61" s="22">
        <v>3</v>
      </c>
      <c r="D61" s="22">
        <v>2</v>
      </c>
      <c r="E61" s="22">
        <v>2</v>
      </c>
      <c r="F61" s="22">
        <v>3</v>
      </c>
      <c r="G61" s="22">
        <v>2</v>
      </c>
      <c r="H61" s="22">
        <v>3</v>
      </c>
      <c r="I61" s="22">
        <v>3</v>
      </c>
      <c r="J61" s="22">
        <v>3</v>
      </c>
      <c r="K61" s="22">
        <v>3</v>
      </c>
      <c r="L61" s="22">
        <v>2.5</v>
      </c>
      <c r="M61" s="22">
        <v>3</v>
      </c>
      <c r="N61" s="22"/>
      <c r="O61" s="20">
        <f t="shared" si="1"/>
        <v>43</v>
      </c>
      <c r="P61" s="22">
        <v>2</v>
      </c>
      <c r="Q61" s="22">
        <v>3</v>
      </c>
      <c r="R61" s="22">
        <v>3</v>
      </c>
      <c r="S61" s="22">
        <v>3</v>
      </c>
      <c r="V61" s="20">
        <f t="shared" si="2"/>
        <v>43</v>
      </c>
      <c r="W61" s="22">
        <v>3</v>
      </c>
      <c r="X61">
        <v>3</v>
      </c>
    </row>
    <row r="62" spans="1:24" x14ac:dyDescent="0.75">
      <c r="A62" s="21">
        <f t="shared" si="0"/>
        <v>44</v>
      </c>
      <c r="B62" s="23">
        <v>3</v>
      </c>
      <c r="C62" s="23">
        <v>3</v>
      </c>
      <c r="D62" s="23">
        <v>2</v>
      </c>
      <c r="E62" s="23">
        <v>2</v>
      </c>
      <c r="F62" s="23">
        <v>3</v>
      </c>
      <c r="G62" s="23">
        <v>2</v>
      </c>
      <c r="H62" s="23">
        <v>3</v>
      </c>
      <c r="I62" s="23">
        <v>3</v>
      </c>
      <c r="J62" s="23">
        <v>3</v>
      </c>
      <c r="K62" s="23">
        <v>3</v>
      </c>
      <c r="L62" s="23">
        <v>2.5</v>
      </c>
      <c r="M62" s="23">
        <v>3</v>
      </c>
      <c r="N62" s="22"/>
      <c r="O62" s="21">
        <f t="shared" si="1"/>
        <v>44</v>
      </c>
      <c r="P62" s="23">
        <v>2</v>
      </c>
      <c r="Q62" s="23">
        <v>3</v>
      </c>
      <c r="R62" s="23">
        <v>3</v>
      </c>
      <c r="S62" s="23">
        <v>3</v>
      </c>
      <c r="V62" s="20">
        <f t="shared" si="2"/>
        <v>44</v>
      </c>
      <c r="W62" s="22">
        <v>3</v>
      </c>
      <c r="X62">
        <v>3</v>
      </c>
    </row>
    <row r="63" spans="1:24" x14ac:dyDescent="0.75">
      <c r="A63" s="20">
        <f t="shared" si="0"/>
        <v>45</v>
      </c>
      <c r="B63" s="22">
        <v>3</v>
      </c>
      <c r="C63" s="22">
        <v>3</v>
      </c>
      <c r="D63" s="22">
        <v>2</v>
      </c>
      <c r="E63" s="22">
        <v>2</v>
      </c>
      <c r="F63" s="22">
        <v>3</v>
      </c>
      <c r="G63" s="22">
        <v>2</v>
      </c>
      <c r="H63" s="22">
        <v>3</v>
      </c>
      <c r="I63" s="22">
        <v>3</v>
      </c>
      <c r="J63" s="22">
        <v>3</v>
      </c>
      <c r="K63" s="22">
        <v>3</v>
      </c>
      <c r="L63" s="22">
        <v>3</v>
      </c>
      <c r="M63" s="22">
        <v>3</v>
      </c>
      <c r="N63" s="22"/>
      <c r="O63" s="20">
        <f t="shared" si="1"/>
        <v>45</v>
      </c>
      <c r="P63" s="22">
        <v>2</v>
      </c>
      <c r="Q63" s="22">
        <v>3</v>
      </c>
      <c r="R63" s="22">
        <v>3</v>
      </c>
      <c r="S63" s="22">
        <v>2</v>
      </c>
      <c r="V63" s="20">
        <f t="shared" si="2"/>
        <v>45</v>
      </c>
      <c r="W63" s="22">
        <v>3</v>
      </c>
      <c r="X63">
        <v>3</v>
      </c>
    </row>
    <row r="64" spans="1:24" x14ac:dyDescent="0.75">
      <c r="A64" s="20">
        <f t="shared" si="0"/>
        <v>46</v>
      </c>
      <c r="B64" s="22">
        <v>3</v>
      </c>
      <c r="C64" s="22">
        <v>3</v>
      </c>
      <c r="D64" s="22">
        <v>2</v>
      </c>
      <c r="E64" s="22">
        <v>2</v>
      </c>
      <c r="F64" s="22">
        <v>3</v>
      </c>
      <c r="G64" s="22">
        <v>2</v>
      </c>
      <c r="H64" s="22">
        <v>3</v>
      </c>
      <c r="I64" s="22">
        <v>3</v>
      </c>
      <c r="J64" s="22">
        <v>3</v>
      </c>
      <c r="K64" s="22">
        <v>3</v>
      </c>
      <c r="L64" s="22">
        <v>3</v>
      </c>
      <c r="M64" s="22">
        <v>3</v>
      </c>
      <c r="N64" s="22"/>
      <c r="O64" s="20">
        <f t="shared" si="1"/>
        <v>46</v>
      </c>
      <c r="P64" s="22">
        <v>2</v>
      </c>
      <c r="Q64" s="22">
        <v>3</v>
      </c>
      <c r="R64" s="22">
        <v>3</v>
      </c>
      <c r="S64" s="22">
        <v>2</v>
      </c>
      <c r="V64" s="20">
        <f t="shared" si="2"/>
        <v>46</v>
      </c>
      <c r="W64" s="22">
        <v>3</v>
      </c>
      <c r="X64">
        <v>3</v>
      </c>
    </row>
    <row r="65" spans="1:24" x14ac:dyDescent="0.75">
      <c r="A65" s="20">
        <f t="shared" si="0"/>
        <v>47</v>
      </c>
      <c r="B65" s="22">
        <v>3</v>
      </c>
      <c r="C65" s="22">
        <v>3</v>
      </c>
      <c r="D65" s="22">
        <v>2</v>
      </c>
      <c r="E65" s="22">
        <v>2</v>
      </c>
      <c r="F65" s="22">
        <v>3</v>
      </c>
      <c r="G65" s="22">
        <v>2</v>
      </c>
      <c r="H65" s="22">
        <v>3</v>
      </c>
      <c r="I65" s="22">
        <v>3</v>
      </c>
      <c r="J65" s="22">
        <v>3</v>
      </c>
      <c r="K65" s="22">
        <v>3</v>
      </c>
      <c r="L65" s="22">
        <v>3</v>
      </c>
      <c r="M65" s="22">
        <v>3</v>
      </c>
      <c r="N65" s="22"/>
      <c r="O65" s="20">
        <f t="shared" si="1"/>
        <v>47</v>
      </c>
      <c r="P65" s="22">
        <v>2</v>
      </c>
      <c r="Q65" s="22">
        <v>3</v>
      </c>
      <c r="R65" s="22">
        <v>3</v>
      </c>
      <c r="S65" s="22">
        <v>2</v>
      </c>
      <c r="V65" s="20">
        <f t="shared" si="2"/>
        <v>47</v>
      </c>
      <c r="W65" s="22">
        <v>3</v>
      </c>
      <c r="X65">
        <v>2</v>
      </c>
    </row>
    <row r="66" spans="1:24" x14ac:dyDescent="0.75">
      <c r="A66" s="20">
        <f t="shared" si="0"/>
        <v>48</v>
      </c>
      <c r="B66" s="22">
        <v>3</v>
      </c>
      <c r="C66" s="22">
        <v>3</v>
      </c>
      <c r="D66" s="22">
        <v>2</v>
      </c>
      <c r="E66" s="22">
        <v>2</v>
      </c>
      <c r="F66" s="22">
        <v>3</v>
      </c>
      <c r="G66" s="22">
        <v>2</v>
      </c>
      <c r="H66" s="22">
        <v>3</v>
      </c>
      <c r="I66" s="22">
        <v>3</v>
      </c>
      <c r="J66" s="22">
        <v>3</v>
      </c>
      <c r="K66" s="22">
        <v>3</v>
      </c>
      <c r="L66" s="22">
        <v>3</v>
      </c>
      <c r="M66" s="22">
        <v>3</v>
      </c>
      <c r="N66" s="22"/>
      <c r="O66" s="20">
        <f t="shared" si="1"/>
        <v>48</v>
      </c>
      <c r="P66" s="22">
        <v>2</v>
      </c>
      <c r="Q66" s="22">
        <v>3</v>
      </c>
      <c r="R66" s="22">
        <v>3</v>
      </c>
      <c r="S66" s="22">
        <v>2</v>
      </c>
      <c r="V66" s="20">
        <f t="shared" si="2"/>
        <v>48</v>
      </c>
      <c r="W66" s="22">
        <v>2</v>
      </c>
      <c r="X66">
        <v>2</v>
      </c>
    </row>
    <row r="67" spans="1:24" x14ac:dyDescent="0.75">
      <c r="A67" s="21">
        <f t="shared" si="0"/>
        <v>49</v>
      </c>
      <c r="B67" s="23">
        <v>3</v>
      </c>
      <c r="C67" s="23">
        <v>3</v>
      </c>
      <c r="D67" s="23">
        <v>2</v>
      </c>
      <c r="E67" s="23">
        <v>2</v>
      </c>
      <c r="F67" s="23">
        <v>3</v>
      </c>
      <c r="G67" s="23">
        <v>2</v>
      </c>
      <c r="H67" s="23">
        <v>3</v>
      </c>
      <c r="I67" s="23">
        <v>3</v>
      </c>
      <c r="J67" s="23">
        <v>3</v>
      </c>
      <c r="K67" s="23">
        <v>3</v>
      </c>
      <c r="L67" s="23">
        <v>3</v>
      </c>
      <c r="M67" s="23">
        <v>3</v>
      </c>
      <c r="N67" s="22"/>
      <c r="O67" s="21">
        <f t="shared" si="1"/>
        <v>49</v>
      </c>
      <c r="P67" s="23">
        <v>2</v>
      </c>
      <c r="Q67" s="23">
        <v>3</v>
      </c>
      <c r="R67" s="23">
        <v>3</v>
      </c>
      <c r="S67" s="23">
        <v>2</v>
      </c>
      <c r="V67" s="20">
        <f t="shared" si="2"/>
        <v>49</v>
      </c>
      <c r="W67" s="22">
        <v>2</v>
      </c>
      <c r="X67">
        <v>2</v>
      </c>
    </row>
    <row r="68" spans="1:24" x14ac:dyDescent="0.75">
      <c r="A68" s="20">
        <f t="shared" si="0"/>
        <v>50</v>
      </c>
      <c r="B68" s="22">
        <v>2</v>
      </c>
      <c r="C68" s="22">
        <v>3</v>
      </c>
      <c r="D68" s="22">
        <v>2</v>
      </c>
      <c r="E68" s="22">
        <v>2</v>
      </c>
      <c r="F68" s="22">
        <v>3</v>
      </c>
      <c r="G68" s="22">
        <v>2</v>
      </c>
      <c r="H68" s="22">
        <v>2</v>
      </c>
      <c r="I68" s="22">
        <v>3</v>
      </c>
      <c r="J68" s="22">
        <v>3</v>
      </c>
      <c r="K68" s="22">
        <v>3</v>
      </c>
      <c r="L68" s="22">
        <v>2.5</v>
      </c>
      <c r="M68" s="22">
        <v>3</v>
      </c>
      <c r="N68" s="22"/>
      <c r="O68" s="20">
        <f t="shared" si="1"/>
        <v>50</v>
      </c>
      <c r="P68" s="22">
        <v>3</v>
      </c>
      <c r="Q68" s="22">
        <v>3</v>
      </c>
      <c r="R68" s="22">
        <v>3</v>
      </c>
      <c r="S68" s="22">
        <v>2</v>
      </c>
      <c r="V68" s="20">
        <f t="shared" si="2"/>
        <v>50</v>
      </c>
      <c r="W68" s="22">
        <v>2</v>
      </c>
      <c r="X68">
        <v>1</v>
      </c>
    </row>
    <row r="69" spans="1:24" x14ac:dyDescent="0.75">
      <c r="A69" s="20">
        <f t="shared" si="0"/>
        <v>51</v>
      </c>
      <c r="B69" s="22">
        <v>2</v>
      </c>
      <c r="C69" s="22">
        <v>3</v>
      </c>
      <c r="D69" s="22">
        <v>2</v>
      </c>
      <c r="E69" s="22">
        <v>2</v>
      </c>
      <c r="F69" s="22">
        <v>3</v>
      </c>
      <c r="G69" s="22">
        <v>2</v>
      </c>
      <c r="H69" s="22">
        <v>2</v>
      </c>
      <c r="I69" s="22">
        <v>3</v>
      </c>
      <c r="J69" s="22">
        <v>3</v>
      </c>
      <c r="K69" s="22">
        <v>3</v>
      </c>
      <c r="L69" s="22">
        <v>2.5</v>
      </c>
      <c r="M69" s="22">
        <v>3</v>
      </c>
      <c r="N69" s="22"/>
      <c r="O69" s="20">
        <f t="shared" si="1"/>
        <v>51</v>
      </c>
      <c r="P69" s="22">
        <v>3</v>
      </c>
      <c r="Q69" s="22">
        <v>3</v>
      </c>
      <c r="R69" s="22">
        <v>3</v>
      </c>
      <c r="S69" s="22">
        <v>2</v>
      </c>
      <c r="V69" s="20">
        <f t="shared" si="2"/>
        <v>51</v>
      </c>
      <c r="W69" s="22">
        <v>2</v>
      </c>
      <c r="X69">
        <v>1</v>
      </c>
    </row>
    <row r="70" spans="1:24" x14ac:dyDescent="0.75">
      <c r="A70" s="20">
        <f t="shared" si="0"/>
        <v>52</v>
      </c>
      <c r="B70" s="22">
        <v>2</v>
      </c>
      <c r="C70" s="22">
        <v>3</v>
      </c>
      <c r="D70" s="22">
        <v>2</v>
      </c>
      <c r="E70" s="22">
        <v>2</v>
      </c>
      <c r="F70" s="22">
        <v>3</v>
      </c>
      <c r="G70" s="22">
        <v>2</v>
      </c>
      <c r="H70" s="22">
        <v>2</v>
      </c>
      <c r="I70" s="22">
        <v>3</v>
      </c>
      <c r="J70" s="22">
        <v>3</v>
      </c>
      <c r="K70" s="22">
        <v>3</v>
      </c>
      <c r="L70" s="22">
        <v>2.5</v>
      </c>
      <c r="M70" s="22">
        <v>3</v>
      </c>
      <c r="N70" s="22"/>
      <c r="O70" s="20">
        <f t="shared" si="1"/>
        <v>52</v>
      </c>
      <c r="P70" s="22">
        <v>3</v>
      </c>
      <c r="Q70" s="22">
        <v>3</v>
      </c>
      <c r="R70" s="22">
        <v>3</v>
      </c>
      <c r="S70" s="22">
        <v>2</v>
      </c>
      <c r="V70" s="20">
        <f t="shared" si="2"/>
        <v>52</v>
      </c>
      <c r="W70" s="22">
        <v>1</v>
      </c>
      <c r="X70">
        <v>1</v>
      </c>
    </row>
    <row r="71" spans="1:24" x14ac:dyDescent="0.75">
      <c r="A71" s="21">
        <f>A70+1</f>
        <v>53</v>
      </c>
      <c r="B71" s="23">
        <v>2</v>
      </c>
      <c r="C71" s="23">
        <v>3</v>
      </c>
      <c r="D71" s="23">
        <v>2</v>
      </c>
      <c r="E71" s="23">
        <v>2</v>
      </c>
      <c r="F71" s="23">
        <v>3</v>
      </c>
      <c r="G71" s="23">
        <v>2</v>
      </c>
      <c r="H71" s="23">
        <v>2</v>
      </c>
      <c r="I71" s="23">
        <v>3</v>
      </c>
      <c r="J71" s="23">
        <v>3</v>
      </c>
      <c r="K71" s="23">
        <v>3</v>
      </c>
      <c r="L71" s="23">
        <v>2.5</v>
      </c>
      <c r="M71" s="23">
        <v>3</v>
      </c>
      <c r="N71" s="22"/>
      <c r="O71" s="21">
        <f t="shared" si="1"/>
        <v>53</v>
      </c>
      <c r="P71" s="23">
        <v>3</v>
      </c>
      <c r="Q71" s="23">
        <v>3</v>
      </c>
      <c r="R71" s="23">
        <v>3</v>
      </c>
      <c r="S71" s="23">
        <v>2</v>
      </c>
      <c r="V71" s="21">
        <f t="shared" si="2"/>
        <v>53</v>
      </c>
      <c r="W71" s="23">
        <v>1</v>
      </c>
      <c r="X71" s="11">
        <v>1</v>
      </c>
    </row>
    <row r="72" spans="1:24" x14ac:dyDescent="0.75">
      <c r="A72" s="20">
        <f t="shared" si="0"/>
        <v>54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0">
        <f t="shared" si="1"/>
        <v>54</v>
      </c>
      <c r="P72" s="22"/>
      <c r="Q72" s="22"/>
      <c r="R72" s="22"/>
      <c r="S72" s="22"/>
      <c r="V72" s="20">
        <f t="shared" si="2"/>
        <v>54</v>
      </c>
      <c r="W72" s="22"/>
    </row>
    <row r="73" spans="1:24" x14ac:dyDescent="0.75">
      <c r="A73" s="20">
        <f>A72+1</f>
        <v>55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0">
        <f t="shared" si="1"/>
        <v>55</v>
      </c>
      <c r="P73" s="22"/>
      <c r="Q73" s="22"/>
      <c r="R73" s="22"/>
      <c r="S73" s="22"/>
      <c r="V73" s="20">
        <f t="shared" si="2"/>
        <v>55</v>
      </c>
      <c r="W73" s="22"/>
    </row>
    <row r="74" spans="1:24" x14ac:dyDescent="0.75">
      <c r="A74" s="20">
        <f t="shared" si="0"/>
        <v>56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0">
        <f t="shared" si="1"/>
        <v>56</v>
      </c>
      <c r="P74" s="22"/>
      <c r="Q74" s="22"/>
      <c r="R74" s="22"/>
      <c r="S74" s="22"/>
      <c r="V74" s="20">
        <f t="shared" si="2"/>
        <v>56</v>
      </c>
      <c r="W74" s="22"/>
    </row>
    <row r="75" spans="1:24" x14ac:dyDescent="0.75">
      <c r="A75" s="20">
        <f t="shared" si="0"/>
        <v>57</v>
      </c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0">
        <f t="shared" si="1"/>
        <v>57</v>
      </c>
      <c r="P75" s="22"/>
      <c r="Q75" s="22"/>
      <c r="R75" s="22"/>
      <c r="S75" s="22"/>
      <c r="V75" s="20">
        <f t="shared" si="2"/>
        <v>57</v>
      </c>
      <c r="W75" s="22"/>
    </row>
    <row r="76" spans="1:24" x14ac:dyDescent="0.75">
      <c r="A76" s="20">
        <f t="shared" si="0"/>
        <v>58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0">
        <f t="shared" si="1"/>
        <v>58</v>
      </c>
      <c r="P76" s="22"/>
      <c r="Q76" s="22"/>
      <c r="R76" s="22"/>
      <c r="S76" s="22"/>
      <c r="V76" s="20">
        <f t="shared" si="2"/>
        <v>58</v>
      </c>
      <c r="W76" s="22"/>
    </row>
    <row r="77" spans="1:24" x14ac:dyDescent="0.75">
      <c r="A77" s="20">
        <f t="shared" si="0"/>
        <v>59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0">
        <f t="shared" si="1"/>
        <v>59</v>
      </c>
      <c r="P77" s="22"/>
      <c r="Q77" s="22"/>
      <c r="R77" s="22"/>
      <c r="S77" s="22"/>
      <c r="V77" s="20">
        <f t="shared" si="2"/>
        <v>59</v>
      </c>
      <c r="W77" s="22"/>
    </row>
    <row r="78" spans="1:24" x14ac:dyDescent="0.75">
      <c r="A78" s="20">
        <f t="shared" si="0"/>
        <v>60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1">
        <f t="shared" si="1"/>
        <v>60</v>
      </c>
      <c r="P78" s="23"/>
      <c r="Q78" s="23"/>
      <c r="R78" s="23"/>
      <c r="S78" s="23"/>
      <c r="V78" s="20">
        <f t="shared" si="2"/>
        <v>60</v>
      </c>
      <c r="W78" s="22"/>
    </row>
    <row r="79" spans="1:24" x14ac:dyDescent="0.75">
      <c r="A79" s="43"/>
    </row>
    <row r="81" spans="1:26" x14ac:dyDescent="0.75">
      <c r="A81" s="28" t="s">
        <v>81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4" t="s">
        <v>33</v>
      </c>
      <c r="P81" s="13"/>
      <c r="Q81" s="13"/>
      <c r="R81" s="13"/>
      <c r="S81" s="13"/>
      <c r="V81" s="28" t="s">
        <v>34</v>
      </c>
      <c r="W81" s="4"/>
    </row>
    <row r="82" spans="1:26" x14ac:dyDescent="0.75">
      <c r="A82" s="29" t="s">
        <v>32</v>
      </c>
      <c r="B82" s="30">
        <v>1</v>
      </c>
      <c r="C82" s="30">
        <v>2</v>
      </c>
      <c r="D82" s="30">
        <v>3</v>
      </c>
      <c r="E82" s="30">
        <v>4</v>
      </c>
      <c r="F82" s="30">
        <v>5</v>
      </c>
      <c r="G82" s="30">
        <v>6</v>
      </c>
      <c r="H82" s="30">
        <v>7</v>
      </c>
      <c r="I82" s="30">
        <v>8</v>
      </c>
      <c r="J82" s="30">
        <v>9</v>
      </c>
      <c r="K82" s="30">
        <v>10</v>
      </c>
      <c r="L82" s="30">
        <v>11</v>
      </c>
      <c r="M82" s="30">
        <v>12</v>
      </c>
      <c r="N82" s="35"/>
      <c r="O82" s="29" t="s">
        <v>0</v>
      </c>
      <c r="P82" s="32">
        <v>13</v>
      </c>
      <c r="Q82" s="29">
        <v>14</v>
      </c>
      <c r="R82" s="29">
        <v>15</v>
      </c>
      <c r="S82" s="29">
        <v>16</v>
      </c>
      <c r="V82" s="29" t="s">
        <v>0</v>
      </c>
      <c r="W82" s="32">
        <v>17</v>
      </c>
      <c r="X82" s="29">
        <v>18</v>
      </c>
    </row>
    <row r="83" spans="1:26" x14ac:dyDescent="0.75">
      <c r="A83" s="29" t="s">
        <v>13</v>
      </c>
      <c r="B83" s="30" t="s">
        <v>16</v>
      </c>
      <c r="C83" s="30" t="s">
        <v>15</v>
      </c>
      <c r="D83" s="30" t="s">
        <v>35</v>
      </c>
      <c r="E83" s="30">
        <v>3</v>
      </c>
      <c r="F83" s="30" t="s">
        <v>16</v>
      </c>
      <c r="G83" s="30" t="s">
        <v>36</v>
      </c>
      <c r="H83" s="30" t="s">
        <v>12</v>
      </c>
      <c r="I83" s="30" t="s">
        <v>12</v>
      </c>
      <c r="J83" s="30" t="s">
        <v>17</v>
      </c>
      <c r="K83" s="30" t="s">
        <v>12</v>
      </c>
      <c r="L83" s="30" t="s">
        <v>12</v>
      </c>
      <c r="M83" s="30" t="s">
        <v>12</v>
      </c>
      <c r="N83" s="35"/>
      <c r="O83" s="29" t="s">
        <v>13</v>
      </c>
      <c r="P83" s="32">
        <v>3</v>
      </c>
      <c r="Q83" s="32">
        <v>3</v>
      </c>
      <c r="R83" s="32">
        <v>3</v>
      </c>
      <c r="S83" s="32">
        <v>3</v>
      </c>
      <c r="V83" s="29" t="s">
        <v>13</v>
      </c>
      <c r="W83" s="32">
        <v>4</v>
      </c>
      <c r="X83" s="32">
        <v>4</v>
      </c>
    </row>
    <row r="84" spans="1:26" x14ac:dyDescent="0.75">
      <c r="A84" s="29" t="s">
        <v>4</v>
      </c>
      <c r="B84" s="31">
        <f>AVERAGE(B19:B71)</f>
        <v>2.7735849056603774</v>
      </c>
      <c r="C84" s="31">
        <f t="shared" ref="C84:M84" si="3">AVERAGE(C19:C78)</f>
        <v>3</v>
      </c>
      <c r="D84" s="31">
        <f t="shared" si="3"/>
        <v>2.7358490566037736</v>
      </c>
      <c r="E84" s="31">
        <f t="shared" si="3"/>
        <v>2.4339622641509435</v>
      </c>
      <c r="F84" s="31">
        <f t="shared" si="3"/>
        <v>2.9245283018867925</v>
      </c>
      <c r="G84" s="31">
        <f t="shared" si="3"/>
        <v>2.7358490566037736</v>
      </c>
      <c r="H84" s="31">
        <f t="shared" si="3"/>
        <v>2.6792452830188678</v>
      </c>
      <c r="I84" s="31">
        <f t="shared" si="3"/>
        <v>2.6792452830188678</v>
      </c>
      <c r="J84" s="31">
        <f t="shared" si="3"/>
        <v>3</v>
      </c>
      <c r="K84" s="31">
        <f t="shared" si="3"/>
        <v>3</v>
      </c>
      <c r="L84" s="31">
        <f t="shared" si="3"/>
        <v>2.3773584905660377</v>
      </c>
      <c r="M84" s="31">
        <f t="shared" si="3"/>
        <v>3</v>
      </c>
      <c r="N84" s="36"/>
      <c r="O84" s="29" t="s">
        <v>4</v>
      </c>
      <c r="P84" s="33">
        <f>AVERAGE(P19:P71)</f>
        <v>2.4150943396226414</v>
      </c>
      <c r="Q84" s="33">
        <f>AVERAGE(Q19:Q71)</f>
        <v>3</v>
      </c>
      <c r="R84" s="33">
        <f>AVERAGE(R19:R71)</f>
        <v>3</v>
      </c>
      <c r="S84" s="33">
        <f>AVERAGE(S19:S71)</f>
        <v>2.6792452830188678</v>
      </c>
      <c r="V84" s="29" t="s">
        <v>4</v>
      </c>
      <c r="W84" s="33">
        <f>AVERAGE(W19:W70)</f>
        <v>2.8846153846153846</v>
      </c>
      <c r="X84" s="33">
        <f>AVERAGE(X19:X70)</f>
        <v>2.8269230769230771</v>
      </c>
    </row>
    <row r="85" spans="1:26" x14ac:dyDescent="0.75">
      <c r="A85" s="29" t="s">
        <v>5</v>
      </c>
      <c r="B85" s="31">
        <f t="shared" ref="B85:M85" si="4">STDEV(B19:B78)</f>
        <v>0.42251579096399805</v>
      </c>
      <c r="C85" s="31">
        <f t="shared" si="4"/>
        <v>0</v>
      </c>
      <c r="D85" s="31">
        <f t="shared" si="4"/>
        <v>0.445099098569262</v>
      </c>
      <c r="E85" s="31">
        <f t="shared" si="4"/>
        <v>0.50036271314164438</v>
      </c>
      <c r="F85" s="31">
        <f t="shared" si="4"/>
        <v>0.26667876121581069</v>
      </c>
      <c r="G85" s="31">
        <f t="shared" si="4"/>
        <v>0.445099098569262</v>
      </c>
      <c r="H85" s="31">
        <f t="shared" si="4"/>
        <v>0.47123344311499671</v>
      </c>
      <c r="I85" s="31">
        <f t="shared" si="4"/>
        <v>0.47123344311499671</v>
      </c>
      <c r="J85" s="31">
        <f t="shared" si="4"/>
        <v>0</v>
      </c>
      <c r="K85" s="31">
        <f t="shared" si="4"/>
        <v>0</v>
      </c>
      <c r="L85" s="31">
        <f t="shared" si="4"/>
        <v>0.5179996693769221</v>
      </c>
      <c r="M85" s="31">
        <f t="shared" si="4"/>
        <v>0</v>
      </c>
      <c r="N85" s="36"/>
      <c r="O85" s="29" t="s">
        <v>5</v>
      </c>
      <c r="P85" s="33">
        <f>STDEV(P19:P71)</f>
        <v>0.49745360294476593</v>
      </c>
      <c r="Q85" s="33">
        <f>STDEV(Q19:Q71)</f>
        <v>0</v>
      </c>
      <c r="R85" s="33">
        <f>STDEV(R19:R71)</f>
        <v>0</v>
      </c>
      <c r="S85" s="33">
        <f>STDEV(S19:S71)</f>
        <v>0.47123344311499671</v>
      </c>
      <c r="V85" s="29" t="s">
        <v>5</v>
      </c>
      <c r="W85" s="33">
        <f>STDEV(W19:W70)</f>
        <v>0.3785341258916497</v>
      </c>
      <c r="X85" s="33">
        <f>STDEV(X19:X70)</f>
        <v>0.51339522848725805</v>
      </c>
    </row>
    <row r="86" spans="1:26" x14ac:dyDescent="0.75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26" x14ac:dyDescent="0.75">
      <c r="A87" s="16" t="s">
        <v>4</v>
      </c>
      <c r="B87" s="7">
        <f>AVERAGE(B84:M84,P84:S84,W84:X84)</f>
        <v>2.7858611514271896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V87" t="s">
        <v>82</v>
      </c>
      <c r="W87">
        <v>47</v>
      </c>
      <c r="X87">
        <v>46</v>
      </c>
      <c r="Y87">
        <v>39</v>
      </c>
      <c r="Z87" s="45">
        <f>AVERAGE(W87:Y87)</f>
        <v>44</v>
      </c>
    </row>
    <row r="88" spans="1:26" x14ac:dyDescent="0.7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4"/>
      <c r="N88" s="4"/>
      <c r="V88" t="s">
        <v>83</v>
      </c>
      <c r="W88">
        <v>4</v>
      </c>
      <c r="X88">
        <v>3</v>
      </c>
      <c r="Y88">
        <v>14</v>
      </c>
      <c r="Z88" s="45">
        <f t="shared" ref="Z88:Z89" si="5">AVERAGE(W88:Y88)</f>
        <v>7</v>
      </c>
    </row>
    <row r="89" spans="1:26" x14ac:dyDescent="0.75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V89" t="s">
        <v>84</v>
      </c>
      <c r="W89">
        <v>2</v>
      </c>
      <c r="X89">
        <v>4</v>
      </c>
      <c r="Y89">
        <v>0</v>
      </c>
      <c r="Z89" s="45">
        <f t="shared" si="5"/>
        <v>2</v>
      </c>
    </row>
    <row r="90" spans="1:26" x14ac:dyDescent="0.75">
      <c r="V90" t="s">
        <v>85</v>
      </c>
      <c r="W90">
        <f>SUM(W87:W89)</f>
        <v>53</v>
      </c>
      <c r="X90">
        <f t="shared" ref="X90:Z90" si="6">SUM(X87:X89)</f>
        <v>53</v>
      </c>
      <c r="Y90">
        <f t="shared" si="6"/>
        <v>53</v>
      </c>
      <c r="Z90">
        <f t="shared" si="6"/>
        <v>53</v>
      </c>
    </row>
    <row r="91" spans="1:26" x14ac:dyDescent="0.75">
      <c r="A91" s="8" t="s">
        <v>29</v>
      </c>
      <c r="B91" s="5"/>
      <c r="C91" s="5"/>
      <c r="D91" s="5"/>
      <c r="E91" s="5"/>
      <c r="F91" s="5"/>
      <c r="G91" s="10"/>
      <c r="H91" s="10"/>
      <c r="I91" s="10"/>
    </row>
    <row r="92" spans="1:26" x14ac:dyDescent="0.75">
      <c r="A92" s="8"/>
      <c r="B92" s="25">
        <v>1</v>
      </c>
      <c r="C92" s="25">
        <v>3</v>
      </c>
      <c r="D92" s="25">
        <v>3</v>
      </c>
      <c r="E92" s="25">
        <v>4</v>
      </c>
      <c r="F92" s="25">
        <v>5</v>
      </c>
      <c r="G92" s="18">
        <v>6</v>
      </c>
      <c r="H92" s="18">
        <v>7</v>
      </c>
      <c r="I92" s="10"/>
    </row>
    <row r="93" spans="1:26" x14ac:dyDescent="0.75">
      <c r="A93" s="8"/>
      <c r="B93" s="25"/>
      <c r="C93" s="25" t="s">
        <v>30</v>
      </c>
      <c r="D93" s="25" t="s">
        <v>31</v>
      </c>
      <c r="E93" s="25"/>
      <c r="F93" s="25"/>
      <c r="G93" s="18"/>
      <c r="H93" s="18"/>
      <c r="I93" s="10"/>
    </row>
    <row r="94" spans="1:26" x14ac:dyDescent="0.75">
      <c r="A94" s="5" t="s">
        <v>7</v>
      </c>
      <c r="B94" s="26">
        <f>AVERAGE(B84,F84,G84,H84,I84,K84,L84,M84)</f>
        <v>2.7712264150943398</v>
      </c>
      <c r="C94" s="26">
        <f>AVERAGE(B84,C84,D84,E84,F84,G84,H84,I84,J84,K84,L84)</f>
        <v>2.7581475128644941</v>
      </c>
      <c r="D94" s="26">
        <f>AVERAGE(P84:S84)</f>
        <v>2.7735849056603774</v>
      </c>
      <c r="E94" s="26">
        <f>AVERAGE(D84,W84,X84)</f>
        <v>2.8157958393807454</v>
      </c>
      <c r="F94" s="26">
        <f>AVERAGE(AA39:AC39)</f>
        <v>2.7916666666666665</v>
      </c>
      <c r="G94" s="26">
        <f>AVERAGE(C84,H84,I84,K84,L84,M84)</f>
        <v>2.7893081761006289</v>
      </c>
      <c r="H94" s="26">
        <f>AVERAGE(D84,G84,J84)</f>
        <v>2.8238993710691829</v>
      </c>
      <c r="I94" s="6"/>
    </row>
    <row r="95" spans="1:26" x14ac:dyDescent="0.75">
      <c r="A95" s="5" t="s">
        <v>8</v>
      </c>
      <c r="B95" s="26">
        <f>STDEV(B84,F84,G84,H84,I84,K84,L84,M84)</f>
        <v>0.20753185437243257</v>
      </c>
      <c r="C95" s="26">
        <f>STDEV(B84,C84,D84,E84,F84,G84,H84,I84,J84,K84,L84)</f>
        <v>0.21608810186862087</v>
      </c>
      <c r="D95" s="26">
        <f>STDEV(P84:S84)</f>
        <v>0.2828091466153097</v>
      </c>
      <c r="E95" s="26">
        <f>STDEV(D84,W84,X84)</f>
        <v>7.5004777507883896E-2</v>
      </c>
      <c r="F95" s="26">
        <f>STDEV(AA40:AC40)</f>
        <v>2.3714840892925082E-2</v>
      </c>
      <c r="G95" s="27">
        <f>STDEV(C84,H84,I84,K84,L84,M84)</f>
        <v>0.25577465013297696</v>
      </c>
      <c r="H95" s="27">
        <f>STDEV(D84,G84,J84)</f>
        <v>0.15250761827650489</v>
      </c>
      <c r="I95" s="12"/>
    </row>
    <row r="97" spans="1:18" x14ac:dyDescent="0.75">
      <c r="B97" s="24"/>
    </row>
    <row r="98" spans="1:18" x14ac:dyDescent="0.75">
      <c r="A98" t="s">
        <v>86</v>
      </c>
    </row>
    <row r="99" spans="1:18" x14ac:dyDescent="0.75">
      <c r="A99" s="17" t="s">
        <v>9</v>
      </c>
      <c r="B99" s="17">
        <v>1</v>
      </c>
      <c r="C99" s="17">
        <v>2</v>
      </c>
      <c r="D99" s="17">
        <v>3</v>
      </c>
      <c r="E99" s="17">
        <v>4</v>
      </c>
      <c r="F99" s="17">
        <v>5</v>
      </c>
      <c r="G99" s="17">
        <v>7</v>
      </c>
      <c r="H99" s="17">
        <v>8</v>
      </c>
      <c r="I99" s="17">
        <v>9</v>
      </c>
      <c r="J99" s="17">
        <v>10</v>
      </c>
      <c r="K99" s="17">
        <v>11</v>
      </c>
      <c r="L99" s="17">
        <v>12</v>
      </c>
      <c r="M99" s="17">
        <v>13</v>
      </c>
      <c r="N99" s="17">
        <v>14</v>
      </c>
      <c r="O99" s="17">
        <v>15</v>
      </c>
      <c r="P99" s="17">
        <v>16</v>
      </c>
      <c r="Q99" s="17">
        <v>6</v>
      </c>
    </row>
    <row r="100" spans="1:18" x14ac:dyDescent="0.75">
      <c r="A100" s="17" t="s">
        <v>13</v>
      </c>
      <c r="B100" s="17" t="s">
        <v>16</v>
      </c>
      <c r="C100" s="17" t="s">
        <v>15</v>
      </c>
      <c r="D100" s="17" t="s">
        <v>35</v>
      </c>
      <c r="E100" s="17">
        <v>3</v>
      </c>
      <c r="F100" s="18" t="s">
        <v>16</v>
      </c>
      <c r="G100" s="18" t="s">
        <v>12</v>
      </c>
      <c r="H100" s="18" t="s">
        <v>12</v>
      </c>
      <c r="I100" s="18" t="s">
        <v>17</v>
      </c>
      <c r="J100" s="18" t="s">
        <v>12</v>
      </c>
      <c r="K100" s="18" t="s">
        <v>12</v>
      </c>
      <c r="L100" s="18" t="s">
        <v>12</v>
      </c>
      <c r="M100" s="17">
        <v>3</v>
      </c>
      <c r="N100" s="17">
        <v>3</v>
      </c>
      <c r="O100" s="17">
        <v>3</v>
      </c>
      <c r="P100" s="17">
        <v>3</v>
      </c>
      <c r="Q100" s="18" t="s">
        <v>36</v>
      </c>
    </row>
    <row r="101" spans="1:18" x14ac:dyDescent="0.75">
      <c r="A101" s="2" t="s">
        <v>82</v>
      </c>
      <c r="B101" s="22">
        <v>41</v>
      </c>
      <c r="C101" s="22">
        <v>53</v>
      </c>
      <c r="D101" s="22">
        <v>39</v>
      </c>
      <c r="E101" s="22">
        <v>23</v>
      </c>
      <c r="F101" s="22">
        <v>49</v>
      </c>
      <c r="G101" s="22">
        <v>36</v>
      </c>
      <c r="H101" s="22">
        <v>36</v>
      </c>
      <c r="I101" s="22">
        <v>53</v>
      </c>
      <c r="J101" s="22">
        <v>53</v>
      </c>
      <c r="K101" s="22">
        <v>14</v>
      </c>
      <c r="L101" s="22">
        <v>53</v>
      </c>
      <c r="M101" s="22">
        <v>22</v>
      </c>
      <c r="N101" s="22">
        <v>53</v>
      </c>
      <c r="O101" s="22">
        <v>53</v>
      </c>
      <c r="P101" s="22">
        <v>36</v>
      </c>
      <c r="Q101" s="22">
        <v>39</v>
      </c>
      <c r="R101" s="45">
        <f>AVERAGE(B101:Q101)</f>
        <v>40.8125</v>
      </c>
    </row>
    <row r="102" spans="1:18" x14ac:dyDescent="0.75">
      <c r="A102" s="2" t="s">
        <v>83</v>
      </c>
      <c r="B102" s="22">
        <v>12</v>
      </c>
      <c r="C102" s="22">
        <v>0</v>
      </c>
      <c r="D102" s="22">
        <v>14</v>
      </c>
      <c r="E102" s="22">
        <v>30</v>
      </c>
      <c r="F102" s="22">
        <v>4</v>
      </c>
      <c r="G102" s="22">
        <v>17</v>
      </c>
      <c r="H102" s="22">
        <v>17</v>
      </c>
      <c r="I102" s="22">
        <v>0</v>
      </c>
      <c r="J102" s="22">
        <v>0</v>
      </c>
      <c r="K102" s="22">
        <v>36</v>
      </c>
      <c r="L102" s="22">
        <v>0</v>
      </c>
      <c r="M102" s="22">
        <v>31</v>
      </c>
      <c r="N102" s="22">
        <v>0</v>
      </c>
      <c r="O102" s="22">
        <v>0</v>
      </c>
      <c r="P102" s="22">
        <v>17</v>
      </c>
      <c r="Q102" s="22">
        <v>14</v>
      </c>
      <c r="R102" s="45">
        <f t="shared" ref="R102:R103" si="7">AVERAGE(B102:Q102)</f>
        <v>12</v>
      </c>
    </row>
    <row r="103" spans="1:18" x14ac:dyDescent="0.75">
      <c r="A103" s="2" t="s">
        <v>84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3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45">
        <f t="shared" si="7"/>
        <v>0.1875</v>
      </c>
    </row>
    <row r="104" spans="1:18" x14ac:dyDescent="0.75">
      <c r="A104" s="2" t="s">
        <v>85</v>
      </c>
      <c r="B104">
        <f>SUM(B101:B103)</f>
        <v>53</v>
      </c>
      <c r="C104">
        <f t="shared" ref="C104:R104" si="8">SUM(C101:C103)</f>
        <v>53</v>
      </c>
      <c r="D104">
        <f t="shared" si="8"/>
        <v>53</v>
      </c>
      <c r="E104">
        <f t="shared" si="8"/>
        <v>53</v>
      </c>
      <c r="F104">
        <f t="shared" si="8"/>
        <v>53</v>
      </c>
      <c r="G104">
        <f t="shared" si="8"/>
        <v>53</v>
      </c>
      <c r="H104">
        <f t="shared" si="8"/>
        <v>53</v>
      </c>
      <c r="I104">
        <f t="shared" si="8"/>
        <v>53</v>
      </c>
      <c r="J104">
        <f t="shared" si="8"/>
        <v>53</v>
      </c>
      <c r="K104">
        <f t="shared" si="8"/>
        <v>53</v>
      </c>
      <c r="L104">
        <f t="shared" si="8"/>
        <v>53</v>
      </c>
      <c r="M104">
        <f t="shared" si="8"/>
        <v>53</v>
      </c>
      <c r="N104">
        <f t="shared" si="8"/>
        <v>53</v>
      </c>
      <c r="O104">
        <f t="shared" si="8"/>
        <v>53</v>
      </c>
      <c r="P104">
        <f t="shared" si="8"/>
        <v>53</v>
      </c>
      <c r="Q104">
        <f t="shared" si="8"/>
        <v>53</v>
      </c>
      <c r="R104">
        <f t="shared" si="8"/>
        <v>53</v>
      </c>
    </row>
    <row r="107" spans="1:18" x14ac:dyDescent="0.75">
      <c r="A107" t="s">
        <v>88</v>
      </c>
    </row>
    <row r="108" spans="1:18" x14ac:dyDescent="0.75">
      <c r="A108" s="17" t="s">
        <v>9</v>
      </c>
      <c r="B108" s="17">
        <v>1</v>
      </c>
      <c r="C108" s="17">
        <v>2</v>
      </c>
      <c r="D108" s="17">
        <v>3</v>
      </c>
      <c r="E108" s="17">
        <v>4</v>
      </c>
      <c r="F108" s="17">
        <v>5</v>
      </c>
      <c r="G108" s="17">
        <v>7</v>
      </c>
      <c r="H108" s="17">
        <v>8</v>
      </c>
      <c r="I108" s="17">
        <v>9</v>
      </c>
      <c r="J108" s="17">
        <v>10</v>
      </c>
      <c r="K108" s="17">
        <v>11</v>
      </c>
      <c r="L108" s="17">
        <v>12</v>
      </c>
      <c r="M108" s="17">
        <v>13</v>
      </c>
      <c r="N108" s="17">
        <v>14</v>
      </c>
      <c r="O108" s="17">
        <v>15</v>
      </c>
      <c r="P108" s="17">
        <v>16</v>
      </c>
      <c r="Q108" s="17">
        <v>6</v>
      </c>
    </row>
    <row r="109" spans="1:18" x14ac:dyDescent="0.75">
      <c r="A109" s="17" t="s">
        <v>13</v>
      </c>
      <c r="B109" s="17" t="s">
        <v>16</v>
      </c>
      <c r="C109" s="17" t="s">
        <v>15</v>
      </c>
      <c r="D109" s="17" t="s">
        <v>35</v>
      </c>
      <c r="E109" s="17">
        <v>3</v>
      </c>
      <c r="F109" s="18" t="s">
        <v>16</v>
      </c>
      <c r="G109" s="18" t="s">
        <v>12</v>
      </c>
      <c r="H109" s="18" t="s">
        <v>12</v>
      </c>
      <c r="I109" s="18" t="s">
        <v>17</v>
      </c>
      <c r="J109" s="18" t="s">
        <v>12</v>
      </c>
      <c r="K109" s="18" t="s">
        <v>12</v>
      </c>
      <c r="L109" s="18" t="s">
        <v>12</v>
      </c>
      <c r="M109" s="17">
        <v>3</v>
      </c>
      <c r="N109" s="17">
        <v>3</v>
      </c>
      <c r="O109" s="17">
        <v>3</v>
      </c>
      <c r="P109" s="17">
        <v>3</v>
      </c>
      <c r="Q109" s="18" t="s">
        <v>36</v>
      </c>
    </row>
    <row r="110" spans="1:18" x14ac:dyDescent="0.75">
      <c r="A110" s="2" t="s">
        <v>82</v>
      </c>
      <c r="B110" s="22">
        <v>41</v>
      </c>
      <c r="C110" s="22">
        <v>53</v>
      </c>
      <c r="D110" s="22">
        <v>39</v>
      </c>
      <c r="E110" s="22">
        <v>23</v>
      </c>
      <c r="F110" s="22">
        <v>49</v>
      </c>
      <c r="G110" s="22">
        <v>36</v>
      </c>
      <c r="H110" s="22">
        <v>36</v>
      </c>
      <c r="I110" s="22">
        <v>53</v>
      </c>
      <c r="J110" s="22">
        <v>53</v>
      </c>
      <c r="K110" s="22">
        <v>14</v>
      </c>
      <c r="L110" s="22">
        <v>53</v>
      </c>
      <c r="M110" s="22">
        <v>22</v>
      </c>
      <c r="N110" s="22">
        <v>53</v>
      </c>
      <c r="O110" s="22">
        <v>53</v>
      </c>
      <c r="P110" s="22">
        <v>36</v>
      </c>
      <c r="Q110" s="22">
        <v>39</v>
      </c>
      <c r="R110" s="45">
        <f>AVERAGE(C110,G110,H110,J110,K110,L110)</f>
        <v>40.833333333333336</v>
      </c>
    </row>
    <row r="111" spans="1:18" x14ac:dyDescent="0.75">
      <c r="A111" s="2" t="s">
        <v>83</v>
      </c>
      <c r="B111" s="22">
        <v>12</v>
      </c>
      <c r="C111" s="22">
        <v>0</v>
      </c>
      <c r="D111" s="22">
        <v>14</v>
      </c>
      <c r="E111" s="22">
        <v>30</v>
      </c>
      <c r="F111" s="22">
        <v>4</v>
      </c>
      <c r="G111" s="22">
        <v>17</v>
      </c>
      <c r="H111" s="22">
        <v>17</v>
      </c>
      <c r="I111" s="22">
        <v>0</v>
      </c>
      <c r="J111" s="22">
        <v>0</v>
      </c>
      <c r="K111" s="22">
        <v>36</v>
      </c>
      <c r="L111" s="22">
        <v>0</v>
      </c>
      <c r="M111" s="22">
        <v>31</v>
      </c>
      <c r="N111" s="22">
        <v>0</v>
      </c>
      <c r="O111" s="22">
        <v>0</v>
      </c>
      <c r="P111" s="22">
        <v>17</v>
      </c>
      <c r="Q111" s="22">
        <v>14</v>
      </c>
      <c r="R111" s="45">
        <f>AVERAGE(C111,G111,H111,J111,K111,L111)</f>
        <v>11.666666666666666</v>
      </c>
    </row>
    <row r="112" spans="1:18" x14ac:dyDescent="0.75">
      <c r="A112" s="2" t="s">
        <v>84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3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45">
        <f>AVERAGE(C112,G112,H112,J112,K112,L112)</f>
        <v>0.5</v>
      </c>
    </row>
    <row r="113" spans="1:18" x14ac:dyDescent="0.75">
      <c r="A113" s="2" t="s">
        <v>85</v>
      </c>
      <c r="B113">
        <f>SUM(B110:B112)</f>
        <v>53</v>
      </c>
      <c r="C113">
        <f t="shared" ref="C113:R113" si="9">SUM(C110:C112)</f>
        <v>53</v>
      </c>
      <c r="D113">
        <f t="shared" si="9"/>
        <v>53</v>
      </c>
      <c r="E113">
        <f t="shared" si="9"/>
        <v>53</v>
      </c>
      <c r="F113">
        <f t="shared" si="9"/>
        <v>53</v>
      </c>
      <c r="G113">
        <f t="shared" si="9"/>
        <v>53</v>
      </c>
      <c r="H113">
        <f t="shared" si="9"/>
        <v>53</v>
      </c>
      <c r="I113">
        <f t="shared" si="9"/>
        <v>53</v>
      </c>
      <c r="J113">
        <f t="shared" si="9"/>
        <v>53</v>
      </c>
      <c r="K113">
        <f t="shared" si="9"/>
        <v>53</v>
      </c>
      <c r="L113">
        <f t="shared" si="9"/>
        <v>53</v>
      </c>
      <c r="M113">
        <f t="shared" si="9"/>
        <v>53</v>
      </c>
      <c r="N113">
        <f t="shared" si="9"/>
        <v>53</v>
      </c>
      <c r="O113">
        <f t="shared" si="9"/>
        <v>53</v>
      </c>
      <c r="P113">
        <f t="shared" si="9"/>
        <v>53</v>
      </c>
      <c r="Q113">
        <f t="shared" si="9"/>
        <v>53</v>
      </c>
      <c r="R113">
        <f t="shared" si="9"/>
        <v>53</v>
      </c>
    </row>
    <row r="116" spans="1:18" x14ac:dyDescent="0.75">
      <c r="A116" t="s">
        <v>89</v>
      </c>
    </row>
    <row r="117" spans="1:18" x14ac:dyDescent="0.75">
      <c r="A117" s="17" t="s">
        <v>9</v>
      </c>
      <c r="B117" s="17">
        <v>1</v>
      </c>
      <c r="C117" s="17">
        <v>2</v>
      </c>
      <c r="D117" s="17">
        <v>3</v>
      </c>
      <c r="E117" s="17">
        <v>4</v>
      </c>
      <c r="F117" s="17">
        <v>5</v>
      </c>
      <c r="G117" s="17">
        <v>7</v>
      </c>
      <c r="H117" s="17">
        <v>8</v>
      </c>
      <c r="I117" s="17">
        <v>9</v>
      </c>
      <c r="J117" s="17">
        <v>10</v>
      </c>
      <c r="K117" s="17">
        <v>11</v>
      </c>
      <c r="L117" s="17">
        <v>12</v>
      </c>
      <c r="M117" s="17">
        <v>13</v>
      </c>
      <c r="N117" s="17">
        <v>14</v>
      </c>
      <c r="O117" s="17">
        <v>15</v>
      </c>
      <c r="P117" s="17">
        <v>16</v>
      </c>
      <c r="Q117" s="17">
        <v>6</v>
      </c>
    </row>
    <row r="118" spans="1:18" x14ac:dyDescent="0.75">
      <c r="A118" s="17" t="s">
        <v>13</v>
      </c>
      <c r="B118" s="17" t="s">
        <v>16</v>
      </c>
      <c r="C118" s="17" t="s">
        <v>15</v>
      </c>
      <c r="D118" s="17" t="s">
        <v>35</v>
      </c>
      <c r="E118" s="17">
        <v>3</v>
      </c>
      <c r="F118" s="18" t="s">
        <v>16</v>
      </c>
      <c r="G118" s="18" t="s">
        <v>12</v>
      </c>
      <c r="H118" s="18" t="s">
        <v>12</v>
      </c>
      <c r="I118" s="18" t="s">
        <v>17</v>
      </c>
      <c r="J118" s="18" t="s">
        <v>12</v>
      </c>
      <c r="K118" s="18" t="s">
        <v>12</v>
      </c>
      <c r="L118" s="18" t="s">
        <v>12</v>
      </c>
      <c r="M118" s="17">
        <v>3</v>
      </c>
      <c r="N118" s="17">
        <v>3</v>
      </c>
      <c r="O118" s="17">
        <v>3</v>
      </c>
      <c r="P118" s="17">
        <v>3</v>
      </c>
      <c r="Q118" s="18" t="s">
        <v>36</v>
      </c>
    </row>
    <row r="119" spans="1:18" x14ac:dyDescent="0.75">
      <c r="A119" s="2" t="s">
        <v>82</v>
      </c>
      <c r="B119" s="22">
        <v>41</v>
      </c>
      <c r="C119" s="22">
        <v>53</v>
      </c>
      <c r="D119" s="22">
        <v>39</v>
      </c>
      <c r="E119" s="22">
        <v>23</v>
      </c>
      <c r="F119" s="22">
        <v>49</v>
      </c>
      <c r="G119" s="22">
        <v>36</v>
      </c>
      <c r="H119" s="22">
        <v>36</v>
      </c>
      <c r="I119" s="22">
        <v>53</v>
      </c>
      <c r="J119" s="22">
        <v>53</v>
      </c>
      <c r="K119" s="22">
        <v>14</v>
      </c>
      <c r="L119" s="22">
        <v>53</v>
      </c>
      <c r="M119" s="22">
        <v>22</v>
      </c>
      <c r="N119" s="22">
        <v>53</v>
      </c>
      <c r="O119" s="22">
        <v>53</v>
      </c>
      <c r="P119" s="22">
        <v>36</v>
      </c>
      <c r="Q119" s="22">
        <v>39</v>
      </c>
      <c r="R119" s="45">
        <f>AVERAGE(D119,I119,Q119)</f>
        <v>43.666666666666664</v>
      </c>
    </row>
    <row r="120" spans="1:18" x14ac:dyDescent="0.75">
      <c r="A120" s="2" t="s">
        <v>83</v>
      </c>
      <c r="B120" s="22">
        <v>12</v>
      </c>
      <c r="C120" s="22">
        <v>0</v>
      </c>
      <c r="D120" s="22">
        <v>14</v>
      </c>
      <c r="E120" s="22">
        <v>30</v>
      </c>
      <c r="F120" s="22">
        <v>4</v>
      </c>
      <c r="G120" s="22">
        <v>17</v>
      </c>
      <c r="H120" s="22">
        <v>17</v>
      </c>
      <c r="I120" s="22">
        <v>0</v>
      </c>
      <c r="J120" s="22">
        <v>0</v>
      </c>
      <c r="K120" s="22">
        <v>36</v>
      </c>
      <c r="L120" s="22">
        <v>0</v>
      </c>
      <c r="M120" s="22">
        <v>31</v>
      </c>
      <c r="N120" s="22">
        <v>0</v>
      </c>
      <c r="O120" s="22">
        <v>0</v>
      </c>
      <c r="P120" s="22">
        <v>17</v>
      </c>
      <c r="Q120" s="22">
        <v>14</v>
      </c>
      <c r="R120" s="45">
        <f t="shared" ref="R120:R121" si="10">AVERAGE(D120,I120,Q120)</f>
        <v>9.3333333333333339</v>
      </c>
    </row>
    <row r="121" spans="1:18" x14ac:dyDescent="0.75">
      <c r="A121" s="2" t="s">
        <v>84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3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45">
        <f t="shared" si="10"/>
        <v>0</v>
      </c>
    </row>
    <row r="122" spans="1:18" x14ac:dyDescent="0.75">
      <c r="A122" s="2" t="s">
        <v>85</v>
      </c>
      <c r="B122">
        <f>SUM(B119:B121)</f>
        <v>53</v>
      </c>
      <c r="C122">
        <f t="shared" ref="C122:R122" si="11">SUM(C119:C121)</f>
        <v>53</v>
      </c>
      <c r="D122">
        <f t="shared" si="11"/>
        <v>53</v>
      </c>
      <c r="E122">
        <f t="shared" si="11"/>
        <v>53</v>
      </c>
      <c r="F122">
        <f t="shared" si="11"/>
        <v>53</v>
      </c>
      <c r="G122">
        <f t="shared" si="11"/>
        <v>53</v>
      </c>
      <c r="H122">
        <f t="shared" si="11"/>
        <v>53</v>
      </c>
      <c r="I122">
        <f t="shared" si="11"/>
        <v>53</v>
      </c>
      <c r="J122">
        <f t="shared" si="11"/>
        <v>53</v>
      </c>
      <c r="K122">
        <f t="shared" si="11"/>
        <v>53</v>
      </c>
      <c r="L122">
        <f t="shared" si="11"/>
        <v>53</v>
      </c>
      <c r="M122">
        <f t="shared" si="11"/>
        <v>53</v>
      </c>
      <c r="N122">
        <f t="shared" si="11"/>
        <v>53</v>
      </c>
      <c r="O122">
        <f t="shared" si="11"/>
        <v>53</v>
      </c>
      <c r="P122">
        <f t="shared" si="11"/>
        <v>53</v>
      </c>
      <c r="Q122">
        <f t="shared" si="11"/>
        <v>53</v>
      </c>
      <c r="R122">
        <f t="shared" si="11"/>
        <v>53</v>
      </c>
    </row>
    <row r="151" spans="8:14" x14ac:dyDescent="0.75">
      <c r="H151" s="2"/>
      <c r="I151" s="2"/>
      <c r="J151" s="2"/>
      <c r="K151" s="2"/>
      <c r="L151" s="2"/>
      <c r="M151" s="2"/>
      <c r="N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G19:G71">
    <sortCondition descending="1" ref="G19:G71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2026-05-23T22:35:37Z</dcterms:modified>
</cp:coreProperties>
</file>