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5067CC06-64E7-4304-AD69-8407DC18932E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1" l="1"/>
  <c r="J74" i="1"/>
  <c r="J76" i="1" s="1"/>
  <c r="J73" i="1"/>
  <c r="J77" i="1"/>
  <c r="I76" i="1"/>
  <c r="I75" i="1"/>
  <c r="I74" i="1"/>
  <c r="I73" i="1"/>
  <c r="G76" i="1"/>
  <c r="F76" i="1"/>
  <c r="E76" i="1"/>
  <c r="D76" i="1"/>
  <c r="C76" i="1"/>
  <c r="B76" i="1"/>
  <c r="G67" i="1"/>
  <c r="C67" i="1"/>
  <c r="D67" i="1"/>
  <c r="E67" i="1"/>
  <c r="F67" i="1"/>
  <c r="B71" i="1" s="1"/>
  <c r="B67" i="1"/>
  <c r="C66" i="1"/>
  <c r="D66" i="1"/>
  <c r="E66" i="1"/>
  <c r="F66" i="1"/>
  <c r="G66" i="1"/>
  <c r="B70" i="1" s="1"/>
  <c r="B66" i="1"/>
</calcChain>
</file>

<file path=xl/sharedStrings.xml><?xml version="1.0" encoding="utf-8"?>
<sst xmlns="http://schemas.openxmlformats.org/spreadsheetml/2006/main" count="78" uniqueCount="74">
  <si>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</si>
  <si>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</si>
  <si>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</si>
  <si>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</si>
  <si>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</si>
  <si>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</si>
  <si>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</si>
  <si>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</si>
  <si>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RATINGS</t>
  </si>
  <si>
    <t>Mapped SLO</t>
  </si>
  <si>
    <t>Rubric item (PI)</t>
  </si>
  <si>
    <t>Assessment rubric for Final project report</t>
  </si>
  <si>
    <t>Written communication rubric</t>
  </si>
  <si>
    <t>Performance Indicator (PI)</t>
  </si>
  <si>
    <t>1. Articulation of ideas</t>
  </si>
  <si>
    <t xml:space="preserve">2. The organization of the written materials </t>
  </si>
  <si>
    <t>4. The presentation of the written work</t>
  </si>
  <si>
    <t>5. Grammar and spelling</t>
  </si>
  <si>
    <t>6. Writing style</t>
  </si>
  <si>
    <t>7. Prescribed format</t>
  </si>
  <si>
    <t>Performance Indicator</t>
  </si>
  <si>
    <t>RESULTS FOR STUDENT OUTCOME 3: ALL ASSESSMENTS</t>
  </si>
  <si>
    <t>RESULTS BY PERFORMANCE INDICATOR:Final Lab Report</t>
  </si>
  <si>
    <t>Prepared by Ezinne Achinivu-Ibagere</t>
  </si>
  <si>
    <t>CHE 330 Polymer Science</t>
  </si>
  <si>
    <t>Annotated Bilbliography: perfrorm a lit review around your topic of interest and read /summarize 5 papers in poreparation for the final thesis paper</t>
  </si>
  <si>
    <t>ABET outcome 3</t>
  </si>
  <si>
    <t>An ability to communicate effectively with a range of audiences</t>
  </si>
  <si>
    <t>Student 1-1</t>
  </si>
  <si>
    <t>Student 1-2</t>
  </si>
  <si>
    <t>Student 1-3</t>
  </si>
  <si>
    <t>Student 1-4</t>
  </si>
  <si>
    <t>Student 2-1</t>
  </si>
  <si>
    <t>Student 5-1</t>
  </si>
  <si>
    <t>Student 5-2</t>
  </si>
  <si>
    <t>Student 5-3</t>
  </si>
  <si>
    <t>Student 5-4</t>
  </si>
  <si>
    <t>Student 9-1</t>
  </si>
  <si>
    <t>Student 9-2</t>
  </si>
  <si>
    <t>Student 9-3</t>
  </si>
  <si>
    <t>Student 9-4</t>
  </si>
  <si>
    <t>Student 9-5</t>
  </si>
  <si>
    <t>Student 2-2</t>
  </si>
  <si>
    <t>Student 2-3</t>
  </si>
  <si>
    <t>Student 2-4</t>
  </si>
  <si>
    <t>Student 3-1</t>
  </si>
  <si>
    <t>Student 3-2</t>
  </si>
  <si>
    <t>Student 3-3</t>
  </si>
  <si>
    <t>Student 3-4</t>
  </si>
  <si>
    <t>Student 6-1</t>
  </si>
  <si>
    <t>Student 7-1</t>
  </si>
  <si>
    <t>Student 6-2</t>
  </si>
  <si>
    <t>Student 6-3</t>
  </si>
  <si>
    <t>Student 6-4</t>
  </si>
  <si>
    <t>Student 7-2</t>
  </si>
  <si>
    <t>Student 7-3</t>
  </si>
  <si>
    <t>Student 7-4</t>
  </si>
  <si>
    <t>Student 10-1</t>
  </si>
  <si>
    <t>Student 10-2</t>
  </si>
  <si>
    <t>Student 10-3</t>
  </si>
  <si>
    <t>Student 10-4</t>
  </si>
  <si>
    <t>Student 4-1</t>
  </si>
  <si>
    <t>Student 4-2</t>
  </si>
  <si>
    <t>Student 4-3</t>
  </si>
  <si>
    <t>Student 4-4</t>
  </si>
  <si>
    <t>Student 8-1</t>
  </si>
  <si>
    <t>Student 8-2</t>
  </si>
  <si>
    <t>Student 8-3</t>
  </si>
  <si>
    <t>Student 8-4</t>
  </si>
  <si>
    <t>S</t>
  </si>
  <si>
    <t>D</t>
  </si>
  <si>
    <t>U</t>
  </si>
  <si>
    <t>Total</t>
  </si>
  <si>
    <t>S+D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</si>
</sst>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topLeftCell="A57" zoomScale="120" zoomScaleNormal="120" workbookViewId="0">
      <selection activeCell="J73" sqref="J73:K77"/>
    </sheetView>
  </sheetViews>
  <sheetFormatPr defaultColWidth="8.76953125" defaultRowHeight="14.75" x14ac:dyDescent="0.75"/>
  <cols>
    <col min="1" max="1" width="20.1328125" customWidth="1"/>
    <col min="2" max="3" width="11.31640625" customWidth="1"/>
    <col min="7" max="7" width="9.453125" bestFit="1" customWidth="1"/>
    <col min="8" max="8" width="9.1328125" customWidth="1"/>
  </cols>
  <sheetData>
    <row r="1" spans="1:5" x14ac:dyDescent="0.75">
      <c r="A1" s="1" t="s">
        <v>24</v>
      </c>
    </row>
    <row r="2" spans="1:5" x14ac:dyDescent="0.75">
      <c r="A2" t="s">
        <v>11</v>
      </c>
    </row>
    <row r="3" spans="1:5" x14ac:dyDescent="0.75">
      <c r="A3" t="s">
        <v>23</v>
      </c>
    </row>
    <row r="5" spans="1:5" x14ac:dyDescent="0.75">
      <c r="A5" s="1" t="s">
        <v>25</v>
      </c>
    </row>
    <row r="6" spans="1:5" x14ac:dyDescent="0.75">
      <c r="A6" s="1" t="s">
        <v>26</v>
      </c>
    </row>
    <row r="7" spans="1:5" x14ac:dyDescent="0.75">
      <c r="A7" t="s">
        <v>27</v>
      </c>
    </row>
    <row r="9" spans="1:5" x14ac:dyDescent="0.75">
      <c r="E9" s="1" t="s">
        <v>13</v>
      </c>
    </row>
    <row r="10" spans="1:5" x14ac:dyDescent="0.75">
      <c r="E10" t="s">
        <v>14</v>
      </c>
    </row>
    <row r="11" spans="1:5" x14ac:dyDescent="0.75">
      <c r="E11" t="s">
        <v>15</v>
      </c>
    </row>
    <row r="12" spans="1:5" x14ac:dyDescent="0.75">
      <c r="A12" s="3" t="s">
        <v>8</v>
      </c>
      <c r="B12" s="3"/>
      <c r="C12" s="3"/>
      <c r="E12" t="s">
        <v>16</v>
      </c>
    </row>
    <row r="13" spans="1:5" x14ac:dyDescent="0.75">
      <c r="A13" s="3">
        <v>1</v>
      </c>
      <c r="B13" s="3" t="s">
        <v>0</v>
      </c>
      <c r="C13" s="3"/>
      <c r="E13" t="s">
        <v>17</v>
      </c>
    </row>
    <row r="14" spans="1:5" x14ac:dyDescent="0.75">
      <c r="A14" s="3">
        <v>2</v>
      </c>
      <c r="B14" s="3" t="s">
        <v>1</v>
      </c>
      <c r="C14" s="3"/>
      <c r="E14" t="s">
        <v>18</v>
      </c>
    </row>
    <row r="15" spans="1:5" x14ac:dyDescent="0.75">
      <c r="A15" s="3">
        <v>3</v>
      </c>
      <c r="B15" s="3" t="s">
        <v>2</v>
      </c>
      <c r="C15" s="3"/>
      <c r="E15" t="s">
        <v>19</v>
      </c>
    </row>
    <row r="16" spans="1:5" x14ac:dyDescent="0.75">
      <c r="A16" s="3"/>
      <c r="B16" s="3"/>
      <c r="C16" s="3"/>
    </row>
    <row r="17" spans="1:8" x14ac:dyDescent="0.75">
      <c r="A17" t="s">
        <v>12</v>
      </c>
    </row>
    <row r="18" spans="1:8" x14ac:dyDescent="0.75">
      <c r="A18" s="12" t="s">
        <v>20</v>
      </c>
      <c r="B18" s="12">
        <v>1</v>
      </c>
      <c r="C18" s="12">
        <v>2</v>
      </c>
      <c r="D18" s="12">
        <v>4</v>
      </c>
      <c r="E18" s="12">
        <v>5</v>
      </c>
      <c r="F18" s="12">
        <v>6</v>
      </c>
      <c r="G18" s="12">
        <v>7</v>
      </c>
    </row>
    <row r="19" spans="1:8" x14ac:dyDescent="0.75">
      <c r="A19" s="12" t="s">
        <v>9</v>
      </c>
      <c r="B19" s="12">
        <v>3</v>
      </c>
      <c r="C19" s="12">
        <v>3</v>
      </c>
      <c r="D19" s="12">
        <v>3</v>
      </c>
      <c r="E19" s="13">
        <v>3</v>
      </c>
      <c r="F19" s="13">
        <v>3</v>
      </c>
      <c r="G19" s="13">
        <v>3</v>
      </c>
    </row>
    <row r="20" spans="1:8" x14ac:dyDescent="0.75">
      <c r="B20" s="2"/>
    </row>
    <row r="21" spans="1:8" x14ac:dyDescent="0.75">
      <c r="A21" t="s">
        <v>5</v>
      </c>
      <c r="B21" s="2"/>
    </row>
    <row r="22" spans="1:8" x14ac:dyDescent="0.75">
      <c r="A22" s="14" t="s">
        <v>28</v>
      </c>
      <c r="B22" s="15">
        <v>3</v>
      </c>
      <c r="C22" s="15">
        <v>3</v>
      </c>
      <c r="D22" s="15">
        <v>3</v>
      </c>
      <c r="E22" s="15">
        <v>3</v>
      </c>
      <c r="F22" s="15">
        <v>3</v>
      </c>
      <c r="G22" s="15">
        <v>3</v>
      </c>
    </row>
    <row r="23" spans="1:8" x14ac:dyDescent="0.75">
      <c r="A23" s="14" t="s">
        <v>29</v>
      </c>
      <c r="B23" s="15">
        <v>3</v>
      </c>
      <c r="C23" s="15">
        <v>3</v>
      </c>
      <c r="D23" s="15">
        <v>3</v>
      </c>
      <c r="E23" s="15">
        <v>3</v>
      </c>
      <c r="F23" s="15">
        <v>3</v>
      </c>
      <c r="G23" s="15">
        <v>3</v>
      </c>
    </row>
    <row r="24" spans="1:8" x14ac:dyDescent="0.75">
      <c r="A24" s="14" t="s">
        <v>30</v>
      </c>
      <c r="B24" s="15">
        <v>3</v>
      </c>
      <c r="C24" s="15">
        <v>3</v>
      </c>
      <c r="D24" s="15">
        <v>3</v>
      </c>
      <c r="E24" s="15">
        <v>3</v>
      </c>
      <c r="F24" s="15">
        <v>3</v>
      </c>
      <c r="G24" s="15">
        <v>3</v>
      </c>
      <c r="H24" s="15"/>
    </row>
    <row r="25" spans="1:8" x14ac:dyDescent="0.75">
      <c r="A25" s="14" t="s">
        <v>31</v>
      </c>
      <c r="B25" s="15">
        <v>3</v>
      </c>
      <c r="C25" s="15">
        <v>3</v>
      </c>
      <c r="D25" s="15">
        <v>3</v>
      </c>
      <c r="E25" s="15">
        <v>3</v>
      </c>
      <c r="F25" s="15">
        <v>3</v>
      </c>
      <c r="G25" s="15">
        <v>3</v>
      </c>
      <c r="H25" s="15"/>
    </row>
    <row r="26" spans="1:8" x14ac:dyDescent="0.75">
      <c r="A26" s="14" t="s">
        <v>32</v>
      </c>
      <c r="B26" s="15">
        <v>3</v>
      </c>
      <c r="C26" s="15">
        <v>3</v>
      </c>
      <c r="D26" s="15">
        <v>3</v>
      </c>
      <c r="E26" s="15">
        <v>3</v>
      </c>
      <c r="F26" s="15">
        <v>3</v>
      </c>
      <c r="G26" s="15">
        <v>3</v>
      </c>
      <c r="H26" s="15"/>
    </row>
    <row r="27" spans="1:8" x14ac:dyDescent="0.75">
      <c r="A27" s="14" t="s">
        <v>42</v>
      </c>
      <c r="B27" s="15">
        <v>3</v>
      </c>
      <c r="C27" s="15">
        <v>3</v>
      </c>
      <c r="D27" s="15">
        <v>3</v>
      </c>
      <c r="E27" s="15">
        <v>3</v>
      </c>
      <c r="F27" s="15">
        <v>3</v>
      </c>
      <c r="G27" s="15">
        <v>3</v>
      </c>
      <c r="H27" s="15"/>
    </row>
    <row r="28" spans="1:8" x14ac:dyDescent="0.75">
      <c r="A28" s="14" t="s">
        <v>43</v>
      </c>
      <c r="B28" s="15">
        <v>3</v>
      </c>
      <c r="C28" s="15">
        <v>3</v>
      </c>
      <c r="D28" s="15">
        <v>3</v>
      </c>
      <c r="E28" s="15">
        <v>3</v>
      </c>
      <c r="F28" s="15">
        <v>3</v>
      </c>
      <c r="G28" s="15">
        <v>3</v>
      </c>
      <c r="H28" s="15"/>
    </row>
    <row r="29" spans="1:8" x14ac:dyDescent="0.75">
      <c r="A29" s="14" t="s">
        <v>44</v>
      </c>
      <c r="B29" s="15">
        <v>3</v>
      </c>
      <c r="C29" s="15">
        <v>3</v>
      </c>
      <c r="D29" s="15">
        <v>3</v>
      </c>
      <c r="E29" s="15">
        <v>3</v>
      </c>
      <c r="F29" s="15">
        <v>3</v>
      </c>
      <c r="G29" s="15">
        <v>3</v>
      </c>
      <c r="H29" s="15"/>
    </row>
    <row r="30" spans="1:8" x14ac:dyDescent="0.75">
      <c r="A30" s="14" t="s">
        <v>45</v>
      </c>
      <c r="B30" s="15">
        <v>3</v>
      </c>
      <c r="C30" s="15">
        <v>3</v>
      </c>
      <c r="D30" s="15">
        <v>3</v>
      </c>
      <c r="E30" s="15">
        <v>3</v>
      </c>
      <c r="F30" s="15">
        <v>3</v>
      </c>
      <c r="G30" s="15">
        <v>3</v>
      </c>
      <c r="H30" s="15"/>
    </row>
    <row r="31" spans="1:8" x14ac:dyDescent="0.75">
      <c r="A31" s="14" t="s">
        <v>46</v>
      </c>
      <c r="B31" s="15">
        <v>3</v>
      </c>
      <c r="C31" s="15">
        <v>3</v>
      </c>
      <c r="D31" s="15">
        <v>3</v>
      </c>
      <c r="E31" s="15">
        <v>3</v>
      </c>
      <c r="F31" s="15">
        <v>3</v>
      </c>
      <c r="G31" s="15">
        <v>3</v>
      </c>
      <c r="H31" s="15"/>
    </row>
    <row r="32" spans="1:8" x14ac:dyDescent="0.75">
      <c r="A32" s="14" t="s">
        <v>47</v>
      </c>
      <c r="B32" s="15">
        <v>3</v>
      </c>
      <c r="C32" s="15">
        <v>3</v>
      </c>
      <c r="D32" s="15">
        <v>3</v>
      </c>
      <c r="E32" s="15">
        <v>3</v>
      </c>
      <c r="F32" s="15">
        <v>3</v>
      </c>
      <c r="G32" s="15">
        <v>3</v>
      </c>
      <c r="H32" s="15"/>
    </row>
    <row r="33" spans="1:8" x14ac:dyDescent="0.75">
      <c r="A33" s="14" t="s">
        <v>48</v>
      </c>
      <c r="B33" s="15">
        <v>3</v>
      </c>
      <c r="C33" s="15">
        <v>3</v>
      </c>
      <c r="D33" s="15">
        <v>3</v>
      </c>
      <c r="E33" s="15">
        <v>3</v>
      </c>
      <c r="F33" s="15">
        <v>3</v>
      </c>
      <c r="G33" s="15">
        <v>3</v>
      </c>
      <c r="H33" s="15"/>
    </row>
    <row r="34" spans="1:8" x14ac:dyDescent="0.75">
      <c r="A34" s="14" t="s">
        <v>61</v>
      </c>
      <c r="B34" s="15">
        <v>3</v>
      </c>
      <c r="C34" s="15">
        <v>3</v>
      </c>
      <c r="D34" s="15">
        <v>3</v>
      </c>
      <c r="E34" s="15">
        <v>3</v>
      </c>
      <c r="F34" s="15">
        <v>3</v>
      </c>
      <c r="G34" s="15">
        <v>3</v>
      </c>
      <c r="H34" s="15"/>
    </row>
    <row r="35" spans="1:8" x14ac:dyDescent="0.75">
      <c r="A35" s="14" t="s">
        <v>62</v>
      </c>
      <c r="B35" s="15">
        <v>3</v>
      </c>
      <c r="C35" s="15">
        <v>3</v>
      </c>
      <c r="D35" s="15">
        <v>3</v>
      </c>
      <c r="E35" s="15">
        <v>3</v>
      </c>
      <c r="F35" s="15">
        <v>3</v>
      </c>
      <c r="G35" s="15">
        <v>3</v>
      </c>
      <c r="H35" s="15"/>
    </row>
    <row r="36" spans="1:8" x14ac:dyDescent="0.75">
      <c r="A36" s="14" t="s">
        <v>63</v>
      </c>
      <c r="B36" s="15">
        <v>3</v>
      </c>
      <c r="C36" s="15">
        <v>3</v>
      </c>
      <c r="D36" s="15">
        <v>3</v>
      </c>
      <c r="E36" s="15">
        <v>3</v>
      </c>
      <c r="F36" s="15">
        <v>3</v>
      </c>
      <c r="G36" s="15">
        <v>3</v>
      </c>
      <c r="H36" s="15"/>
    </row>
    <row r="37" spans="1:8" x14ac:dyDescent="0.75">
      <c r="A37" s="14" t="s">
        <v>64</v>
      </c>
      <c r="B37" s="15">
        <v>3</v>
      </c>
      <c r="C37" s="15">
        <v>3</v>
      </c>
      <c r="D37" s="15">
        <v>3</v>
      </c>
      <c r="E37" s="15">
        <v>3</v>
      </c>
      <c r="F37" s="15">
        <v>3</v>
      </c>
      <c r="G37" s="15">
        <v>3</v>
      </c>
      <c r="H37" s="15"/>
    </row>
    <row r="38" spans="1:8" x14ac:dyDescent="0.75">
      <c r="A38" s="14" t="s">
        <v>33</v>
      </c>
      <c r="B38" s="15">
        <v>3</v>
      </c>
      <c r="C38" s="15">
        <v>3</v>
      </c>
      <c r="D38" s="15">
        <v>3</v>
      </c>
      <c r="E38" s="15">
        <v>3</v>
      </c>
      <c r="F38" s="15">
        <v>2.5</v>
      </c>
      <c r="G38" s="15">
        <v>2.5</v>
      </c>
      <c r="H38" s="15"/>
    </row>
    <row r="39" spans="1:8" x14ac:dyDescent="0.75">
      <c r="A39" s="14" t="s">
        <v>34</v>
      </c>
      <c r="B39" s="15">
        <v>3</v>
      </c>
      <c r="C39" s="15">
        <v>3</v>
      </c>
      <c r="D39" s="15">
        <v>3</v>
      </c>
      <c r="E39" s="15">
        <v>3</v>
      </c>
      <c r="F39" s="15">
        <v>2.5</v>
      </c>
      <c r="G39" s="15">
        <v>2.5</v>
      </c>
      <c r="H39" s="15"/>
    </row>
    <row r="40" spans="1:8" x14ac:dyDescent="0.75">
      <c r="A40" s="14" t="s">
        <v>35</v>
      </c>
      <c r="B40" s="15">
        <v>3</v>
      </c>
      <c r="C40" s="15">
        <v>3</v>
      </c>
      <c r="D40" s="15">
        <v>3</v>
      </c>
      <c r="E40" s="15">
        <v>3</v>
      </c>
      <c r="F40" s="15">
        <v>2.5</v>
      </c>
      <c r="G40" s="15">
        <v>2.5</v>
      </c>
      <c r="H40" s="15"/>
    </row>
    <row r="41" spans="1:8" x14ac:dyDescent="0.75">
      <c r="A41" s="14" t="s">
        <v>36</v>
      </c>
      <c r="B41" s="15">
        <v>3</v>
      </c>
      <c r="C41" s="15">
        <v>3</v>
      </c>
      <c r="D41" s="15">
        <v>3</v>
      </c>
      <c r="E41" s="15">
        <v>3</v>
      </c>
      <c r="F41" s="15">
        <v>2.5</v>
      </c>
      <c r="G41" s="15">
        <v>2.5</v>
      </c>
      <c r="H41" s="15"/>
    </row>
    <row r="42" spans="1:8" x14ac:dyDescent="0.75">
      <c r="A42" s="14" t="s">
        <v>49</v>
      </c>
      <c r="B42" s="15">
        <v>3</v>
      </c>
      <c r="C42" s="15">
        <v>3</v>
      </c>
      <c r="D42" s="15">
        <v>3</v>
      </c>
      <c r="E42" s="15">
        <v>3</v>
      </c>
      <c r="F42" s="15">
        <v>2</v>
      </c>
      <c r="G42" s="15">
        <v>2</v>
      </c>
      <c r="H42" s="15"/>
    </row>
    <row r="43" spans="1:8" x14ac:dyDescent="0.75">
      <c r="A43" s="14" t="s">
        <v>51</v>
      </c>
      <c r="B43" s="15">
        <v>3</v>
      </c>
      <c r="C43" s="15">
        <v>3</v>
      </c>
      <c r="D43" s="15">
        <v>3</v>
      </c>
      <c r="E43" s="15">
        <v>3</v>
      </c>
      <c r="F43" s="15">
        <v>2</v>
      </c>
      <c r="G43" s="15">
        <v>2</v>
      </c>
      <c r="H43" s="15"/>
    </row>
    <row r="44" spans="1:8" x14ac:dyDescent="0.75">
      <c r="A44" s="14" t="s">
        <v>52</v>
      </c>
      <c r="B44" s="15">
        <v>3</v>
      </c>
      <c r="C44" s="15">
        <v>3</v>
      </c>
      <c r="D44" s="15">
        <v>3</v>
      </c>
      <c r="E44" s="15">
        <v>3</v>
      </c>
      <c r="F44" s="15">
        <v>2</v>
      </c>
      <c r="G44" s="15">
        <v>2</v>
      </c>
      <c r="H44" s="15"/>
    </row>
    <row r="45" spans="1:8" x14ac:dyDescent="0.75">
      <c r="A45" s="14" t="s">
        <v>53</v>
      </c>
      <c r="B45" s="15">
        <v>3</v>
      </c>
      <c r="C45" s="15">
        <v>3</v>
      </c>
      <c r="D45" s="15">
        <v>3</v>
      </c>
      <c r="E45" s="15">
        <v>3</v>
      </c>
      <c r="F45" s="15">
        <v>2</v>
      </c>
      <c r="G45" s="15">
        <v>2</v>
      </c>
      <c r="H45" s="15"/>
    </row>
    <row r="46" spans="1:8" x14ac:dyDescent="0.75">
      <c r="A46" s="14" t="s">
        <v>50</v>
      </c>
      <c r="B46" s="15">
        <v>3</v>
      </c>
      <c r="C46" s="15">
        <v>3</v>
      </c>
      <c r="D46" s="15">
        <v>3</v>
      </c>
      <c r="E46" s="15">
        <v>3</v>
      </c>
      <c r="F46" s="15">
        <v>2</v>
      </c>
      <c r="G46" s="15">
        <v>2</v>
      </c>
      <c r="H46" s="15"/>
    </row>
    <row r="47" spans="1:8" x14ac:dyDescent="0.75">
      <c r="A47" s="14" t="s">
        <v>54</v>
      </c>
      <c r="B47" s="15">
        <v>3</v>
      </c>
      <c r="C47" s="15">
        <v>3</v>
      </c>
      <c r="D47" s="15">
        <v>3</v>
      </c>
      <c r="E47" s="15">
        <v>3</v>
      </c>
      <c r="F47" s="15">
        <v>2</v>
      </c>
      <c r="G47" s="15">
        <v>2</v>
      </c>
      <c r="H47" s="15"/>
    </row>
    <row r="48" spans="1:8" x14ac:dyDescent="0.75">
      <c r="A48" s="14" t="s">
        <v>55</v>
      </c>
      <c r="B48" s="15">
        <v>3</v>
      </c>
      <c r="C48" s="15">
        <v>3</v>
      </c>
      <c r="D48" s="15">
        <v>3</v>
      </c>
      <c r="E48" s="15">
        <v>3</v>
      </c>
      <c r="F48" s="15">
        <v>2</v>
      </c>
      <c r="G48" s="15">
        <v>2</v>
      </c>
      <c r="H48" s="15"/>
    </row>
    <row r="49" spans="1:8" x14ac:dyDescent="0.75">
      <c r="A49" s="14" t="s">
        <v>56</v>
      </c>
      <c r="B49" s="15">
        <v>3</v>
      </c>
      <c r="C49" s="15">
        <v>3</v>
      </c>
      <c r="D49" s="15">
        <v>3</v>
      </c>
      <c r="E49" s="15">
        <v>3</v>
      </c>
      <c r="F49" s="15">
        <v>2</v>
      </c>
      <c r="G49" s="15">
        <v>2</v>
      </c>
      <c r="H49" s="15"/>
    </row>
    <row r="50" spans="1:8" x14ac:dyDescent="0.75">
      <c r="A50" s="14" t="s">
        <v>65</v>
      </c>
      <c r="B50" s="15">
        <v>3</v>
      </c>
      <c r="C50" s="15">
        <v>3</v>
      </c>
      <c r="D50" s="15">
        <v>3</v>
      </c>
      <c r="E50" s="15">
        <v>3</v>
      </c>
      <c r="F50" s="15">
        <v>2</v>
      </c>
      <c r="G50" s="15">
        <v>1</v>
      </c>
      <c r="H50" s="15"/>
    </row>
    <row r="51" spans="1:8" x14ac:dyDescent="0.75">
      <c r="A51" s="14" t="s">
        <v>66</v>
      </c>
      <c r="B51" s="15">
        <v>3</v>
      </c>
      <c r="C51" s="15">
        <v>3</v>
      </c>
      <c r="D51" s="15">
        <v>3</v>
      </c>
      <c r="E51" s="15">
        <v>3</v>
      </c>
      <c r="F51" s="15">
        <v>2</v>
      </c>
      <c r="G51" s="15">
        <v>1</v>
      </c>
      <c r="H51" s="15"/>
    </row>
    <row r="52" spans="1:8" x14ac:dyDescent="0.75">
      <c r="A52" s="14" t="s">
        <v>67</v>
      </c>
      <c r="B52" s="15">
        <v>3</v>
      </c>
      <c r="C52" s="15">
        <v>3</v>
      </c>
      <c r="D52" s="15">
        <v>3</v>
      </c>
      <c r="E52" s="15">
        <v>3</v>
      </c>
      <c r="F52" s="15">
        <v>2</v>
      </c>
      <c r="G52" s="15">
        <v>1</v>
      </c>
      <c r="H52" s="15"/>
    </row>
    <row r="53" spans="1:8" x14ac:dyDescent="0.75">
      <c r="A53" s="14" t="s">
        <v>68</v>
      </c>
      <c r="B53" s="15">
        <v>3</v>
      </c>
      <c r="C53" s="15">
        <v>3</v>
      </c>
      <c r="D53" s="15">
        <v>3</v>
      </c>
      <c r="E53" s="15">
        <v>3</v>
      </c>
      <c r="F53" s="15">
        <v>2</v>
      </c>
      <c r="G53" s="15">
        <v>1</v>
      </c>
      <c r="H53" s="15"/>
    </row>
    <row r="54" spans="1:8" x14ac:dyDescent="0.75">
      <c r="A54" s="14" t="s">
        <v>37</v>
      </c>
      <c r="B54" s="15">
        <v>3</v>
      </c>
      <c r="C54" s="15">
        <v>3</v>
      </c>
      <c r="D54" s="15">
        <v>3</v>
      </c>
      <c r="E54" s="15">
        <v>3</v>
      </c>
      <c r="F54" s="15">
        <v>2</v>
      </c>
      <c r="G54" s="15">
        <v>1</v>
      </c>
      <c r="H54" s="15"/>
    </row>
    <row r="55" spans="1:8" x14ac:dyDescent="0.75">
      <c r="A55" s="14" t="s">
        <v>38</v>
      </c>
      <c r="B55" s="15">
        <v>3</v>
      </c>
      <c r="C55" s="15">
        <v>3</v>
      </c>
      <c r="D55" s="15">
        <v>3</v>
      </c>
      <c r="E55" s="15">
        <v>3</v>
      </c>
      <c r="F55" s="15">
        <v>2</v>
      </c>
      <c r="G55" s="15">
        <v>1</v>
      </c>
      <c r="H55" s="15"/>
    </row>
    <row r="56" spans="1:8" x14ac:dyDescent="0.75">
      <c r="A56" s="14" t="s">
        <v>39</v>
      </c>
      <c r="B56" s="15">
        <v>3</v>
      </c>
      <c r="C56" s="15">
        <v>3</v>
      </c>
      <c r="D56" s="15">
        <v>3</v>
      </c>
      <c r="E56" s="15">
        <v>3</v>
      </c>
      <c r="F56" s="15">
        <v>2</v>
      </c>
      <c r="G56" s="15">
        <v>1</v>
      </c>
      <c r="H56" s="15"/>
    </row>
    <row r="57" spans="1:8" x14ac:dyDescent="0.75">
      <c r="A57" s="14" t="s">
        <v>40</v>
      </c>
      <c r="B57" s="15">
        <v>3</v>
      </c>
      <c r="C57" s="15">
        <v>3</v>
      </c>
      <c r="D57" s="15">
        <v>3</v>
      </c>
      <c r="E57" s="15">
        <v>3</v>
      </c>
      <c r="F57" s="15">
        <v>2</v>
      </c>
      <c r="G57" s="15">
        <v>1</v>
      </c>
      <c r="H57" s="15"/>
    </row>
    <row r="58" spans="1:8" x14ac:dyDescent="0.75">
      <c r="A58" s="14" t="s">
        <v>41</v>
      </c>
      <c r="B58" s="15">
        <v>3</v>
      </c>
      <c r="C58" s="15">
        <v>3</v>
      </c>
      <c r="D58" s="15">
        <v>3</v>
      </c>
      <c r="E58" s="15">
        <v>3</v>
      </c>
      <c r="F58" s="15">
        <v>2</v>
      </c>
      <c r="G58" s="15">
        <v>1</v>
      </c>
    </row>
    <row r="59" spans="1:8" x14ac:dyDescent="0.75">
      <c r="A59" s="14" t="s">
        <v>57</v>
      </c>
      <c r="B59" s="15">
        <v>3</v>
      </c>
      <c r="C59" s="15">
        <v>3</v>
      </c>
      <c r="D59" s="15">
        <v>3</v>
      </c>
      <c r="E59" s="15">
        <v>3</v>
      </c>
      <c r="F59" s="15">
        <v>2</v>
      </c>
      <c r="G59" s="15">
        <v>1</v>
      </c>
    </row>
    <row r="60" spans="1:8" x14ac:dyDescent="0.75">
      <c r="A60" s="14" t="s">
        <v>58</v>
      </c>
      <c r="B60" s="15">
        <v>3</v>
      </c>
      <c r="C60" s="15">
        <v>3</v>
      </c>
      <c r="D60" s="15">
        <v>3</v>
      </c>
      <c r="E60" s="15">
        <v>3</v>
      </c>
      <c r="F60" s="15">
        <v>2</v>
      </c>
      <c r="G60" s="15">
        <v>1</v>
      </c>
    </row>
    <row r="61" spans="1:8" x14ac:dyDescent="0.75">
      <c r="A61" s="14" t="s">
        <v>59</v>
      </c>
      <c r="B61" s="15">
        <v>3</v>
      </c>
      <c r="C61" s="15">
        <v>3</v>
      </c>
      <c r="D61" s="15">
        <v>3</v>
      </c>
      <c r="E61" s="15">
        <v>3</v>
      </c>
      <c r="F61" s="15">
        <v>2</v>
      </c>
      <c r="G61" s="15">
        <v>1</v>
      </c>
    </row>
    <row r="62" spans="1:8" x14ac:dyDescent="0.75">
      <c r="A62" s="14" t="s">
        <v>60</v>
      </c>
      <c r="B62" s="15">
        <v>3</v>
      </c>
      <c r="C62" s="15">
        <v>3</v>
      </c>
      <c r="D62" s="15">
        <v>3</v>
      </c>
      <c r="E62" s="15">
        <v>3</v>
      </c>
      <c r="F62" s="15">
        <v>2</v>
      </c>
      <c r="G62" s="15">
        <v>1</v>
      </c>
    </row>
    <row r="63" spans="1:8" x14ac:dyDescent="0.75">
      <c r="A63" s="8" t="s">
        <v>22</v>
      </c>
      <c r="B63" s="7"/>
      <c r="C63" s="7"/>
      <c r="D63" s="7"/>
      <c r="E63" s="7"/>
      <c r="F63" s="7"/>
      <c r="G63" s="7"/>
    </row>
    <row r="64" spans="1:8" x14ac:dyDescent="0.75">
      <c r="A64" s="9" t="s">
        <v>10</v>
      </c>
      <c r="B64" s="16">
        <v>1</v>
      </c>
      <c r="C64" s="16">
        <v>2</v>
      </c>
      <c r="D64" s="16">
        <v>4</v>
      </c>
      <c r="E64" s="16">
        <v>5</v>
      </c>
      <c r="F64" s="16">
        <v>6</v>
      </c>
      <c r="G64" s="16">
        <v>7</v>
      </c>
    </row>
    <row r="65" spans="1:11" x14ac:dyDescent="0.75">
      <c r="A65" s="10" t="s">
        <v>9</v>
      </c>
      <c r="B65" s="16">
        <v>3</v>
      </c>
      <c r="C65" s="16">
        <v>3</v>
      </c>
      <c r="D65" s="16">
        <v>3</v>
      </c>
      <c r="E65" s="16">
        <v>3</v>
      </c>
      <c r="F65" s="16">
        <v>3</v>
      </c>
      <c r="G65" s="16">
        <v>3</v>
      </c>
    </row>
    <row r="66" spans="1:11" x14ac:dyDescent="0.75">
      <c r="A66" s="11" t="s">
        <v>3</v>
      </c>
      <c r="B66" s="17">
        <f>AVERAGE(B22:B62)</f>
        <v>3</v>
      </c>
      <c r="C66" s="17">
        <f t="shared" ref="C66:G66" si="0">AVERAGE(C22:C62)</f>
        <v>3</v>
      </c>
      <c r="D66" s="17">
        <f t="shared" si="0"/>
        <v>3</v>
      </c>
      <c r="E66" s="17">
        <f t="shared" si="0"/>
        <v>3</v>
      </c>
      <c r="F66" s="17">
        <f t="shared" si="0"/>
        <v>2.4390243902439024</v>
      </c>
      <c r="G66" s="17">
        <f t="shared" si="0"/>
        <v>2.1219512195121952</v>
      </c>
    </row>
    <row r="67" spans="1:11" x14ac:dyDescent="0.75">
      <c r="A67" s="10" t="s">
        <v>4</v>
      </c>
      <c r="B67" s="18">
        <f>STDEV(B22:B62)</f>
        <v>0</v>
      </c>
      <c r="C67" s="18">
        <f t="shared" ref="C67:F67" si="1">STDEV(C22:C62)</f>
        <v>0</v>
      </c>
      <c r="D67" s="18">
        <f t="shared" si="1"/>
        <v>0</v>
      </c>
      <c r="E67" s="18">
        <f t="shared" si="1"/>
        <v>0</v>
      </c>
      <c r="F67" s="18">
        <f t="shared" si="1"/>
        <v>0.47690567661776034</v>
      </c>
      <c r="G67" s="18">
        <f>STDEV(G22:G62)</f>
        <v>0.85717915138025569</v>
      </c>
    </row>
    <row r="69" spans="1:11" x14ac:dyDescent="0.75">
      <c r="A69" s="5" t="s">
        <v>21</v>
      </c>
      <c r="B69" s="4"/>
      <c r="C69" s="4"/>
    </row>
    <row r="70" spans="1:11" x14ac:dyDescent="0.75">
      <c r="A70" s="4" t="s">
        <v>6</v>
      </c>
      <c r="B70" s="20">
        <f>AVERAGE(B66:G66)</f>
        <v>2.7601626016260163</v>
      </c>
      <c r="C70" s="20"/>
      <c r="D70" s="21"/>
      <c r="E70" s="21"/>
      <c r="F70" s="21"/>
      <c r="G70" s="21"/>
      <c r="H70" s="21"/>
    </row>
    <row r="71" spans="1:11" x14ac:dyDescent="0.75">
      <c r="A71" s="4" t="s">
        <v>7</v>
      </c>
      <c r="B71" s="20">
        <f>STDEV(B67:G67)</f>
        <v>0.36484647014933186</v>
      </c>
      <c r="C71" s="20"/>
      <c r="D71" s="21"/>
      <c r="E71" s="21"/>
      <c r="F71" s="21"/>
      <c r="G71" s="21"/>
      <c r="H71" s="21"/>
    </row>
    <row r="73" spans="1:11" x14ac:dyDescent="0.75">
      <c r="A73" t="s">
        <v>69</v>
      </c>
      <c r="B73" s="19">
        <v>41</v>
      </c>
      <c r="C73">
        <v>41</v>
      </c>
      <c r="D73">
        <v>41</v>
      </c>
      <c r="E73">
        <v>41</v>
      </c>
      <c r="F73">
        <v>16</v>
      </c>
      <c r="G73">
        <v>16</v>
      </c>
      <c r="I73" s="22">
        <f>AVERAGE(B73:G73)</f>
        <v>32.666666666666664</v>
      </c>
      <c r="J73" s="22">
        <f>I73/$G$76*100</f>
        <v>79.674796747967463</v>
      </c>
      <c r="K73" s="23" t="s">
        <v>69</v>
      </c>
    </row>
    <row r="74" spans="1:11" x14ac:dyDescent="0.75">
      <c r="A74" t="s">
        <v>70</v>
      </c>
      <c r="B74">
        <v>0</v>
      </c>
      <c r="C74">
        <v>0</v>
      </c>
      <c r="D74">
        <v>0</v>
      </c>
      <c r="E74">
        <v>0</v>
      </c>
      <c r="F74">
        <v>25</v>
      </c>
      <c r="G74">
        <v>12</v>
      </c>
      <c r="I74" s="22">
        <f t="shared" ref="I74:I75" si="2">AVERAGE(B74:G74)</f>
        <v>6.166666666666667</v>
      </c>
      <c r="J74" s="22">
        <f t="shared" ref="J74:J75" si="3">I74/$G$76*100</f>
        <v>15.040650406504067</v>
      </c>
      <c r="K74" t="s">
        <v>70</v>
      </c>
    </row>
    <row r="75" spans="1:11" x14ac:dyDescent="0.75">
      <c r="A75" t="s">
        <v>71</v>
      </c>
      <c r="B75">
        <v>0</v>
      </c>
      <c r="C75">
        <v>0</v>
      </c>
      <c r="D75">
        <v>0</v>
      </c>
      <c r="E75">
        <v>0</v>
      </c>
      <c r="F75">
        <v>0</v>
      </c>
      <c r="G75">
        <v>13</v>
      </c>
      <c r="I75" s="22">
        <f t="shared" si="2"/>
        <v>2.1666666666666665</v>
      </c>
      <c r="J75" s="22">
        <f t="shared" si="3"/>
        <v>5.2845528455284549</v>
      </c>
      <c r="K75" t="s">
        <v>71</v>
      </c>
    </row>
    <row r="76" spans="1:11" x14ac:dyDescent="0.75">
      <c r="A76" t="s">
        <v>72</v>
      </c>
      <c r="B76" s="19">
        <f>SUM(B73:B75)</f>
        <v>41</v>
      </c>
      <c r="C76" s="19">
        <f t="shared" ref="C76:G76" si="4">SUM(C73:C75)</f>
        <v>41</v>
      </c>
      <c r="D76" s="19">
        <f t="shared" si="4"/>
        <v>41</v>
      </c>
      <c r="E76" s="19">
        <f t="shared" si="4"/>
        <v>41</v>
      </c>
      <c r="F76" s="19">
        <f t="shared" si="4"/>
        <v>41</v>
      </c>
      <c r="G76" s="19">
        <f t="shared" si="4"/>
        <v>41</v>
      </c>
      <c r="I76" s="19">
        <f>SUM(I73:I75)</f>
        <v>40.999999999999993</v>
      </c>
      <c r="J76" s="24">
        <f t="shared" ref="J76" si="5">SUM(J72:J75)</f>
        <v>99.999999999999986</v>
      </c>
    </row>
    <row r="77" spans="1:11" x14ac:dyDescent="0.75">
      <c r="J77" s="22">
        <f>SUM(J73:J74)</f>
        <v>94.715447154471534</v>
      </c>
      <c r="K77" t="s">
        <v>73</v>
      </c>
    </row>
    <row r="127" spans="8:8" x14ac:dyDescent="0.75">
      <c r="H127" s="2"/>
    </row>
    <row r="149" spans="1:2" x14ac:dyDescent="0.75">
      <c r="B149" s="6"/>
    </row>
    <row r="150" spans="1:2" x14ac:dyDescent="0.75">
      <c r="B150" s="6"/>
    </row>
    <row r="151" spans="1:2" x14ac:dyDescent="0.75">
      <c r="B151" s="6"/>
    </row>
    <row r="152" spans="1:2" x14ac:dyDescent="0.75">
      <c r="B152" s="6"/>
    </row>
    <row r="154" spans="1:2" x14ac:dyDescent="0.75">
      <c r="A154" s="1"/>
    </row>
  </sheetData>
  <sortState xmlns:xlrd2="http://schemas.microsoft.com/office/spreadsheetml/2017/richdata2" ref="G22:G62">
    <sortCondition descending="1" ref="G22:G62"/>
  </sortState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69531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6953125" defaultRowHeight="14.75" x14ac:dyDescent="0.7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2026-06-02T22:36:24Z</dcterms:modified>
</cp:coreProperties>
</file>