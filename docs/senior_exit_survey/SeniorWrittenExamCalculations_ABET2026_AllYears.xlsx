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HigherLearningCommission\Course Assessments\CHE499_SeniorWrittenExamAssessment\"/>
    </mc:Choice>
  </mc:AlternateContent>
  <xr:revisionPtr revIDLastSave="0" documentId="13_ncr:1_{03BD0539-CE75-475F-AC27-61A96B3FF245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Fall 2025" sheetId="9" r:id="rId1"/>
    <sheet name="Fall 2024" sheetId="8" r:id="rId2"/>
    <sheet name="Fall 2023" sheetId="7" r:id="rId3"/>
    <sheet name="Fall 2022" sheetId="6" r:id="rId4"/>
    <sheet name="Fall 2021" sheetId="4" r:id="rId5"/>
    <sheet name="Fall 2020" sheetId="1" r:id="rId6"/>
  </sheets>
  <definedNames>
    <definedName name="_xlnm.Print_Area" localSheetId="5">'Fall 2020'!$L$1:$P$16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0" i="9" l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21" i="8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20" i="8"/>
  <c r="A21" i="7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20" i="7"/>
  <c r="A61" i="6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60" i="6"/>
  <c r="A55" i="6"/>
  <c r="A56" i="6" s="1"/>
  <c r="A57" i="6" s="1"/>
  <c r="A58" i="6" s="1"/>
  <c r="A59" i="6" s="1"/>
  <c r="A23" i="6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22" i="6"/>
  <c r="A21" i="6"/>
  <c r="A20" i="6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J88" i="9"/>
  <c r="I88" i="9"/>
  <c r="J87" i="9"/>
  <c r="I87" i="9"/>
  <c r="F96" i="9" s="1"/>
  <c r="E88" i="9"/>
  <c r="E87" i="9"/>
  <c r="D88" i="9"/>
  <c r="D87" i="9"/>
  <c r="C88" i="9"/>
  <c r="B88" i="9"/>
  <c r="C87" i="9"/>
  <c r="B87" i="9"/>
  <c r="H88" i="9"/>
  <c r="G88" i="9"/>
  <c r="F88" i="9"/>
  <c r="H87" i="9"/>
  <c r="G87" i="9"/>
  <c r="F87" i="9"/>
  <c r="E96" i="9" s="1"/>
  <c r="J87" i="8"/>
  <c r="I87" i="8"/>
  <c r="H87" i="8"/>
  <c r="G87" i="8"/>
  <c r="F87" i="8"/>
  <c r="E87" i="8"/>
  <c r="D87" i="8"/>
  <c r="C87" i="8"/>
  <c r="B87" i="8"/>
  <c r="J86" i="8"/>
  <c r="I86" i="8"/>
  <c r="F95" i="8" s="1"/>
  <c r="H86" i="8"/>
  <c r="G86" i="8"/>
  <c r="C95" i="8" s="1"/>
  <c r="F86" i="8"/>
  <c r="E95" i="8" s="1"/>
  <c r="E86" i="8"/>
  <c r="D86" i="8"/>
  <c r="C86" i="8"/>
  <c r="B86" i="8"/>
  <c r="J90" i="7"/>
  <c r="I90" i="7"/>
  <c r="H90" i="7"/>
  <c r="G90" i="7"/>
  <c r="F90" i="7"/>
  <c r="E90" i="7"/>
  <c r="D90" i="7"/>
  <c r="C90" i="7"/>
  <c r="B90" i="7"/>
  <c r="J89" i="7"/>
  <c r="I89" i="7"/>
  <c r="F98" i="7" s="1"/>
  <c r="H89" i="7"/>
  <c r="G89" i="7"/>
  <c r="F89" i="7"/>
  <c r="E98" i="7" s="1"/>
  <c r="E89" i="7"/>
  <c r="D89" i="7"/>
  <c r="C89" i="7"/>
  <c r="B89" i="7"/>
  <c r="J92" i="6"/>
  <c r="I92" i="6"/>
  <c r="H92" i="6"/>
  <c r="G92" i="6"/>
  <c r="F92" i="6"/>
  <c r="E92" i="6"/>
  <c r="D92" i="6"/>
  <c r="C92" i="6"/>
  <c r="B92" i="6"/>
  <c r="J91" i="6"/>
  <c r="I91" i="6"/>
  <c r="F100" i="6" s="1"/>
  <c r="H91" i="6"/>
  <c r="G91" i="6"/>
  <c r="F91" i="6"/>
  <c r="E100" i="6" s="1"/>
  <c r="E91" i="6"/>
  <c r="D91" i="6"/>
  <c r="C91" i="6"/>
  <c r="B91" i="6"/>
  <c r="J82" i="4"/>
  <c r="I82" i="4"/>
  <c r="H82" i="4"/>
  <c r="G82" i="4"/>
  <c r="F82" i="4"/>
  <c r="E82" i="4"/>
  <c r="D82" i="4"/>
  <c r="C82" i="4"/>
  <c r="B82" i="4"/>
  <c r="J81" i="4"/>
  <c r="I81" i="4"/>
  <c r="F90" i="4" s="1"/>
  <c r="H81" i="4"/>
  <c r="G81" i="4"/>
  <c r="F81" i="4"/>
  <c r="E90" i="4" s="1"/>
  <c r="E81" i="4"/>
  <c r="D81" i="4"/>
  <c r="C81" i="4"/>
  <c r="B81" i="4"/>
  <c r="G90" i="4" s="1"/>
  <c r="D97" i="9" l="1"/>
  <c r="B90" i="9"/>
  <c r="B97" i="9"/>
  <c r="D96" i="9"/>
  <c r="B96" i="9"/>
  <c r="C96" i="9"/>
  <c r="G96" i="9"/>
  <c r="B96" i="8"/>
  <c r="B89" i="8"/>
  <c r="D96" i="8"/>
  <c r="B95" i="8"/>
  <c r="G95" i="8"/>
  <c r="D95" i="8"/>
  <c r="B99" i="7"/>
  <c r="B92" i="7"/>
  <c r="D99" i="7"/>
  <c r="B98" i="7"/>
  <c r="C98" i="7"/>
  <c r="G98" i="7"/>
  <c r="D98" i="7"/>
  <c r="B101" i="6"/>
  <c r="B94" i="6"/>
  <c r="D101" i="6"/>
  <c r="C100" i="6"/>
  <c r="G100" i="6"/>
  <c r="D100" i="6"/>
  <c r="B100" i="6"/>
  <c r="D91" i="4"/>
  <c r="B90" i="4"/>
  <c r="D90" i="4"/>
  <c r="B91" i="4"/>
  <c r="C90" i="4"/>
  <c r="B84" i="4"/>
  <c r="J94" i="1"/>
  <c r="I94" i="1"/>
  <c r="H94" i="1"/>
  <c r="G94" i="1"/>
  <c r="F94" i="1"/>
  <c r="J93" i="1"/>
  <c r="I93" i="1"/>
  <c r="F102" i="1" s="1"/>
  <c r="H93" i="1"/>
  <c r="G93" i="1"/>
  <c r="F93" i="1"/>
  <c r="E102" i="1" s="1"/>
  <c r="E94" i="1"/>
  <c r="E93" i="1"/>
  <c r="C102" i="1" l="1"/>
  <c r="B103" i="1"/>
  <c r="B102" i="1"/>
  <c r="D94" i="1"/>
  <c r="C94" i="1"/>
  <c r="B94" i="1"/>
  <c r="D93" i="1"/>
  <c r="C93" i="1"/>
  <c r="B93" i="1"/>
  <c r="B96" i="1" l="1"/>
  <c r="G102" i="1"/>
  <c r="D103" i="1"/>
  <c r="D102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</calcChain>
</file>

<file path=xl/sharedStrings.xml><?xml version="1.0" encoding="utf-8"?>
<sst xmlns="http://schemas.openxmlformats.org/spreadsheetml/2006/main" count="390" uniqueCount="55">
  <si>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</si>
  <si>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</si>
  <si>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</si>
  <si>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</si>
  <si>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</si>
  <si>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</si>
  <si>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</si>
  <si>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</si>
  <si>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</si>
  <si>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</si>
  <si>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Mapped SLO</t>
  </si>
  <si>
    <t>Assessment of student learning outcomes (SLO)</t>
  </si>
  <si>
    <t>RESULTS BY STUDENT OUTCOME ALL ASSESSMENTS</t>
  </si>
  <si>
    <t>Rubric item (PI)</t>
  </si>
  <si>
    <t>BSChE Senior Written Examination</t>
  </si>
  <si>
    <t>Assessment rubric for 5 question Senior Written Examination covering SLO's 1, 2, 4, 5, 6, 7</t>
  </si>
  <si>
    <t>1,2</t>
  </si>
  <si>
    <t>1,6</t>
  </si>
  <si>
    <t>N/A</t>
  </si>
  <si>
    <t>TotalAverage</t>
  </si>
  <si>
    <t>Question</t>
  </si>
  <si>
    <t>#</t>
  </si>
  <si>
    <t>Performance Indicator (PI)</t>
  </si>
  <si>
    <t>1 Background research on</t>
  </si>
  <si>
    <t>career options and plans</t>
  </si>
  <si>
    <t>2a</t>
  </si>
  <si>
    <t>2. Ethical and societal</t>
  </si>
  <si>
    <t>ramifications of technology</t>
  </si>
  <si>
    <t>2c</t>
  </si>
  <si>
    <t>3. Approach to ethical</t>
  </si>
  <si>
    <t>dilemmas</t>
  </si>
  <si>
    <t>2d</t>
  </si>
  <si>
    <t>4. AIChE Code of Ethics</t>
  </si>
  <si>
    <t>5. Multidisciplinary teamwork</t>
  </si>
  <si>
    <t>6. Description of</t>
  </si>
  <si>
    <t>numerical method</t>
  </si>
  <si>
    <t>and formulation of</t>
  </si>
  <si>
    <t>algorithm</t>
  </si>
  <si>
    <t>7.Proficiency with</t>
  </si>
  <si>
    <t>Excel or MATLAB</t>
  </si>
  <si>
    <t>8.Identification</t>
  </si>
  <si>
    <t>of system,</t>
  </si>
  <si>
    <t>surroundings</t>
  </si>
  <si>
    <t>and applicable</t>
  </si>
  <si>
    <t>flow streams</t>
  </si>
  <si>
    <t>9.Effective problem</t>
  </si>
  <si>
    <t>solving skills</t>
  </si>
  <si>
    <t>Exam</t>
  </si>
  <si>
    <t>Question 1</t>
  </si>
  <si>
    <t>Question 2</t>
  </si>
  <si>
    <t>Question 3</t>
  </si>
  <si>
    <t>Question 4</t>
  </si>
  <si>
    <t>Question 5</t>
  </si>
  <si>
    <t>Prepared by: A. Zdunek</t>
  </si>
  <si>
    <t xml:space="preserve">RESULTS BY PERFORMANCE INDICATOR: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</si>
</sst>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0" fillId="6" borderId="0" xfId="0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5" xfId="0" applyBorder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7015-2EE1-4E87-A32A-2D1E72806E05}">
  <dimension ref="A1:P180"/>
  <sheetViews>
    <sheetView tabSelected="1" zoomScale="90" zoomScaleNormal="90" workbookViewId="0">
      <selection activeCell="K80" sqref="K80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3</v>
      </c>
      <c r="D19" s="18">
        <v>3</v>
      </c>
      <c r="E19" s="31">
        <v>3</v>
      </c>
      <c r="F19" s="37">
        <v>3</v>
      </c>
      <c r="G19" s="18">
        <v>3</v>
      </c>
      <c r="H19" s="31">
        <v>3</v>
      </c>
      <c r="I19" s="18">
        <v>3</v>
      </c>
      <c r="J19" s="18">
        <v>3</v>
      </c>
    </row>
    <row r="20" spans="1:10" x14ac:dyDescent="0.75">
      <c r="A20" s="40">
        <f>A19+1</f>
        <v>2</v>
      </c>
      <c r="B20" s="31">
        <v>3</v>
      </c>
      <c r="C20" s="18">
        <v>3</v>
      </c>
      <c r="D20" s="18">
        <v>3</v>
      </c>
      <c r="E20" s="31">
        <v>3</v>
      </c>
      <c r="F20" s="37">
        <v>3</v>
      </c>
      <c r="G20" s="18">
        <v>3</v>
      </c>
      <c r="H20" s="31">
        <v>3</v>
      </c>
      <c r="I20" s="18">
        <v>3</v>
      </c>
      <c r="J20" s="18">
        <v>3</v>
      </c>
    </row>
    <row r="21" spans="1:10" x14ac:dyDescent="0.75">
      <c r="A21" s="40">
        <f>A20+1</f>
        <v>3</v>
      </c>
      <c r="B21" s="31">
        <v>3</v>
      </c>
      <c r="C21" s="18">
        <v>3</v>
      </c>
      <c r="D21" s="18">
        <v>3</v>
      </c>
      <c r="E21" s="31">
        <v>3</v>
      </c>
      <c r="F21" s="37">
        <v>3</v>
      </c>
      <c r="G21" s="18">
        <v>3</v>
      </c>
      <c r="H21" s="31">
        <v>3</v>
      </c>
      <c r="I21" s="18">
        <v>3</v>
      </c>
      <c r="J21" s="18">
        <v>3</v>
      </c>
    </row>
    <row r="22" spans="1:10" x14ac:dyDescent="0.75">
      <c r="A22" s="40">
        <f t="shared" ref="A22:A44" si="0">A21+1</f>
        <v>4</v>
      </c>
      <c r="B22" s="31">
        <v>3</v>
      </c>
      <c r="C22" s="18">
        <v>3</v>
      </c>
      <c r="D22" s="18">
        <v>3</v>
      </c>
      <c r="E22" s="31">
        <v>3</v>
      </c>
      <c r="F22" s="37">
        <v>3</v>
      </c>
      <c r="G22" s="18">
        <v>3</v>
      </c>
      <c r="H22" s="31">
        <v>3</v>
      </c>
      <c r="I22" s="18">
        <v>3</v>
      </c>
      <c r="J22" s="18">
        <v>3</v>
      </c>
    </row>
    <row r="23" spans="1:10" x14ac:dyDescent="0.75">
      <c r="A23" s="40">
        <f t="shared" si="0"/>
        <v>5</v>
      </c>
      <c r="B23" s="32">
        <v>3</v>
      </c>
      <c r="C23" s="19">
        <v>2</v>
      </c>
      <c r="D23" s="19">
        <v>3</v>
      </c>
      <c r="E23" s="32">
        <v>3</v>
      </c>
      <c r="F23" s="38">
        <v>3</v>
      </c>
      <c r="G23" s="19">
        <v>2.75</v>
      </c>
      <c r="H23" s="32">
        <v>2.75</v>
      </c>
      <c r="I23" s="19">
        <v>2</v>
      </c>
      <c r="J23" s="19">
        <v>2</v>
      </c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3</v>
      </c>
      <c r="F24" s="37">
        <v>3</v>
      </c>
      <c r="G24" s="18">
        <v>3</v>
      </c>
      <c r="H24" s="31">
        <v>3</v>
      </c>
      <c r="I24" s="18">
        <v>2</v>
      </c>
      <c r="J24" s="18">
        <v>2</v>
      </c>
    </row>
    <row r="25" spans="1:10" x14ac:dyDescent="0.75">
      <c r="A25" s="40">
        <f t="shared" si="0"/>
        <v>7</v>
      </c>
      <c r="B25" s="31">
        <v>3</v>
      </c>
      <c r="C25" s="18">
        <v>3</v>
      </c>
      <c r="D25" s="18">
        <v>3</v>
      </c>
      <c r="E25" s="31">
        <v>3</v>
      </c>
      <c r="F25" s="37">
        <v>3</v>
      </c>
      <c r="G25" s="18">
        <v>3</v>
      </c>
      <c r="H25" s="31">
        <v>3</v>
      </c>
      <c r="I25" s="18">
        <v>3</v>
      </c>
      <c r="J25" s="18">
        <v>3</v>
      </c>
    </row>
    <row r="26" spans="1:10" x14ac:dyDescent="0.75">
      <c r="A26" s="40">
        <f t="shared" si="0"/>
        <v>8</v>
      </c>
      <c r="B26" s="31">
        <v>3</v>
      </c>
      <c r="C26" s="18">
        <v>3</v>
      </c>
      <c r="D26" s="18">
        <v>3</v>
      </c>
      <c r="E26" s="31">
        <v>3</v>
      </c>
      <c r="F26" s="37">
        <v>3</v>
      </c>
      <c r="G26" s="18">
        <v>3</v>
      </c>
      <c r="H26" s="31">
        <v>3</v>
      </c>
      <c r="I26" s="18">
        <v>3</v>
      </c>
      <c r="J26" s="18">
        <v>3</v>
      </c>
    </row>
    <row r="27" spans="1:10" x14ac:dyDescent="0.75">
      <c r="A27" s="40">
        <f t="shared" si="0"/>
        <v>9</v>
      </c>
      <c r="B27" s="31">
        <v>3</v>
      </c>
      <c r="C27" s="18">
        <v>2</v>
      </c>
      <c r="D27" s="18">
        <v>3</v>
      </c>
      <c r="E27" s="31">
        <v>3</v>
      </c>
      <c r="F27" s="37">
        <v>3</v>
      </c>
      <c r="G27" s="18">
        <v>3</v>
      </c>
      <c r="H27" s="31">
        <v>3</v>
      </c>
      <c r="I27" s="18">
        <v>3</v>
      </c>
      <c r="J27" s="18">
        <v>3</v>
      </c>
    </row>
    <row r="28" spans="1:10" x14ac:dyDescent="0.75">
      <c r="A28" s="40">
        <f t="shared" si="0"/>
        <v>10</v>
      </c>
      <c r="B28" s="31">
        <v>3</v>
      </c>
      <c r="C28" s="18">
        <v>3</v>
      </c>
      <c r="D28" s="18">
        <v>2</v>
      </c>
      <c r="E28" s="31">
        <v>1</v>
      </c>
      <c r="F28" s="37">
        <v>3</v>
      </c>
      <c r="G28" s="18">
        <v>3</v>
      </c>
      <c r="H28" s="31">
        <v>3</v>
      </c>
      <c r="I28" s="18">
        <v>3</v>
      </c>
      <c r="J28" s="18">
        <v>3</v>
      </c>
    </row>
    <row r="29" spans="1:10" x14ac:dyDescent="0.75">
      <c r="A29" s="40">
        <f t="shared" si="0"/>
        <v>11</v>
      </c>
      <c r="B29" s="32">
        <v>3</v>
      </c>
      <c r="C29" s="19">
        <v>3</v>
      </c>
      <c r="D29" s="19">
        <v>3</v>
      </c>
      <c r="E29" s="32">
        <v>3</v>
      </c>
      <c r="F29" s="38">
        <v>3</v>
      </c>
      <c r="G29" s="19">
        <v>3</v>
      </c>
      <c r="H29" s="32">
        <v>3</v>
      </c>
      <c r="I29" s="19">
        <v>2.5</v>
      </c>
      <c r="J29" s="19">
        <v>2.5</v>
      </c>
    </row>
    <row r="30" spans="1:10" x14ac:dyDescent="0.75">
      <c r="A30" s="40">
        <f t="shared" si="0"/>
        <v>12</v>
      </c>
      <c r="B30" s="31">
        <v>3</v>
      </c>
      <c r="C30" s="18">
        <v>3</v>
      </c>
      <c r="D30" s="18">
        <v>3</v>
      </c>
      <c r="E30" s="31">
        <v>3</v>
      </c>
      <c r="F30" s="37">
        <v>1</v>
      </c>
      <c r="G30" s="18">
        <v>3</v>
      </c>
      <c r="H30" s="31">
        <v>3</v>
      </c>
      <c r="I30" s="18">
        <v>3</v>
      </c>
      <c r="J30" s="18">
        <v>3</v>
      </c>
    </row>
    <row r="31" spans="1:10" x14ac:dyDescent="0.75">
      <c r="A31" s="40">
        <f t="shared" si="0"/>
        <v>13</v>
      </c>
      <c r="B31" s="31">
        <v>3</v>
      </c>
      <c r="C31" s="18">
        <v>3</v>
      </c>
      <c r="D31" s="18">
        <v>2</v>
      </c>
      <c r="E31" s="31">
        <v>3</v>
      </c>
      <c r="F31" s="37">
        <v>3</v>
      </c>
      <c r="G31" s="18">
        <v>3</v>
      </c>
      <c r="H31" s="31">
        <v>3</v>
      </c>
      <c r="I31" s="18">
        <v>3</v>
      </c>
      <c r="J31" s="18">
        <v>3</v>
      </c>
    </row>
    <row r="32" spans="1:10" x14ac:dyDescent="0.75">
      <c r="A32" s="40">
        <f t="shared" si="0"/>
        <v>14</v>
      </c>
      <c r="B32" s="31">
        <v>3</v>
      </c>
      <c r="C32" s="18">
        <v>3</v>
      </c>
      <c r="D32" s="18">
        <v>3</v>
      </c>
      <c r="E32" s="31">
        <v>3</v>
      </c>
      <c r="F32" s="37">
        <v>3</v>
      </c>
      <c r="G32" s="18">
        <v>3</v>
      </c>
      <c r="H32" s="31">
        <v>3</v>
      </c>
      <c r="I32" s="18">
        <v>2</v>
      </c>
      <c r="J32" s="18">
        <v>2</v>
      </c>
    </row>
    <row r="33" spans="1:10" x14ac:dyDescent="0.75">
      <c r="A33" s="40">
        <f t="shared" si="0"/>
        <v>15</v>
      </c>
      <c r="B33" s="31">
        <v>2</v>
      </c>
      <c r="C33" s="18">
        <v>3</v>
      </c>
      <c r="D33" s="18">
        <v>3</v>
      </c>
      <c r="E33" s="31">
        <v>3</v>
      </c>
      <c r="F33" s="37">
        <v>3</v>
      </c>
      <c r="G33" s="18">
        <v>2</v>
      </c>
      <c r="H33" s="31">
        <v>2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3</v>
      </c>
      <c r="F34" s="37">
        <v>3</v>
      </c>
      <c r="G34" s="18">
        <v>2</v>
      </c>
      <c r="H34" s="31">
        <v>2</v>
      </c>
      <c r="I34" s="18">
        <v>3</v>
      </c>
      <c r="J34" s="18">
        <v>3</v>
      </c>
    </row>
    <row r="35" spans="1:10" x14ac:dyDescent="0.75">
      <c r="A35" s="40">
        <f t="shared" si="0"/>
        <v>17</v>
      </c>
      <c r="B35" s="32">
        <v>3</v>
      </c>
      <c r="C35" s="19">
        <v>3</v>
      </c>
      <c r="D35" s="19">
        <v>3</v>
      </c>
      <c r="E35" s="32">
        <v>1</v>
      </c>
      <c r="F35" s="38">
        <v>3</v>
      </c>
      <c r="G35" s="19">
        <v>3</v>
      </c>
      <c r="H35" s="32">
        <v>3</v>
      </c>
      <c r="I35" s="19">
        <v>3</v>
      </c>
      <c r="J35" s="19">
        <v>3</v>
      </c>
    </row>
    <row r="36" spans="1:10" x14ac:dyDescent="0.75">
      <c r="A36" s="40">
        <f t="shared" si="0"/>
        <v>18</v>
      </c>
      <c r="B36" s="31">
        <v>3</v>
      </c>
      <c r="C36" s="18">
        <v>3</v>
      </c>
      <c r="D36" s="18">
        <v>3</v>
      </c>
      <c r="E36" s="31">
        <v>3</v>
      </c>
      <c r="F36" s="37">
        <v>3</v>
      </c>
      <c r="G36" s="18">
        <v>3</v>
      </c>
      <c r="H36" s="31">
        <v>2</v>
      </c>
      <c r="I36" s="18">
        <v>3</v>
      </c>
      <c r="J36" s="18">
        <v>3</v>
      </c>
    </row>
    <row r="37" spans="1:10" x14ac:dyDescent="0.75">
      <c r="A37" s="40">
        <f t="shared" si="0"/>
        <v>19</v>
      </c>
      <c r="B37" s="31">
        <v>2</v>
      </c>
      <c r="C37" s="18">
        <v>3</v>
      </c>
      <c r="D37" s="18">
        <v>2</v>
      </c>
      <c r="E37" s="31">
        <v>3</v>
      </c>
      <c r="F37" s="37">
        <v>3</v>
      </c>
      <c r="G37" s="18">
        <v>3</v>
      </c>
      <c r="H37" s="31">
        <v>3</v>
      </c>
      <c r="I37" s="18">
        <v>3</v>
      </c>
      <c r="J37" s="18">
        <v>2.5</v>
      </c>
    </row>
    <row r="38" spans="1:10" x14ac:dyDescent="0.75">
      <c r="A38" s="40">
        <f t="shared" si="0"/>
        <v>20</v>
      </c>
      <c r="B38" s="31">
        <v>3</v>
      </c>
      <c r="C38" s="18">
        <v>3</v>
      </c>
      <c r="D38" s="18">
        <v>3</v>
      </c>
      <c r="E38" s="31">
        <v>3</v>
      </c>
      <c r="F38" s="37">
        <v>3</v>
      </c>
      <c r="G38" s="18">
        <v>3</v>
      </c>
      <c r="H38" s="31">
        <v>3</v>
      </c>
      <c r="I38" s="18">
        <v>3</v>
      </c>
      <c r="J38" s="18">
        <v>3</v>
      </c>
    </row>
    <row r="39" spans="1:10" x14ac:dyDescent="0.75">
      <c r="A39" s="40">
        <f t="shared" si="0"/>
        <v>21</v>
      </c>
      <c r="B39" s="32">
        <v>3</v>
      </c>
      <c r="C39" s="19">
        <v>2.75</v>
      </c>
      <c r="D39" s="19">
        <v>3</v>
      </c>
      <c r="E39" s="32">
        <v>3</v>
      </c>
      <c r="F39" s="38">
        <v>3</v>
      </c>
      <c r="G39" s="19">
        <v>3</v>
      </c>
      <c r="H39" s="32">
        <v>3</v>
      </c>
      <c r="I39" s="19">
        <v>3</v>
      </c>
      <c r="J39" s="19">
        <v>3</v>
      </c>
    </row>
    <row r="40" spans="1:10" x14ac:dyDescent="0.75">
      <c r="A40" s="40">
        <f t="shared" si="0"/>
        <v>22</v>
      </c>
      <c r="B40" s="31">
        <v>3</v>
      </c>
      <c r="C40" s="18">
        <v>3</v>
      </c>
      <c r="D40" s="18">
        <v>2.5</v>
      </c>
      <c r="E40" s="31">
        <v>3</v>
      </c>
      <c r="F40" s="37">
        <v>3</v>
      </c>
      <c r="G40" s="18">
        <v>3</v>
      </c>
      <c r="H40" s="31">
        <v>2</v>
      </c>
      <c r="I40" s="18">
        <v>3</v>
      </c>
      <c r="J40" s="18">
        <v>3</v>
      </c>
    </row>
    <row r="41" spans="1:10" x14ac:dyDescent="0.75">
      <c r="A41" s="40">
        <f t="shared" si="0"/>
        <v>23</v>
      </c>
      <c r="B41" s="31">
        <v>3</v>
      </c>
      <c r="C41" s="18">
        <v>3</v>
      </c>
      <c r="D41" s="18">
        <v>3</v>
      </c>
      <c r="E41" s="31">
        <v>3</v>
      </c>
      <c r="F41" s="37">
        <v>3</v>
      </c>
      <c r="G41" s="18">
        <v>3</v>
      </c>
      <c r="H41" s="31">
        <v>3</v>
      </c>
      <c r="I41" s="18">
        <v>3</v>
      </c>
      <c r="J41" s="18">
        <v>3</v>
      </c>
    </row>
    <row r="42" spans="1:10" x14ac:dyDescent="0.75">
      <c r="A42" s="40">
        <f t="shared" si="0"/>
        <v>24</v>
      </c>
      <c r="B42" s="31">
        <v>2</v>
      </c>
      <c r="C42" s="18">
        <v>3</v>
      </c>
      <c r="D42" s="18">
        <v>3</v>
      </c>
      <c r="E42" s="31">
        <v>3</v>
      </c>
      <c r="F42" s="37">
        <v>3</v>
      </c>
      <c r="G42" s="18">
        <v>3</v>
      </c>
      <c r="H42" s="31">
        <v>3</v>
      </c>
      <c r="I42" s="18">
        <v>3</v>
      </c>
      <c r="J42" s="18">
        <v>3</v>
      </c>
    </row>
    <row r="43" spans="1:10" x14ac:dyDescent="0.75">
      <c r="A43" s="40">
        <f t="shared" si="0"/>
        <v>25</v>
      </c>
      <c r="B43" s="31">
        <v>3</v>
      </c>
      <c r="C43" s="18">
        <v>3</v>
      </c>
      <c r="D43" s="18">
        <v>3</v>
      </c>
      <c r="E43" s="31">
        <v>3</v>
      </c>
      <c r="F43" s="37">
        <v>3</v>
      </c>
      <c r="G43" s="18">
        <v>3</v>
      </c>
      <c r="H43" s="31">
        <v>3</v>
      </c>
      <c r="I43" s="18">
        <v>3</v>
      </c>
      <c r="J43" s="18">
        <v>3</v>
      </c>
    </row>
    <row r="44" spans="1:10" x14ac:dyDescent="0.75">
      <c r="A44" s="40">
        <f t="shared" si="0"/>
        <v>26</v>
      </c>
      <c r="B44" s="32"/>
      <c r="C44" s="19"/>
      <c r="D44" s="19"/>
      <c r="E44" s="32"/>
      <c r="F44" s="38"/>
      <c r="G44" s="19"/>
      <c r="H44" s="32"/>
      <c r="I44" s="19"/>
      <c r="J44" s="19"/>
    </row>
    <row r="45" spans="1:10" x14ac:dyDescent="0.75">
      <c r="A45" s="40"/>
      <c r="B45" s="31"/>
      <c r="C45" s="18"/>
      <c r="D45" s="18"/>
      <c r="E45" s="31"/>
      <c r="F45" s="37"/>
      <c r="G45" s="18"/>
      <c r="H45" s="31"/>
      <c r="I45" s="18"/>
      <c r="J45" s="18"/>
    </row>
    <row r="46" spans="1:10" x14ac:dyDescent="0.75">
      <c r="A46" s="40"/>
      <c r="B46" s="31"/>
      <c r="C46" s="18"/>
      <c r="D46" s="18"/>
      <c r="E46" s="31"/>
      <c r="F46" s="37"/>
      <c r="G46" s="18"/>
      <c r="H46" s="31"/>
      <c r="I46" s="18"/>
      <c r="J46" s="18"/>
    </row>
    <row r="47" spans="1:10" x14ac:dyDescent="0.75">
      <c r="A47" s="40"/>
      <c r="B47" s="31"/>
      <c r="C47" s="18"/>
      <c r="D47" s="18"/>
      <c r="E47" s="31"/>
      <c r="F47" s="37"/>
      <c r="G47" s="18"/>
      <c r="H47" s="31"/>
      <c r="I47" s="18"/>
      <c r="J47" s="18"/>
    </row>
    <row r="48" spans="1:10" x14ac:dyDescent="0.75">
      <c r="A48" s="40"/>
      <c r="B48" s="31"/>
      <c r="C48" s="18"/>
      <c r="D48" s="18"/>
      <c r="E48" s="31"/>
      <c r="F48" s="37"/>
      <c r="G48" s="18"/>
      <c r="H48" s="31"/>
      <c r="I48" s="18"/>
      <c r="J48" s="18"/>
    </row>
    <row r="49" spans="1:10" x14ac:dyDescent="0.75">
      <c r="A49" s="41"/>
      <c r="B49" s="32"/>
      <c r="C49" s="19"/>
      <c r="D49" s="19"/>
      <c r="E49" s="32"/>
      <c r="F49" s="38"/>
      <c r="G49" s="19"/>
      <c r="H49" s="32"/>
      <c r="I49" s="19"/>
      <c r="J49" s="19"/>
    </row>
    <row r="50" spans="1:10" x14ac:dyDescent="0.75">
      <c r="A50" s="40"/>
      <c r="B50" s="31"/>
      <c r="C50" s="18"/>
      <c r="D50" s="18"/>
      <c r="E50" s="31"/>
      <c r="F50" s="37"/>
      <c r="G50" s="18"/>
      <c r="H50" s="31"/>
      <c r="I50" s="18"/>
      <c r="J50" s="18"/>
    </row>
    <row r="51" spans="1:10" x14ac:dyDescent="0.75">
      <c r="A51" s="40"/>
      <c r="B51" s="31"/>
      <c r="C51" s="18"/>
      <c r="D51" s="18"/>
      <c r="E51" s="31"/>
      <c r="F51" s="37"/>
      <c r="G51" s="18"/>
      <c r="H51" s="31"/>
      <c r="I51" s="18"/>
      <c r="J51" s="18"/>
    </row>
    <row r="52" spans="1:10" x14ac:dyDescent="0.75">
      <c r="A52" s="40"/>
      <c r="B52" s="31"/>
      <c r="C52" s="18"/>
      <c r="D52" s="18"/>
      <c r="E52" s="31"/>
      <c r="F52" s="37"/>
      <c r="G52" s="18"/>
      <c r="H52" s="31"/>
      <c r="I52" s="18"/>
      <c r="J52" s="18"/>
    </row>
    <row r="53" spans="1:10" x14ac:dyDescent="0.75">
      <c r="A53" s="40"/>
      <c r="B53" s="31"/>
      <c r="C53" s="18"/>
      <c r="D53" s="18"/>
      <c r="E53" s="31"/>
      <c r="F53" s="37"/>
      <c r="G53" s="18"/>
      <c r="H53" s="31"/>
      <c r="I53" s="18"/>
      <c r="J53" s="18"/>
    </row>
    <row r="54" spans="1:10" x14ac:dyDescent="0.75">
      <c r="A54" s="41"/>
      <c r="B54" s="32"/>
      <c r="C54" s="19"/>
      <c r="D54" s="19"/>
      <c r="E54" s="32"/>
      <c r="F54" s="38"/>
      <c r="G54" s="19"/>
      <c r="H54" s="32"/>
      <c r="I54" s="19"/>
      <c r="J54" s="19"/>
    </row>
    <row r="55" spans="1:10" x14ac:dyDescent="0.75">
      <c r="A55" s="40"/>
      <c r="B55" s="31"/>
      <c r="C55" s="18"/>
      <c r="D55" s="18"/>
      <c r="E55" s="31"/>
      <c r="F55" s="37"/>
      <c r="G55" s="18"/>
      <c r="H55" s="31"/>
      <c r="I55" s="18"/>
      <c r="J55" s="18"/>
    </row>
    <row r="56" spans="1:10" x14ac:dyDescent="0.75">
      <c r="A56" s="40"/>
      <c r="B56" s="31"/>
      <c r="C56" s="18"/>
      <c r="D56" s="18"/>
      <c r="E56" s="31"/>
      <c r="F56" s="37"/>
      <c r="G56" s="18"/>
      <c r="H56" s="31"/>
      <c r="I56" s="18"/>
      <c r="J56" s="18"/>
    </row>
    <row r="57" spans="1:10" x14ac:dyDescent="0.75">
      <c r="A57" s="40"/>
      <c r="B57" s="31"/>
      <c r="C57" s="18"/>
      <c r="D57" s="18"/>
      <c r="E57" s="31"/>
      <c r="F57" s="37"/>
      <c r="G57" s="18"/>
      <c r="H57" s="31"/>
      <c r="I57" s="18"/>
      <c r="J57" s="18"/>
    </row>
    <row r="58" spans="1:10" x14ac:dyDescent="0.75">
      <c r="A58" s="40"/>
      <c r="B58" s="31"/>
      <c r="C58" s="18"/>
      <c r="D58" s="18"/>
      <c r="E58" s="31"/>
      <c r="F58" s="37"/>
      <c r="G58" s="18"/>
      <c r="H58" s="31"/>
      <c r="I58" s="18"/>
      <c r="J58" s="18"/>
    </row>
    <row r="59" spans="1:10" x14ac:dyDescent="0.75">
      <c r="A59" s="41"/>
      <c r="B59" s="32"/>
      <c r="C59" s="19"/>
      <c r="D59" s="19"/>
      <c r="E59" s="32"/>
      <c r="F59" s="38"/>
      <c r="G59" s="19"/>
      <c r="H59" s="32"/>
      <c r="I59" s="19"/>
      <c r="J59" s="19"/>
    </row>
    <row r="60" spans="1:10" x14ac:dyDescent="0.75">
      <c r="A60" s="40"/>
      <c r="B60" s="31"/>
      <c r="C60" s="18"/>
      <c r="D60" s="18"/>
      <c r="E60" s="31"/>
      <c r="F60" s="37"/>
      <c r="G60" s="18"/>
      <c r="H60" s="31"/>
      <c r="I60" s="18"/>
      <c r="J60" s="18"/>
    </row>
    <row r="61" spans="1:10" x14ac:dyDescent="0.75">
      <c r="A61" s="40"/>
      <c r="B61" s="31"/>
      <c r="C61" s="18"/>
      <c r="D61" s="18"/>
      <c r="E61" s="31"/>
      <c r="F61" s="37"/>
      <c r="G61" s="18"/>
      <c r="H61" s="31"/>
      <c r="I61" s="18"/>
      <c r="J61" s="18"/>
    </row>
    <row r="62" spans="1:10" x14ac:dyDescent="0.75">
      <c r="A62" s="40"/>
      <c r="B62" s="31"/>
      <c r="C62" s="18"/>
      <c r="D62" s="18"/>
      <c r="E62" s="31"/>
      <c r="F62" s="37"/>
      <c r="G62" s="18"/>
      <c r="H62" s="31"/>
      <c r="I62" s="18"/>
      <c r="J62" s="18"/>
    </row>
    <row r="63" spans="1:10" x14ac:dyDescent="0.75">
      <c r="A63" s="40"/>
      <c r="B63" s="31"/>
      <c r="C63" s="18"/>
      <c r="D63" s="18"/>
      <c r="E63" s="31"/>
      <c r="F63" s="37"/>
      <c r="G63" s="18"/>
      <c r="H63" s="31"/>
      <c r="I63" s="18"/>
      <c r="J63" s="18"/>
    </row>
    <row r="64" spans="1:10" x14ac:dyDescent="0.75">
      <c r="A64" s="40"/>
      <c r="B64" s="31"/>
      <c r="C64" s="18"/>
      <c r="D64" s="18"/>
      <c r="E64" s="31"/>
      <c r="F64" s="37"/>
      <c r="G64" s="18"/>
      <c r="H64" s="31"/>
      <c r="I64" s="18"/>
      <c r="J64" s="18"/>
    </row>
    <row r="65" spans="1:10" x14ac:dyDescent="0.75">
      <c r="A65" s="40"/>
      <c r="B65" s="31"/>
      <c r="C65" s="18"/>
      <c r="D65" s="18"/>
      <c r="E65" s="31"/>
      <c r="F65" s="37"/>
      <c r="G65" s="18"/>
      <c r="H65" s="31"/>
      <c r="I65" s="18"/>
      <c r="J65" s="18"/>
    </row>
    <row r="66" spans="1:10" x14ac:dyDescent="0.75">
      <c r="A66" s="40"/>
      <c r="B66" s="31"/>
      <c r="C66" s="18"/>
      <c r="D66" s="18"/>
      <c r="E66" s="31"/>
      <c r="F66" s="37"/>
      <c r="G66" s="18"/>
      <c r="H66" s="31"/>
      <c r="I66" s="18"/>
      <c r="J66" s="18"/>
    </row>
    <row r="67" spans="1:10" x14ac:dyDescent="0.75">
      <c r="A67" s="40"/>
      <c r="B67" s="31"/>
      <c r="C67" s="18"/>
      <c r="D67" s="18"/>
      <c r="E67" s="31"/>
      <c r="F67" s="37"/>
      <c r="G67" s="18"/>
      <c r="H67" s="31"/>
      <c r="I67" s="18"/>
      <c r="J67" s="18"/>
    </row>
    <row r="68" spans="1:10" x14ac:dyDescent="0.75">
      <c r="A68" s="40"/>
      <c r="B68" s="31"/>
      <c r="C68" s="18"/>
      <c r="D68" s="18"/>
      <c r="E68" s="31"/>
      <c r="F68" s="37"/>
      <c r="G68" s="18"/>
      <c r="H68" s="31"/>
      <c r="I68" s="18"/>
      <c r="J68" s="18"/>
    </row>
    <row r="69" spans="1:10" x14ac:dyDescent="0.75">
      <c r="A69" s="40"/>
      <c r="B69" s="31"/>
      <c r="C69" s="18"/>
      <c r="D69" s="18"/>
      <c r="E69" s="31"/>
      <c r="F69" s="37"/>
      <c r="G69" s="18"/>
      <c r="H69" s="31"/>
      <c r="I69" s="18"/>
      <c r="J69" s="18"/>
    </row>
    <row r="70" spans="1:10" x14ac:dyDescent="0.75">
      <c r="A70" s="40"/>
      <c r="B70" s="31"/>
      <c r="C70" s="18"/>
      <c r="D70" s="18"/>
      <c r="E70" s="31"/>
      <c r="F70" s="37"/>
      <c r="G70" s="18"/>
      <c r="H70" s="31"/>
      <c r="I70" s="18"/>
      <c r="J70" s="18"/>
    </row>
    <row r="71" spans="1:10" x14ac:dyDescent="0.75">
      <c r="A71" s="40"/>
      <c r="B71" s="31"/>
      <c r="C71" s="18"/>
      <c r="D71" s="18"/>
      <c r="E71" s="31"/>
      <c r="F71" s="37"/>
      <c r="G71" s="18"/>
      <c r="H71" s="31"/>
      <c r="I71" s="18"/>
      <c r="J71" s="18"/>
    </row>
    <row r="72" spans="1:10" x14ac:dyDescent="0.75">
      <c r="A72" s="40"/>
      <c r="B72" s="31"/>
      <c r="C72" s="18"/>
      <c r="D72" s="18"/>
      <c r="E72" s="31"/>
      <c r="F72" s="37"/>
      <c r="G72" s="18"/>
      <c r="H72" s="31"/>
      <c r="I72" s="18"/>
      <c r="J72" s="18"/>
    </row>
    <row r="73" spans="1:10" x14ac:dyDescent="0.75">
      <c r="A73" s="40"/>
      <c r="B73" s="31"/>
      <c r="C73" s="18"/>
      <c r="D73" s="18"/>
      <c r="E73" s="31"/>
      <c r="F73" s="37"/>
      <c r="G73" s="18"/>
      <c r="H73" s="31"/>
      <c r="I73" s="18"/>
      <c r="J73" s="18"/>
    </row>
    <row r="74" spans="1:10" x14ac:dyDescent="0.75">
      <c r="A74" s="40"/>
      <c r="B74" s="31"/>
      <c r="C74" s="18"/>
      <c r="D74" s="18"/>
      <c r="E74" s="31"/>
      <c r="F74" s="37"/>
      <c r="G74" s="18"/>
      <c r="H74" s="31"/>
      <c r="I74" s="18"/>
      <c r="J74" s="18"/>
    </row>
    <row r="75" spans="1:10" x14ac:dyDescent="0.75">
      <c r="A75" s="40"/>
      <c r="B75" s="31"/>
      <c r="C75" s="18"/>
      <c r="D75" s="18"/>
      <c r="E75" s="31"/>
      <c r="F75" s="37"/>
      <c r="G75" s="18"/>
      <c r="H75" s="31"/>
      <c r="I75" s="18"/>
      <c r="J75" s="18"/>
    </row>
    <row r="76" spans="1:10" x14ac:dyDescent="0.75">
      <c r="A76" s="40"/>
      <c r="B76" s="31"/>
      <c r="C76" s="18"/>
      <c r="D76" s="18"/>
      <c r="E76" s="31"/>
      <c r="F76" s="37"/>
      <c r="G76" s="18"/>
      <c r="H76" s="31"/>
      <c r="I76" s="18"/>
      <c r="J76" s="18"/>
    </row>
    <row r="77" spans="1:10" x14ac:dyDescent="0.75">
      <c r="A77" s="40"/>
      <c r="B77" s="31"/>
      <c r="C77" s="18"/>
      <c r="D77" s="18"/>
      <c r="E77" s="31"/>
      <c r="F77" s="37"/>
      <c r="G77" s="18"/>
      <c r="H77" s="31"/>
      <c r="I77" s="18"/>
      <c r="J77" s="18"/>
    </row>
    <row r="78" spans="1:10" x14ac:dyDescent="0.75">
      <c r="A78" s="40"/>
      <c r="B78" s="31"/>
      <c r="C78" s="18"/>
      <c r="D78" s="18"/>
      <c r="E78" s="31"/>
      <c r="F78" s="37"/>
      <c r="G78" s="18"/>
      <c r="H78" s="31"/>
      <c r="I78" s="18"/>
      <c r="J78" s="18"/>
    </row>
    <row r="79" spans="1:10" x14ac:dyDescent="0.75">
      <c r="A79" s="40"/>
      <c r="B79" s="31"/>
      <c r="C79" s="18"/>
      <c r="D79" s="18"/>
      <c r="E79" s="31"/>
      <c r="F79" s="37"/>
      <c r="G79" s="18"/>
      <c r="H79" s="31"/>
      <c r="I79" s="18"/>
      <c r="J79" s="18"/>
    </row>
    <row r="80" spans="1:10" x14ac:dyDescent="0.75">
      <c r="A80" s="40"/>
      <c r="B80" s="31"/>
      <c r="C80" s="18"/>
      <c r="D80" s="18"/>
      <c r="E80" s="31"/>
      <c r="F80" s="37"/>
      <c r="G80" s="18"/>
      <c r="H80" s="31"/>
      <c r="I80" s="18"/>
      <c r="J80" s="18"/>
    </row>
    <row r="81" spans="1:10" x14ac:dyDescent="0.75">
      <c r="A81" s="45"/>
      <c r="B81" s="18"/>
      <c r="C81" s="18"/>
      <c r="D81" s="18"/>
      <c r="E81" s="18"/>
      <c r="F81" s="18"/>
      <c r="G81" s="18"/>
      <c r="H81" s="18"/>
      <c r="I81" s="18"/>
      <c r="J81" s="18"/>
    </row>
    <row r="82" spans="1:10" x14ac:dyDescent="0.75">
      <c r="A82" s="15"/>
    </row>
    <row r="84" spans="1:10" x14ac:dyDescent="0.75">
      <c r="A84" s="11" t="s">
        <v>54</v>
      </c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75">
      <c r="A85" s="12" t="s">
        <v>13</v>
      </c>
      <c r="B85" s="20">
        <v>1</v>
      </c>
      <c r="C85" s="20">
        <v>2</v>
      </c>
      <c r="D85" s="20">
        <v>3</v>
      </c>
      <c r="E85" s="20">
        <v>4</v>
      </c>
      <c r="F85" s="20">
        <v>5</v>
      </c>
      <c r="G85" s="20">
        <v>6</v>
      </c>
      <c r="H85" s="20">
        <v>7</v>
      </c>
      <c r="I85" s="20">
        <v>8</v>
      </c>
      <c r="J85" s="20">
        <v>9</v>
      </c>
    </row>
    <row r="86" spans="1:10" x14ac:dyDescent="0.75">
      <c r="A86" s="13" t="s">
        <v>10</v>
      </c>
      <c r="B86" s="20">
        <v>7</v>
      </c>
      <c r="C86" s="20">
        <v>4</v>
      </c>
      <c r="D86" s="20">
        <v>4</v>
      </c>
      <c r="E86" s="20">
        <v>4</v>
      </c>
      <c r="F86" s="20">
        <v>5</v>
      </c>
      <c r="G86" s="20" t="s">
        <v>16</v>
      </c>
      <c r="H86" s="20">
        <v>1</v>
      </c>
      <c r="I86" s="20" t="s">
        <v>17</v>
      </c>
      <c r="J86" s="20">
        <v>1</v>
      </c>
    </row>
    <row r="87" spans="1:10" x14ac:dyDescent="0.75">
      <c r="A87" s="14" t="s">
        <v>3</v>
      </c>
      <c r="B87" s="21">
        <f>AVERAGE(B19:B81)</f>
        <v>2.88</v>
      </c>
      <c r="C87" s="21">
        <f>AVERAGE(C19:C81)</f>
        <v>2.91</v>
      </c>
      <c r="D87" s="21">
        <f>AVERAGE(D19:D81)</f>
        <v>2.86</v>
      </c>
      <c r="E87" s="21">
        <f>AVERAGE(E19:E81)</f>
        <v>2.84</v>
      </c>
      <c r="F87" s="21">
        <f>AVERAGE(F19:F79)</f>
        <v>2.92</v>
      </c>
      <c r="G87" s="21">
        <f>AVERAGE(G19:G79)</f>
        <v>2.91</v>
      </c>
      <c r="H87" s="21">
        <f>AVERAGE(H19:H79)</f>
        <v>2.83</v>
      </c>
      <c r="I87" s="21">
        <f>AVERAGE(I19:I81)</f>
        <v>2.86</v>
      </c>
      <c r="J87" s="21">
        <f>AVERAGE(J19:J81)</f>
        <v>2.84</v>
      </c>
    </row>
    <row r="88" spans="1:10" x14ac:dyDescent="0.75">
      <c r="A88" s="13" t="s">
        <v>4</v>
      </c>
      <c r="B88" s="22">
        <f>STDEV(B19:B81)</f>
        <v>0.33166247903553914</v>
      </c>
      <c r="C88" s="22">
        <f>STDEV(C19:C81)</f>
        <v>0.27838821814150111</v>
      </c>
      <c r="D88" s="22">
        <f>STDEV(D19:D81)</f>
        <v>0.33911649915626285</v>
      </c>
      <c r="E88" s="22">
        <f>STDEV(E19:E81)</f>
        <v>0.55377492419453889</v>
      </c>
      <c r="F88" s="22">
        <f>STDEV(F19:F79)</f>
        <v>0.40000000000000019</v>
      </c>
      <c r="G88" s="22">
        <f>STDEV(G19:G79)</f>
        <v>0.27838821814150111</v>
      </c>
      <c r="H88" s="22">
        <f>STDEV(H19:H79)</f>
        <v>0.37305048809332336</v>
      </c>
      <c r="I88" s="22">
        <f>STDEV(I19:I81)</f>
        <v>0.33911649915626285</v>
      </c>
      <c r="J88" s="22">
        <f>STDEV(J19:J81)</f>
        <v>0.34520525295346716</v>
      </c>
    </row>
    <row r="89" spans="1:10" x14ac:dyDescent="0.75">
      <c r="A89" s="14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75">
      <c r="A90" s="14" t="s">
        <v>19</v>
      </c>
      <c r="B90" s="5">
        <f>AVERAGE(B87:J87)</f>
        <v>2.8722222222222218</v>
      </c>
      <c r="C90" s="3"/>
      <c r="D90" s="3"/>
      <c r="E90" s="3"/>
      <c r="F90" s="3"/>
      <c r="G90" s="3"/>
      <c r="H90" s="3"/>
      <c r="I90" s="3"/>
      <c r="J90" s="3"/>
    </row>
    <row r="91" spans="1:10" x14ac:dyDescent="0.75">
      <c r="A91" s="13"/>
      <c r="B91" s="10"/>
      <c r="C91" s="10"/>
      <c r="D91" s="10"/>
      <c r="E91" s="10"/>
      <c r="F91" s="10"/>
      <c r="G91" s="10"/>
      <c r="H91" s="10"/>
      <c r="I91" s="10"/>
      <c r="J91" s="10"/>
    </row>
    <row r="92" spans="1:10" x14ac:dyDescent="0.75">
      <c r="A92" s="14"/>
      <c r="B92" s="3"/>
      <c r="C92" s="3"/>
      <c r="D92" s="3"/>
      <c r="E92" s="3"/>
      <c r="F92" s="3"/>
      <c r="G92" s="3"/>
      <c r="H92" s="3"/>
      <c r="I92" s="3"/>
      <c r="J92" s="3"/>
    </row>
    <row r="94" spans="1:10" x14ac:dyDescent="0.75">
      <c r="A94" s="6" t="s">
        <v>12</v>
      </c>
      <c r="B94" s="4"/>
      <c r="C94" s="4"/>
      <c r="D94" s="4"/>
      <c r="E94" s="4"/>
      <c r="F94" s="4"/>
      <c r="G94" s="9"/>
    </row>
    <row r="95" spans="1:10" x14ac:dyDescent="0.75">
      <c r="A95" s="6"/>
      <c r="B95" s="24">
        <v>1</v>
      </c>
      <c r="C95" s="24">
        <v>2</v>
      </c>
      <c r="D95" s="24">
        <v>4</v>
      </c>
      <c r="E95" s="24">
        <v>5</v>
      </c>
      <c r="F95" s="17">
        <v>6</v>
      </c>
      <c r="G95" s="17">
        <v>7</v>
      </c>
    </row>
    <row r="96" spans="1:10" x14ac:dyDescent="0.75">
      <c r="A96" s="4" t="s">
        <v>6</v>
      </c>
      <c r="B96" s="25">
        <f>AVERAGE(G87,H87,I87,J87)</f>
        <v>2.86</v>
      </c>
      <c r="C96" s="25">
        <f>AVERAGE(G87)</f>
        <v>2.91</v>
      </c>
      <c r="D96" s="25">
        <f>AVERAGE(C87,D87,E87)</f>
        <v>2.8699999999999997</v>
      </c>
      <c r="E96" s="25">
        <f>AVERAGE(F87)</f>
        <v>2.92</v>
      </c>
      <c r="F96" s="25">
        <f>AVERAGE(I87)</f>
        <v>2.86</v>
      </c>
      <c r="G96" s="25">
        <f>AVERAGE(B87)</f>
        <v>2.88</v>
      </c>
      <c r="I96" s="23"/>
    </row>
    <row r="97" spans="1:9" x14ac:dyDescent="0.75">
      <c r="A97" s="4" t="s">
        <v>7</v>
      </c>
      <c r="B97" s="25">
        <f>STDEV(G87,H87,I87,J87)</f>
        <v>3.5590260840104443E-2</v>
      </c>
      <c r="C97" s="25" t="s">
        <v>18</v>
      </c>
      <c r="D97" s="25">
        <f>STDEV(C87,D87,E87)</f>
        <v>3.605551275464005E-2</v>
      </c>
      <c r="E97" s="25" t="s">
        <v>18</v>
      </c>
      <c r="F97" s="26" t="s">
        <v>18</v>
      </c>
      <c r="G97" s="26" t="s">
        <v>18</v>
      </c>
      <c r="I97" s="23"/>
    </row>
    <row r="99" spans="1:9" x14ac:dyDescent="0.75">
      <c r="B99" s="23"/>
    </row>
    <row r="153" spans="8:10" x14ac:dyDescent="0.75">
      <c r="H153" s="7"/>
      <c r="I153" s="7"/>
      <c r="J153" s="7"/>
    </row>
    <row r="175" spans="2:2" x14ac:dyDescent="0.75">
      <c r="B175" s="8"/>
    </row>
    <row r="176" spans="2:2" x14ac:dyDescent="0.75">
      <c r="B176" s="8"/>
    </row>
    <row r="177" spans="1:2" x14ac:dyDescent="0.75">
      <c r="B177" s="8"/>
    </row>
    <row r="178" spans="1:2" x14ac:dyDescent="0.75">
      <c r="B178" s="8"/>
    </row>
    <row r="180" spans="1:2" x14ac:dyDescent="0.75">
      <c r="A180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FEA2-BCB1-4087-B07F-6765AC4DC447}">
  <dimension ref="A1:P179"/>
  <sheetViews>
    <sheetView topLeftCell="A15" zoomScale="90" zoomScaleNormal="90" workbookViewId="0">
      <selection activeCell="A19" sqref="A19:A44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3</v>
      </c>
      <c r="D19" s="18">
        <v>3</v>
      </c>
      <c r="E19" s="31">
        <v>3</v>
      </c>
      <c r="F19" s="37">
        <v>3</v>
      </c>
      <c r="G19" s="18">
        <v>3</v>
      </c>
      <c r="H19" s="31">
        <v>3</v>
      </c>
      <c r="I19" s="18">
        <v>3</v>
      </c>
      <c r="J19" s="18">
        <v>3</v>
      </c>
    </row>
    <row r="20" spans="1:10" x14ac:dyDescent="0.75">
      <c r="A20" s="40">
        <f>A19+1</f>
        <v>2</v>
      </c>
      <c r="B20" s="31">
        <v>3</v>
      </c>
      <c r="C20" s="18">
        <v>3</v>
      </c>
      <c r="D20" s="18">
        <v>3</v>
      </c>
      <c r="E20" s="31">
        <v>3</v>
      </c>
      <c r="F20" s="37">
        <v>3</v>
      </c>
      <c r="G20" s="18">
        <v>3</v>
      </c>
      <c r="H20" s="31">
        <v>3</v>
      </c>
      <c r="I20" s="18">
        <v>3</v>
      </c>
      <c r="J20" s="18">
        <v>3</v>
      </c>
    </row>
    <row r="21" spans="1:10" x14ac:dyDescent="0.75">
      <c r="A21" s="40">
        <f>A20+1</f>
        <v>3</v>
      </c>
      <c r="B21" s="31">
        <v>3</v>
      </c>
      <c r="C21" s="18">
        <v>3</v>
      </c>
      <c r="D21" s="18">
        <v>3</v>
      </c>
      <c r="E21" s="31">
        <v>3</v>
      </c>
      <c r="F21" s="37">
        <v>3</v>
      </c>
      <c r="G21" s="18">
        <v>3</v>
      </c>
      <c r="H21" s="31">
        <v>3</v>
      </c>
      <c r="I21" s="18">
        <v>3</v>
      </c>
      <c r="J21" s="18">
        <v>3</v>
      </c>
    </row>
    <row r="22" spans="1:10" x14ac:dyDescent="0.75">
      <c r="A22" s="40">
        <f t="shared" ref="A22:A68" si="0">A21+1</f>
        <v>4</v>
      </c>
      <c r="B22" s="31">
        <v>2.75</v>
      </c>
      <c r="C22" s="18">
        <v>2</v>
      </c>
      <c r="D22" s="18">
        <v>2.75</v>
      </c>
      <c r="E22" s="31">
        <v>3</v>
      </c>
      <c r="F22" s="37">
        <v>3</v>
      </c>
      <c r="G22" s="18">
        <v>3</v>
      </c>
      <c r="H22" s="31">
        <v>3</v>
      </c>
      <c r="I22" s="18">
        <v>3</v>
      </c>
      <c r="J22" s="18">
        <v>3</v>
      </c>
    </row>
    <row r="23" spans="1:10" x14ac:dyDescent="0.75">
      <c r="A23" s="40">
        <f t="shared" si="0"/>
        <v>5</v>
      </c>
      <c r="B23" s="32"/>
      <c r="C23" s="19"/>
      <c r="D23" s="19"/>
      <c r="E23" s="32"/>
      <c r="F23" s="38"/>
      <c r="G23" s="19"/>
      <c r="H23" s="32"/>
      <c r="I23" s="19"/>
      <c r="J23" s="19"/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3</v>
      </c>
      <c r="F24" s="37">
        <v>3</v>
      </c>
      <c r="G24" s="18">
        <v>3</v>
      </c>
      <c r="H24" s="31">
        <v>3</v>
      </c>
      <c r="I24" s="18">
        <v>2.75</v>
      </c>
      <c r="J24" s="18">
        <v>2.75</v>
      </c>
    </row>
    <row r="25" spans="1:10" x14ac:dyDescent="0.75">
      <c r="A25" s="40">
        <f t="shared" si="0"/>
        <v>7</v>
      </c>
      <c r="B25" s="31">
        <v>2</v>
      </c>
      <c r="C25" s="18">
        <v>3</v>
      </c>
      <c r="D25" s="18">
        <v>3</v>
      </c>
      <c r="E25" s="31">
        <v>3</v>
      </c>
      <c r="F25" s="37">
        <v>3</v>
      </c>
      <c r="G25" s="18">
        <v>3</v>
      </c>
      <c r="H25" s="31">
        <v>3</v>
      </c>
      <c r="I25" s="18">
        <v>2.5</v>
      </c>
      <c r="J25" s="18">
        <v>2.5</v>
      </c>
    </row>
    <row r="26" spans="1:10" x14ac:dyDescent="0.75">
      <c r="A26" s="40">
        <f t="shared" si="0"/>
        <v>8</v>
      </c>
      <c r="B26" s="31">
        <v>3</v>
      </c>
      <c r="C26" s="18">
        <v>3</v>
      </c>
      <c r="D26" s="18">
        <v>3</v>
      </c>
      <c r="E26" s="31">
        <v>3</v>
      </c>
      <c r="F26" s="37">
        <v>3</v>
      </c>
      <c r="G26" s="18">
        <v>3</v>
      </c>
      <c r="H26" s="31">
        <v>3</v>
      </c>
      <c r="I26" s="18">
        <v>3</v>
      </c>
      <c r="J26" s="18">
        <v>3</v>
      </c>
    </row>
    <row r="27" spans="1:10" x14ac:dyDescent="0.75">
      <c r="A27" s="40">
        <f t="shared" si="0"/>
        <v>9</v>
      </c>
      <c r="B27" s="31">
        <v>2</v>
      </c>
      <c r="C27" s="18">
        <v>2</v>
      </c>
      <c r="D27" s="18">
        <v>2</v>
      </c>
      <c r="E27" s="31">
        <v>3</v>
      </c>
      <c r="F27" s="37">
        <v>3</v>
      </c>
      <c r="G27" s="18">
        <v>3</v>
      </c>
      <c r="H27" s="31">
        <v>3</v>
      </c>
      <c r="I27" s="18">
        <v>3</v>
      </c>
      <c r="J27" s="18">
        <v>3</v>
      </c>
    </row>
    <row r="28" spans="1:10" x14ac:dyDescent="0.75">
      <c r="A28" s="40">
        <f t="shared" si="0"/>
        <v>10</v>
      </c>
      <c r="B28" s="31">
        <v>3</v>
      </c>
      <c r="C28" s="18">
        <v>3</v>
      </c>
      <c r="D28" s="18">
        <v>3</v>
      </c>
      <c r="E28" s="31">
        <v>3</v>
      </c>
      <c r="F28" s="37">
        <v>3</v>
      </c>
      <c r="G28" s="18">
        <v>3</v>
      </c>
      <c r="H28" s="31">
        <v>3</v>
      </c>
      <c r="I28" s="18">
        <v>3</v>
      </c>
      <c r="J28" s="18">
        <v>3</v>
      </c>
    </row>
    <row r="29" spans="1:10" x14ac:dyDescent="0.75">
      <c r="A29" s="40">
        <f t="shared" si="0"/>
        <v>11</v>
      </c>
      <c r="B29" s="32">
        <v>3</v>
      </c>
      <c r="C29" s="19">
        <v>3</v>
      </c>
      <c r="D29" s="19">
        <v>3</v>
      </c>
      <c r="E29" s="32">
        <v>3</v>
      </c>
      <c r="F29" s="38">
        <v>2.5</v>
      </c>
      <c r="G29" s="19">
        <v>3</v>
      </c>
      <c r="H29" s="32">
        <v>3</v>
      </c>
      <c r="I29" s="19">
        <v>3</v>
      </c>
      <c r="J29" s="19">
        <v>3</v>
      </c>
    </row>
    <row r="30" spans="1:10" x14ac:dyDescent="0.75">
      <c r="A30" s="40">
        <f t="shared" si="0"/>
        <v>12</v>
      </c>
      <c r="B30" s="31">
        <v>3</v>
      </c>
      <c r="C30" s="18">
        <v>3</v>
      </c>
      <c r="D30" s="18">
        <v>3</v>
      </c>
      <c r="E30" s="31">
        <v>3</v>
      </c>
      <c r="F30" s="37">
        <v>3</v>
      </c>
      <c r="G30" s="18">
        <v>3</v>
      </c>
      <c r="H30" s="31">
        <v>3</v>
      </c>
      <c r="I30" s="18">
        <v>2.75</v>
      </c>
      <c r="J30" s="18">
        <v>2.75</v>
      </c>
    </row>
    <row r="31" spans="1:10" x14ac:dyDescent="0.75">
      <c r="A31" s="40">
        <f t="shared" si="0"/>
        <v>13</v>
      </c>
      <c r="B31" s="31">
        <v>2</v>
      </c>
      <c r="C31" s="18">
        <v>3</v>
      </c>
      <c r="D31" s="18">
        <v>3</v>
      </c>
      <c r="E31" s="31">
        <v>3</v>
      </c>
      <c r="F31" s="37">
        <v>3</v>
      </c>
      <c r="G31" s="18">
        <v>3</v>
      </c>
      <c r="H31" s="31">
        <v>3</v>
      </c>
      <c r="I31" s="18">
        <v>3</v>
      </c>
      <c r="J31" s="18">
        <v>3</v>
      </c>
    </row>
    <row r="32" spans="1:10" x14ac:dyDescent="0.75">
      <c r="A32" s="40">
        <f t="shared" si="0"/>
        <v>14</v>
      </c>
      <c r="B32" s="31">
        <v>3</v>
      </c>
      <c r="C32" s="18">
        <v>3</v>
      </c>
      <c r="D32" s="18">
        <v>3</v>
      </c>
      <c r="E32" s="31">
        <v>3</v>
      </c>
      <c r="F32" s="37">
        <v>3</v>
      </c>
      <c r="G32" s="18">
        <v>3</v>
      </c>
      <c r="H32" s="31">
        <v>3</v>
      </c>
      <c r="I32" s="18">
        <v>2.75</v>
      </c>
      <c r="J32" s="18">
        <v>2.75</v>
      </c>
    </row>
    <row r="33" spans="1:10" x14ac:dyDescent="0.75">
      <c r="A33" s="40">
        <f t="shared" si="0"/>
        <v>15</v>
      </c>
      <c r="B33" s="31">
        <v>3</v>
      </c>
      <c r="C33" s="18">
        <v>2</v>
      </c>
      <c r="D33" s="18">
        <v>3</v>
      </c>
      <c r="E33" s="31">
        <v>2</v>
      </c>
      <c r="F33" s="37">
        <v>3</v>
      </c>
      <c r="G33" s="18">
        <v>3</v>
      </c>
      <c r="H33" s="31">
        <v>3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3</v>
      </c>
      <c r="F34" s="37">
        <v>3</v>
      </c>
      <c r="G34" s="18">
        <v>2.5</v>
      </c>
      <c r="H34" s="31">
        <v>2.5</v>
      </c>
      <c r="I34" s="18">
        <v>2.5</v>
      </c>
      <c r="J34" s="18">
        <v>2.5</v>
      </c>
    </row>
    <row r="35" spans="1:10" x14ac:dyDescent="0.75">
      <c r="A35" s="40">
        <f t="shared" si="0"/>
        <v>17</v>
      </c>
      <c r="B35" s="32">
        <v>2</v>
      </c>
      <c r="C35" s="19">
        <v>3</v>
      </c>
      <c r="D35" s="19">
        <v>3</v>
      </c>
      <c r="E35" s="32">
        <v>3</v>
      </c>
      <c r="F35" s="38">
        <v>3</v>
      </c>
      <c r="G35" s="19">
        <v>3</v>
      </c>
      <c r="H35" s="32">
        <v>3</v>
      </c>
      <c r="I35" s="19">
        <v>3</v>
      </c>
      <c r="J35" s="19">
        <v>3</v>
      </c>
    </row>
    <row r="36" spans="1:10" x14ac:dyDescent="0.75">
      <c r="A36" s="40">
        <f t="shared" si="0"/>
        <v>18</v>
      </c>
      <c r="B36" s="31">
        <v>2</v>
      </c>
      <c r="C36" s="18">
        <v>3</v>
      </c>
      <c r="D36" s="18">
        <v>3</v>
      </c>
      <c r="E36" s="31">
        <v>3</v>
      </c>
      <c r="F36" s="37">
        <v>3</v>
      </c>
      <c r="G36" s="18">
        <v>3</v>
      </c>
      <c r="H36" s="31">
        <v>3</v>
      </c>
      <c r="I36" s="18">
        <v>3</v>
      </c>
      <c r="J36" s="18">
        <v>3</v>
      </c>
    </row>
    <row r="37" spans="1:10" x14ac:dyDescent="0.75">
      <c r="A37" s="40">
        <f t="shared" si="0"/>
        <v>19</v>
      </c>
      <c r="B37" s="31">
        <v>3</v>
      </c>
      <c r="C37" s="18">
        <v>3</v>
      </c>
      <c r="D37" s="18">
        <v>3</v>
      </c>
      <c r="E37" s="31">
        <v>3</v>
      </c>
      <c r="F37" s="37">
        <v>3</v>
      </c>
      <c r="G37" s="18">
        <v>3</v>
      </c>
      <c r="H37" s="31">
        <v>3</v>
      </c>
      <c r="I37" s="18">
        <v>2</v>
      </c>
      <c r="J37" s="18">
        <v>2</v>
      </c>
    </row>
    <row r="38" spans="1:10" x14ac:dyDescent="0.75">
      <c r="A38" s="40">
        <f t="shared" si="0"/>
        <v>20</v>
      </c>
      <c r="B38" s="31">
        <v>2.5</v>
      </c>
      <c r="C38" s="18">
        <v>3</v>
      </c>
      <c r="D38" s="18">
        <v>3</v>
      </c>
      <c r="E38" s="31">
        <v>3</v>
      </c>
      <c r="F38" s="37">
        <v>3</v>
      </c>
      <c r="G38" s="18">
        <v>3</v>
      </c>
      <c r="H38" s="31">
        <v>3</v>
      </c>
      <c r="I38" s="18">
        <v>3</v>
      </c>
      <c r="J38" s="18">
        <v>3</v>
      </c>
    </row>
    <row r="39" spans="1:10" x14ac:dyDescent="0.75">
      <c r="A39" s="40">
        <f t="shared" si="0"/>
        <v>21</v>
      </c>
      <c r="B39" s="32">
        <v>3</v>
      </c>
      <c r="C39" s="19">
        <v>3</v>
      </c>
      <c r="D39" s="19">
        <v>3</v>
      </c>
      <c r="E39" s="32">
        <v>3</v>
      </c>
      <c r="F39" s="38">
        <v>3</v>
      </c>
      <c r="G39" s="19">
        <v>3</v>
      </c>
      <c r="H39" s="32">
        <v>3</v>
      </c>
      <c r="I39" s="19">
        <v>3</v>
      </c>
      <c r="J39" s="19">
        <v>3</v>
      </c>
    </row>
    <row r="40" spans="1:10" x14ac:dyDescent="0.75">
      <c r="A40" s="40">
        <f t="shared" si="0"/>
        <v>22</v>
      </c>
      <c r="B40" s="31">
        <v>3</v>
      </c>
      <c r="C40" s="18">
        <v>3</v>
      </c>
      <c r="D40" s="18">
        <v>3</v>
      </c>
      <c r="E40" s="31">
        <v>3</v>
      </c>
      <c r="F40" s="37">
        <v>3</v>
      </c>
      <c r="G40" s="18">
        <v>3</v>
      </c>
      <c r="H40" s="31">
        <v>3</v>
      </c>
      <c r="I40" s="18">
        <v>2.75</v>
      </c>
      <c r="J40" s="18">
        <v>2.75</v>
      </c>
    </row>
    <row r="41" spans="1:10" x14ac:dyDescent="0.75">
      <c r="A41" s="40">
        <f t="shared" si="0"/>
        <v>23</v>
      </c>
      <c r="B41" s="31">
        <v>3</v>
      </c>
      <c r="C41" s="18">
        <v>3</v>
      </c>
      <c r="D41" s="18">
        <v>3</v>
      </c>
      <c r="E41" s="31">
        <v>3</v>
      </c>
      <c r="F41" s="37">
        <v>3</v>
      </c>
      <c r="G41" s="18">
        <v>3</v>
      </c>
      <c r="H41" s="31">
        <v>3</v>
      </c>
      <c r="I41" s="18">
        <v>3</v>
      </c>
      <c r="J41" s="18">
        <v>3</v>
      </c>
    </row>
    <row r="42" spans="1:10" x14ac:dyDescent="0.75">
      <c r="A42" s="40">
        <f t="shared" si="0"/>
        <v>24</v>
      </c>
      <c r="B42" s="31">
        <v>3</v>
      </c>
      <c r="C42" s="18">
        <v>3</v>
      </c>
      <c r="D42" s="18">
        <v>3</v>
      </c>
      <c r="E42" s="31">
        <v>2</v>
      </c>
      <c r="F42" s="37">
        <v>3</v>
      </c>
      <c r="G42" s="18">
        <v>2.5</v>
      </c>
      <c r="H42" s="31">
        <v>2.5</v>
      </c>
      <c r="I42" s="18">
        <v>3</v>
      </c>
      <c r="J42" s="18">
        <v>3</v>
      </c>
    </row>
    <row r="43" spans="1:10" x14ac:dyDescent="0.75">
      <c r="A43" s="40">
        <f t="shared" si="0"/>
        <v>25</v>
      </c>
      <c r="B43" s="31">
        <v>3</v>
      </c>
      <c r="C43" s="18">
        <v>3</v>
      </c>
      <c r="D43" s="18">
        <v>3</v>
      </c>
      <c r="E43" s="31">
        <v>3</v>
      </c>
      <c r="F43" s="37">
        <v>3</v>
      </c>
      <c r="G43" s="18">
        <v>3</v>
      </c>
      <c r="H43" s="31">
        <v>3</v>
      </c>
      <c r="I43" s="18">
        <v>3</v>
      </c>
      <c r="J43" s="18">
        <v>3</v>
      </c>
    </row>
    <row r="44" spans="1:10" x14ac:dyDescent="0.75">
      <c r="A44" s="40">
        <f t="shared" si="0"/>
        <v>26</v>
      </c>
      <c r="B44" s="32">
        <v>2</v>
      </c>
      <c r="C44" s="19">
        <v>3</v>
      </c>
      <c r="D44" s="19">
        <v>3</v>
      </c>
      <c r="E44" s="32">
        <v>3</v>
      </c>
      <c r="F44" s="38">
        <v>3</v>
      </c>
      <c r="G44" s="19">
        <v>2.5</v>
      </c>
      <c r="H44" s="32">
        <v>2.5</v>
      </c>
      <c r="I44" s="19">
        <v>3</v>
      </c>
      <c r="J44" s="19">
        <v>3</v>
      </c>
    </row>
    <row r="45" spans="1:10" x14ac:dyDescent="0.75">
      <c r="A45" s="40">
        <f t="shared" si="0"/>
        <v>27</v>
      </c>
      <c r="B45" s="31">
        <v>3</v>
      </c>
      <c r="C45" s="18">
        <v>3</v>
      </c>
      <c r="D45" s="18">
        <v>2</v>
      </c>
      <c r="E45" s="31">
        <v>3</v>
      </c>
      <c r="F45" s="37">
        <v>3</v>
      </c>
      <c r="G45" s="18">
        <v>2.5</v>
      </c>
      <c r="H45" s="31">
        <v>2.5</v>
      </c>
      <c r="I45" s="18">
        <v>1</v>
      </c>
      <c r="J45" s="18">
        <v>1</v>
      </c>
    </row>
    <row r="46" spans="1:10" x14ac:dyDescent="0.75">
      <c r="A46" s="40">
        <f t="shared" si="0"/>
        <v>28</v>
      </c>
      <c r="B46" s="31">
        <v>3</v>
      </c>
      <c r="C46" s="18">
        <v>3</v>
      </c>
      <c r="D46" s="18">
        <v>3</v>
      </c>
      <c r="E46" s="31">
        <v>3</v>
      </c>
      <c r="F46" s="37">
        <v>3</v>
      </c>
      <c r="G46" s="18">
        <v>3</v>
      </c>
      <c r="H46" s="31">
        <v>3</v>
      </c>
      <c r="I46" s="18">
        <v>3</v>
      </c>
      <c r="J46" s="18">
        <v>3</v>
      </c>
    </row>
    <row r="47" spans="1:10" x14ac:dyDescent="0.75">
      <c r="A47" s="40">
        <f t="shared" si="0"/>
        <v>29</v>
      </c>
      <c r="B47" s="31">
        <v>2</v>
      </c>
      <c r="C47" s="18">
        <v>3</v>
      </c>
      <c r="D47" s="18">
        <v>2</v>
      </c>
      <c r="E47" s="31">
        <v>3</v>
      </c>
      <c r="F47" s="37">
        <v>3</v>
      </c>
      <c r="G47" s="18">
        <v>3</v>
      </c>
      <c r="H47" s="31">
        <v>3</v>
      </c>
      <c r="I47" s="18">
        <v>3</v>
      </c>
      <c r="J47" s="18">
        <v>3</v>
      </c>
    </row>
    <row r="48" spans="1:10" x14ac:dyDescent="0.75">
      <c r="A48" s="40">
        <f t="shared" si="0"/>
        <v>30</v>
      </c>
      <c r="B48" s="31">
        <v>3</v>
      </c>
      <c r="C48" s="18">
        <v>3</v>
      </c>
      <c r="D48" s="18">
        <v>3</v>
      </c>
      <c r="E48" s="31">
        <v>3</v>
      </c>
      <c r="F48" s="37">
        <v>3</v>
      </c>
      <c r="G48" s="18">
        <v>3</v>
      </c>
      <c r="H48" s="31">
        <v>3</v>
      </c>
      <c r="I48" s="18">
        <v>2</v>
      </c>
      <c r="J48" s="18">
        <v>2</v>
      </c>
    </row>
    <row r="49" spans="1:10" x14ac:dyDescent="0.75">
      <c r="A49" s="40">
        <f t="shared" si="0"/>
        <v>31</v>
      </c>
      <c r="B49" s="32">
        <v>3</v>
      </c>
      <c r="C49" s="19">
        <v>3</v>
      </c>
      <c r="D49" s="19">
        <v>3</v>
      </c>
      <c r="E49" s="32">
        <v>3</v>
      </c>
      <c r="F49" s="38">
        <v>3</v>
      </c>
      <c r="G49" s="19">
        <v>3</v>
      </c>
      <c r="H49" s="32">
        <v>3</v>
      </c>
      <c r="I49" s="19">
        <v>3</v>
      </c>
      <c r="J49" s="19">
        <v>3</v>
      </c>
    </row>
    <row r="50" spans="1:10" x14ac:dyDescent="0.75">
      <c r="A50" s="40">
        <f t="shared" si="0"/>
        <v>32</v>
      </c>
      <c r="B50" s="31">
        <v>3</v>
      </c>
      <c r="C50" s="18">
        <v>3</v>
      </c>
      <c r="D50" s="18">
        <v>1</v>
      </c>
      <c r="E50" s="31">
        <v>3</v>
      </c>
      <c r="F50" s="37">
        <v>3</v>
      </c>
      <c r="G50" s="18">
        <v>1</v>
      </c>
      <c r="H50" s="31">
        <v>1</v>
      </c>
      <c r="I50" s="18">
        <v>1</v>
      </c>
      <c r="J50" s="18">
        <v>1</v>
      </c>
    </row>
    <row r="51" spans="1:10" x14ac:dyDescent="0.75">
      <c r="A51" s="40">
        <f t="shared" si="0"/>
        <v>33</v>
      </c>
      <c r="B51" s="31">
        <v>3</v>
      </c>
      <c r="C51" s="18">
        <v>3</v>
      </c>
      <c r="D51" s="18">
        <v>3</v>
      </c>
      <c r="E51" s="31">
        <v>3</v>
      </c>
      <c r="F51" s="37">
        <v>3</v>
      </c>
      <c r="G51" s="18">
        <v>3</v>
      </c>
      <c r="H51" s="31">
        <v>3</v>
      </c>
      <c r="I51" s="18">
        <v>1</v>
      </c>
      <c r="J51" s="18">
        <v>1</v>
      </c>
    </row>
    <row r="52" spans="1:10" x14ac:dyDescent="0.75">
      <c r="A52" s="40">
        <f t="shared" si="0"/>
        <v>34</v>
      </c>
      <c r="B52" s="31">
        <v>3</v>
      </c>
      <c r="C52" s="18">
        <v>3</v>
      </c>
      <c r="D52" s="18">
        <v>3</v>
      </c>
      <c r="E52" s="31">
        <v>3</v>
      </c>
      <c r="F52" s="37">
        <v>3</v>
      </c>
      <c r="G52" s="18">
        <v>3</v>
      </c>
      <c r="H52" s="31">
        <v>3</v>
      </c>
      <c r="I52" s="18">
        <v>3</v>
      </c>
      <c r="J52" s="18">
        <v>3</v>
      </c>
    </row>
    <row r="53" spans="1:10" x14ac:dyDescent="0.75">
      <c r="A53" s="40">
        <f t="shared" si="0"/>
        <v>35</v>
      </c>
      <c r="B53" s="31">
        <v>3</v>
      </c>
      <c r="C53" s="18">
        <v>3</v>
      </c>
      <c r="D53" s="18">
        <v>3</v>
      </c>
      <c r="E53" s="31">
        <v>3</v>
      </c>
      <c r="F53" s="37">
        <v>3</v>
      </c>
      <c r="G53" s="18">
        <v>3</v>
      </c>
      <c r="H53" s="31">
        <v>3</v>
      </c>
      <c r="I53" s="18">
        <v>2.75</v>
      </c>
      <c r="J53" s="18">
        <v>2.75</v>
      </c>
    </row>
    <row r="54" spans="1:10" x14ac:dyDescent="0.75">
      <c r="A54" s="40">
        <f t="shared" si="0"/>
        <v>36</v>
      </c>
      <c r="B54" s="32">
        <v>3</v>
      </c>
      <c r="C54" s="19">
        <v>3</v>
      </c>
      <c r="D54" s="19">
        <v>3</v>
      </c>
      <c r="E54" s="32">
        <v>3</v>
      </c>
      <c r="F54" s="38">
        <v>3</v>
      </c>
      <c r="G54" s="19">
        <v>3</v>
      </c>
      <c r="H54" s="32">
        <v>3</v>
      </c>
      <c r="I54" s="19">
        <v>3</v>
      </c>
      <c r="J54" s="19">
        <v>3</v>
      </c>
    </row>
    <row r="55" spans="1:10" x14ac:dyDescent="0.75">
      <c r="A55" s="40">
        <f t="shared" si="0"/>
        <v>37</v>
      </c>
      <c r="B55" s="31">
        <v>2</v>
      </c>
      <c r="C55" s="18">
        <v>3</v>
      </c>
      <c r="D55" s="18">
        <v>3</v>
      </c>
      <c r="E55" s="31">
        <v>3</v>
      </c>
      <c r="F55" s="37">
        <v>3</v>
      </c>
      <c r="G55" s="18">
        <v>3</v>
      </c>
      <c r="H55" s="31">
        <v>3</v>
      </c>
      <c r="I55" s="18">
        <v>2.75</v>
      </c>
      <c r="J55" s="18">
        <v>2.75</v>
      </c>
    </row>
    <row r="56" spans="1:10" x14ac:dyDescent="0.75">
      <c r="A56" s="40">
        <f t="shared" si="0"/>
        <v>38</v>
      </c>
      <c r="B56" s="31">
        <v>3</v>
      </c>
      <c r="C56" s="18">
        <v>3</v>
      </c>
      <c r="D56" s="18">
        <v>3</v>
      </c>
      <c r="E56" s="31">
        <v>3</v>
      </c>
      <c r="F56" s="37">
        <v>3</v>
      </c>
      <c r="G56" s="18">
        <v>3</v>
      </c>
      <c r="H56" s="31">
        <v>3</v>
      </c>
      <c r="I56" s="18">
        <v>2</v>
      </c>
      <c r="J56" s="18">
        <v>2</v>
      </c>
    </row>
    <row r="57" spans="1:10" x14ac:dyDescent="0.75">
      <c r="A57" s="40">
        <f t="shared" si="0"/>
        <v>39</v>
      </c>
      <c r="B57" s="31">
        <v>3</v>
      </c>
      <c r="C57" s="18">
        <v>3</v>
      </c>
      <c r="D57" s="18">
        <v>3</v>
      </c>
      <c r="E57" s="31">
        <v>3</v>
      </c>
      <c r="F57" s="37">
        <v>3</v>
      </c>
      <c r="G57" s="18">
        <v>3</v>
      </c>
      <c r="H57" s="31">
        <v>3</v>
      </c>
      <c r="I57" s="18">
        <v>3</v>
      </c>
      <c r="J57" s="18">
        <v>3</v>
      </c>
    </row>
    <row r="58" spans="1:10" x14ac:dyDescent="0.75">
      <c r="A58" s="40">
        <f t="shared" si="0"/>
        <v>40</v>
      </c>
      <c r="B58" s="31">
        <v>3</v>
      </c>
      <c r="C58" s="18">
        <v>3</v>
      </c>
      <c r="D58" s="18">
        <v>3</v>
      </c>
      <c r="E58" s="31">
        <v>3</v>
      </c>
      <c r="F58" s="37">
        <v>3</v>
      </c>
      <c r="G58" s="18">
        <v>3</v>
      </c>
      <c r="H58" s="31">
        <v>3</v>
      </c>
      <c r="I58" s="18">
        <v>3</v>
      </c>
      <c r="J58" s="18">
        <v>3</v>
      </c>
    </row>
    <row r="59" spans="1:10" x14ac:dyDescent="0.75">
      <c r="A59" s="40">
        <f t="shared" si="0"/>
        <v>41</v>
      </c>
      <c r="B59" s="32">
        <v>3</v>
      </c>
      <c r="C59" s="19">
        <v>3</v>
      </c>
      <c r="D59" s="19">
        <v>3</v>
      </c>
      <c r="E59" s="32">
        <v>3</v>
      </c>
      <c r="F59" s="38">
        <v>3</v>
      </c>
      <c r="G59" s="19">
        <v>2.5</v>
      </c>
      <c r="H59" s="32">
        <v>2.5</v>
      </c>
      <c r="I59" s="19">
        <v>3</v>
      </c>
      <c r="J59" s="19">
        <v>3</v>
      </c>
    </row>
    <row r="60" spans="1:10" x14ac:dyDescent="0.75">
      <c r="A60" s="40">
        <f t="shared" si="0"/>
        <v>42</v>
      </c>
      <c r="B60" s="31"/>
      <c r="C60" s="18"/>
      <c r="D60" s="18"/>
      <c r="E60" s="31"/>
      <c r="F60" s="37"/>
      <c r="G60" s="18"/>
      <c r="H60" s="31"/>
      <c r="I60" s="18"/>
      <c r="J60" s="18"/>
    </row>
    <row r="61" spans="1:10" x14ac:dyDescent="0.75">
      <c r="A61" s="40">
        <f t="shared" si="0"/>
        <v>43</v>
      </c>
      <c r="B61" s="31"/>
      <c r="C61" s="18"/>
      <c r="D61" s="18"/>
      <c r="E61" s="31"/>
      <c r="F61" s="37"/>
      <c r="G61" s="18"/>
      <c r="H61" s="31"/>
      <c r="I61" s="18"/>
      <c r="J61" s="18"/>
    </row>
    <row r="62" spans="1:10" x14ac:dyDescent="0.75">
      <c r="A62" s="40">
        <f t="shared" si="0"/>
        <v>44</v>
      </c>
      <c r="B62" s="31"/>
      <c r="C62" s="18"/>
      <c r="D62" s="18"/>
      <c r="E62" s="31"/>
      <c r="F62" s="37"/>
      <c r="G62" s="18"/>
      <c r="H62" s="31"/>
      <c r="I62" s="18"/>
      <c r="J62" s="18"/>
    </row>
    <row r="63" spans="1:10" x14ac:dyDescent="0.75">
      <c r="A63" s="40">
        <f t="shared" si="0"/>
        <v>45</v>
      </c>
      <c r="B63" s="31"/>
      <c r="C63" s="18"/>
      <c r="D63" s="18"/>
      <c r="E63" s="31"/>
      <c r="F63" s="37"/>
      <c r="G63" s="18"/>
      <c r="H63" s="31"/>
      <c r="I63" s="18"/>
      <c r="J63" s="18"/>
    </row>
    <row r="64" spans="1:10" x14ac:dyDescent="0.75">
      <c r="A64" s="40">
        <f t="shared" si="0"/>
        <v>46</v>
      </c>
      <c r="B64" s="31"/>
      <c r="C64" s="18"/>
      <c r="D64" s="18"/>
      <c r="E64" s="31"/>
      <c r="F64" s="37"/>
      <c r="G64" s="18"/>
      <c r="H64" s="31"/>
      <c r="I64" s="18"/>
      <c r="J64" s="18"/>
    </row>
    <row r="65" spans="1:10" x14ac:dyDescent="0.75">
      <c r="A65" s="40">
        <f t="shared" si="0"/>
        <v>47</v>
      </c>
      <c r="B65" s="31"/>
      <c r="C65" s="18"/>
      <c r="D65" s="18"/>
      <c r="E65" s="31"/>
      <c r="F65" s="37"/>
      <c r="G65" s="18"/>
      <c r="H65" s="31"/>
      <c r="I65" s="18"/>
      <c r="J65" s="18"/>
    </row>
    <row r="66" spans="1:10" x14ac:dyDescent="0.75">
      <c r="A66" s="40">
        <f t="shared" si="0"/>
        <v>48</v>
      </c>
      <c r="B66" s="31"/>
      <c r="C66" s="18"/>
      <c r="D66" s="18"/>
      <c r="E66" s="31"/>
      <c r="F66" s="37"/>
      <c r="G66" s="18"/>
      <c r="H66" s="31"/>
      <c r="I66" s="18"/>
      <c r="J66" s="18"/>
    </row>
    <row r="67" spans="1:10" x14ac:dyDescent="0.75">
      <c r="A67" s="40">
        <f t="shared" si="0"/>
        <v>49</v>
      </c>
      <c r="B67" s="31"/>
      <c r="C67" s="18"/>
      <c r="D67" s="18"/>
      <c r="E67" s="31"/>
      <c r="F67" s="37"/>
      <c r="G67" s="18"/>
      <c r="H67" s="31"/>
      <c r="I67" s="18"/>
      <c r="J67" s="18"/>
    </row>
    <row r="68" spans="1:10" x14ac:dyDescent="0.75">
      <c r="A68" s="40">
        <f t="shared" si="0"/>
        <v>50</v>
      </c>
      <c r="B68" s="31"/>
      <c r="C68" s="18"/>
      <c r="D68" s="18"/>
      <c r="E68" s="31"/>
      <c r="F68" s="37"/>
      <c r="G68" s="18"/>
      <c r="H68" s="31"/>
      <c r="I68" s="18"/>
      <c r="J68" s="18"/>
    </row>
    <row r="69" spans="1:10" x14ac:dyDescent="0.75">
      <c r="A69" s="40"/>
      <c r="B69" s="31"/>
      <c r="C69" s="18"/>
      <c r="D69" s="18"/>
      <c r="E69" s="31"/>
      <c r="F69" s="37"/>
      <c r="G69" s="18"/>
      <c r="H69" s="31"/>
      <c r="I69" s="18"/>
      <c r="J69" s="18"/>
    </row>
    <row r="70" spans="1:10" x14ac:dyDescent="0.75">
      <c r="A70" s="40"/>
      <c r="B70" s="31"/>
      <c r="C70" s="18"/>
      <c r="D70" s="18"/>
      <c r="E70" s="31"/>
      <c r="F70" s="37"/>
      <c r="G70" s="18"/>
      <c r="H70" s="31"/>
      <c r="I70" s="18"/>
      <c r="J70" s="18"/>
    </row>
    <row r="71" spans="1:10" x14ac:dyDescent="0.75">
      <c r="A71" s="40"/>
      <c r="B71" s="31"/>
      <c r="C71" s="18"/>
      <c r="D71" s="18"/>
      <c r="E71" s="31"/>
      <c r="F71" s="37"/>
      <c r="G71" s="18"/>
      <c r="H71" s="31"/>
      <c r="I71" s="18"/>
      <c r="J71" s="18"/>
    </row>
    <row r="72" spans="1:10" x14ac:dyDescent="0.75">
      <c r="A72" s="40"/>
      <c r="B72" s="31"/>
      <c r="C72" s="18"/>
      <c r="D72" s="18"/>
      <c r="E72" s="31"/>
      <c r="F72" s="37"/>
      <c r="G72" s="18"/>
      <c r="H72" s="31"/>
      <c r="I72" s="18"/>
      <c r="J72" s="18"/>
    </row>
    <row r="73" spans="1:10" x14ac:dyDescent="0.75">
      <c r="A73" s="40"/>
      <c r="B73" s="31"/>
      <c r="C73" s="18"/>
      <c r="D73" s="18"/>
      <c r="E73" s="31"/>
      <c r="F73" s="37"/>
      <c r="G73" s="18"/>
      <c r="H73" s="31"/>
      <c r="I73" s="18"/>
      <c r="J73" s="18"/>
    </row>
    <row r="74" spans="1:10" x14ac:dyDescent="0.75">
      <c r="A74" s="40"/>
      <c r="B74" s="31"/>
      <c r="C74" s="18"/>
      <c r="D74" s="18"/>
      <c r="E74" s="31"/>
      <c r="F74" s="37"/>
      <c r="G74" s="18"/>
      <c r="H74" s="31"/>
      <c r="I74" s="18"/>
      <c r="J74" s="18"/>
    </row>
    <row r="75" spans="1:10" x14ac:dyDescent="0.75">
      <c r="A75" s="40"/>
      <c r="B75" s="31"/>
      <c r="C75" s="18"/>
      <c r="D75" s="18"/>
      <c r="E75" s="31"/>
      <c r="F75" s="37"/>
      <c r="G75" s="18"/>
      <c r="H75" s="31"/>
      <c r="I75" s="18"/>
      <c r="J75" s="18"/>
    </row>
    <row r="76" spans="1:10" x14ac:dyDescent="0.75">
      <c r="A76" s="40"/>
      <c r="B76" s="31"/>
      <c r="C76" s="18"/>
      <c r="D76" s="18"/>
      <c r="E76" s="31"/>
      <c r="F76" s="37"/>
      <c r="G76" s="18"/>
      <c r="H76" s="31"/>
      <c r="I76" s="18"/>
      <c r="J76" s="18"/>
    </row>
    <row r="77" spans="1:10" x14ac:dyDescent="0.75">
      <c r="A77" s="40"/>
      <c r="B77" s="31"/>
      <c r="C77" s="18"/>
      <c r="D77" s="18"/>
      <c r="E77" s="31"/>
      <c r="F77" s="37"/>
      <c r="G77" s="18"/>
      <c r="H77" s="31"/>
      <c r="I77" s="18"/>
      <c r="J77" s="18"/>
    </row>
    <row r="78" spans="1:10" x14ac:dyDescent="0.75">
      <c r="A78" s="40"/>
      <c r="B78" s="31"/>
      <c r="C78" s="18"/>
      <c r="D78" s="18"/>
      <c r="E78" s="31"/>
      <c r="F78" s="37"/>
      <c r="G78" s="18"/>
      <c r="H78" s="31"/>
      <c r="I78" s="18"/>
      <c r="J78" s="18"/>
    </row>
    <row r="79" spans="1:10" x14ac:dyDescent="0.75">
      <c r="A79" s="40"/>
      <c r="B79" s="31"/>
      <c r="C79" s="18"/>
      <c r="D79" s="18"/>
    </row>
    <row r="80" spans="1:10" x14ac:dyDescent="0.75">
      <c r="A80" s="45"/>
      <c r="B80" s="18"/>
      <c r="C80" s="18"/>
      <c r="D80" s="18"/>
      <c r="E80" s="18"/>
      <c r="F80" s="18"/>
      <c r="G80" s="18"/>
      <c r="H80" s="18"/>
      <c r="I80" s="18"/>
      <c r="J80" s="18"/>
    </row>
    <row r="81" spans="1:10" x14ac:dyDescent="0.75">
      <c r="A81" s="15"/>
    </row>
    <row r="83" spans="1:10" x14ac:dyDescent="0.75">
      <c r="A83" s="11" t="s">
        <v>54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75">
      <c r="A84" s="12" t="s">
        <v>13</v>
      </c>
      <c r="B84" s="20">
        <v>1</v>
      </c>
      <c r="C84" s="20">
        <v>2</v>
      </c>
      <c r="D84" s="20">
        <v>3</v>
      </c>
      <c r="E84" s="20">
        <v>4</v>
      </c>
      <c r="F84" s="20">
        <v>5</v>
      </c>
      <c r="G84" s="20">
        <v>6</v>
      </c>
      <c r="H84" s="20">
        <v>7</v>
      </c>
      <c r="I84" s="20">
        <v>8</v>
      </c>
      <c r="J84" s="20">
        <v>9</v>
      </c>
    </row>
    <row r="85" spans="1:10" x14ac:dyDescent="0.75">
      <c r="A85" s="13" t="s">
        <v>10</v>
      </c>
      <c r="B85" s="20">
        <v>7</v>
      </c>
      <c r="C85" s="20">
        <v>4</v>
      </c>
      <c r="D85" s="20">
        <v>4</v>
      </c>
      <c r="E85" s="20">
        <v>4</v>
      </c>
      <c r="F85" s="20">
        <v>5</v>
      </c>
      <c r="G85" s="20" t="s">
        <v>16</v>
      </c>
      <c r="H85" s="20">
        <v>1</v>
      </c>
      <c r="I85" s="20" t="s">
        <v>17</v>
      </c>
      <c r="J85" s="20">
        <v>1</v>
      </c>
    </row>
    <row r="86" spans="1:10" x14ac:dyDescent="0.75">
      <c r="A86" s="14" t="s">
        <v>3</v>
      </c>
      <c r="B86" s="21">
        <f t="shared" ref="B86:J86" si="1">AVERAGE(B19:B78)</f>
        <v>2.78125</v>
      </c>
      <c r="C86" s="21">
        <f t="shared" si="1"/>
        <v>2.9249999999999998</v>
      </c>
      <c r="D86" s="21">
        <f t="shared" si="1"/>
        <v>2.8687499999999999</v>
      </c>
      <c r="E86" s="21">
        <f t="shared" si="1"/>
        <v>2.95</v>
      </c>
      <c r="F86" s="21">
        <f t="shared" si="1"/>
        <v>2.9874999999999998</v>
      </c>
      <c r="G86" s="21">
        <f t="shared" si="1"/>
        <v>2.8875000000000002</v>
      </c>
      <c r="H86" s="21">
        <f t="shared" si="1"/>
        <v>2.8875000000000002</v>
      </c>
      <c r="I86" s="21">
        <f t="shared" si="1"/>
        <v>2.7124999999999999</v>
      </c>
      <c r="J86" s="21">
        <f t="shared" si="1"/>
        <v>2.7124999999999999</v>
      </c>
    </row>
    <row r="87" spans="1:10" x14ac:dyDescent="0.75">
      <c r="A87" s="13" t="s">
        <v>4</v>
      </c>
      <c r="B87" s="22">
        <f t="shared" ref="B87:J87" si="2">STDEV(B19:B78)</f>
        <v>0.40504629365049127</v>
      </c>
      <c r="C87" s="22">
        <f t="shared" si="2"/>
        <v>0.26674678283691872</v>
      </c>
      <c r="D87" s="22">
        <f t="shared" si="2"/>
        <v>0.40425421996433747</v>
      </c>
      <c r="E87" s="22">
        <f t="shared" si="2"/>
        <v>0.22072142786315219</v>
      </c>
      <c r="F87" s="22">
        <f t="shared" si="2"/>
        <v>7.9056941504209444E-2</v>
      </c>
      <c r="G87" s="22">
        <f t="shared" si="2"/>
        <v>0.34876154516318852</v>
      </c>
      <c r="H87" s="22">
        <f t="shared" si="2"/>
        <v>0.34876154516318852</v>
      </c>
      <c r="I87" s="22">
        <f t="shared" si="2"/>
        <v>0.56769326314977664</v>
      </c>
      <c r="J87" s="22">
        <f t="shared" si="2"/>
        <v>0.56769326314977664</v>
      </c>
    </row>
    <row r="88" spans="1:10" x14ac:dyDescent="0.75">
      <c r="A88" s="14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75">
      <c r="A89" s="14" t="s">
        <v>19</v>
      </c>
      <c r="B89" s="5">
        <f>AVERAGE(B86:J86)</f>
        <v>2.8569444444444438</v>
      </c>
      <c r="C89" s="3"/>
      <c r="D89" s="3"/>
      <c r="E89" s="3"/>
      <c r="F89" s="3"/>
      <c r="G89" s="3"/>
      <c r="H89" s="3"/>
      <c r="I89" s="3"/>
      <c r="J89" s="3"/>
    </row>
    <row r="90" spans="1:10" x14ac:dyDescent="0.75">
      <c r="A90" s="13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75">
      <c r="A91" s="14"/>
      <c r="B91" s="3"/>
      <c r="C91" s="3"/>
      <c r="D91" s="3"/>
      <c r="E91" s="3"/>
      <c r="F91" s="3"/>
      <c r="G91" s="3"/>
      <c r="H91" s="3"/>
      <c r="I91" s="3"/>
      <c r="J91" s="3"/>
    </row>
    <row r="93" spans="1:10" x14ac:dyDescent="0.75">
      <c r="A93" s="6" t="s">
        <v>12</v>
      </c>
      <c r="B93" s="4"/>
      <c r="C93" s="4"/>
      <c r="D93" s="4"/>
      <c r="E93" s="4"/>
      <c r="F93" s="4"/>
      <c r="G93" s="9"/>
    </row>
    <row r="94" spans="1:10" x14ac:dyDescent="0.75">
      <c r="A94" s="6"/>
      <c r="B94" s="24">
        <v>1</v>
      </c>
      <c r="C94" s="24">
        <v>2</v>
      </c>
      <c r="D94" s="24">
        <v>4</v>
      </c>
      <c r="E94" s="24">
        <v>5</v>
      </c>
      <c r="F94" s="17">
        <v>6</v>
      </c>
      <c r="G94" s="17">
        <v>7</v>
      </c>
    </row>
    <row r="95" spans="1:10" x14ac:dyDescent="0.75">
      <c r="A95" s="4" t="s">
        <v>6</v>
      </c>
      <c r="B95" s="25">
        <f>AVERAGE(G86,H86,I86,J86)</f>
        <v>2.8000000000000003</v>
      </c>
      <c r="C95" s="25">
        <f>AVERAGE(G86)</f>
        <v>2.8875000000000002</v>
      </c>
      <c r="D95" s="25">
        <f>AVERAGE(C86,D86,E86)</f>
        <v>2.9145833333333329</v>
      </c>
      <c r="E95" s="25">
        <f>AVERAGE(F86)</f>
        <v>2.9874999999999998</v>
      </c>
      <c r="F95" s="25">
        <f>AVERAGE(I86)</f>
        <v>2.7124999999999999</v>
      </c>
      <c r="G95" s="25">
        <f>AVERAGE(B86)</f>
        <v>2.78125</v>
      </c>
      <c r="I95" s="23"/>
    </row>
    <row r="96" spans="1:10" x14ac:dyDescent="0.75">
      <c r="A96" s="4" t="s">
        <v>7</v>
      </c>
      <c r="B96" s="25">
        <f>STDEV(G86,H86,I86,J86)</f>
        <v>0.10103629710818467</v>
      </c>
      <c r="C96" s="25" t="s">
        <v>18</v>
      </c>
      <c r="D96" s="25">
        <f>STDEV(C86,D86,E86)</f>
        <v>4.1614550740496303E-2</v>
      </c>
      <c r="E96" s="25" t="s">
        <v>18</v>
      </c>
      <c r="F96" s="26" t="s">
        <v>18</v>
      </c>
      <c r="G96" s="26" t="s">
        <v>18</v>
      </c>
      <c r="I96" s="23"/>
    </row>
    <row r="98" spans="2:2" x14ac:dyDescent="0.75">
      <c r="B98" s="23"/>
    </row>
    <row r="152" spans="8:10" x14ac:dyDescent="0.75">
      <c r="H152" s="7"/>
      <c r="I152" s="7"/>
      <c r="J152" s="7"/>
    </row>
    <row r="174" spans="2:2" x14ac:dyDescent="0.75">
      <c r="B174" s="8"/>
    </row>
    <row r="175" spans="2:2" x14ac:dyDescent="0.75">
      <c r="B175" s="8"/>
    </row>
    <row r="176" spans="2:2" x14ac:dyDescent="0.75">
      <c r="B176" s="8"/>
    </row>
    <row r="177" spans="1:2" x14ac:dyDescent="0.75">
      <c r="B177" s="8"/>
    </row>
    <row r="179" spans="1:2" x14ac:dyDescent="0.75">
      <c r="A179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AA09-4754-48B9-8DB0-F7B4EC98650C}">
  <dimension ref="A1:P182"/>
  <sheetViews>
    <sheetView zoomScale="90" zoomScaleNormal="90" workbookViewId="0">
      <selection activeCell="A19" sqref="A19:A68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3</v>
      </c>
      <c r="D19" s="18">
        <v>3</v>
      </c>
      <c r="E19" s="31">
        <v>3</v>
      </c>
      <c r="F19" s="37">
        <v>3</v>
      </c>
      <c r="G19" s="18">
        <v>3</v>
      </c>
      <c r="H19" s="31">
        <v>3</v>
      </c>
      <c r="I19" s="18">
        <v>2.75</v>
      </c>
      <c r="J19" s="18">
        <v>2.75</v>
      </c>
    </row>
    <row r="20" spans="1:10" x14ac:dyDescent="0.75">
      <c r="A20" s="40">
        <f>A19+1</f>
        <v>2</v>
      </c>
      <c r="B20" s="31">
        <v>3</v>
      </c>
      <c r="C20" s="18">
        <v>3</v>
      </c>
      <c r="D20" s="18">
        <v>3</v>
      </c>
      <c r="E20" s="31">
        <v>3</v>
      </c>
      <c r="F20" s="37">
        <v>3</v>
      </c>
      <c r="G20" s="18">
        <v>2.75</v>
      </c>
      <c r="H20" s="31">
        <v>2.75</v>
      </c>
      <c r="I20" s="18">
        <v>2.75</v>
      </c>
      <c r="J20" s="18">
        <v>2.75</v>
      </c>
    </row>
    <row r="21" spans="1:10" x14ac:dyDescent="0.75">
      <c r="A21" s="40">
        <f>A20+1</f>
        <v>3</v>
      </c>
      <c r="B21" s="31">
        <v>3</v>
      </c>
      <c r="C21" s="18">
        <v>3</v>
      </c>
      <c r="D21" s="18">
        <v>3</v>
      </c>
      <c r="E21" s="31">
        <v>3</v>
      </c>
      <c r="F21" s="37">
        <v>3</v>
      </c>
      <c r="G21" s="18">
        <v>3</v>
      </c>
      <c r="H21" s="31">
        <v>3</v>
      </c>
      <c r="I21" s="18">
        <v>2.75</v>
      </c>
      <c r="J21" s="18">
        <v>2.75</v>
      </c>
    </row>
    <row r="22" spans="1:10" x14ac:dyDescent="0.75">
      <c r="A22" s="40">
        <f t="shared" ref="A22:A74" si="0">A21+1</f>
        <v>4</v>
      </c>
      <c r="B22" s="31">
        <v>2.5</v>
      </c>
      <c r="C22" s="18">
        <v>2</v>
      </c>
      <c r="D22" s="18">
        <v>3</v>
      </c>
      <c r="E22" s="31">
        <v>3</v>
      </c>
      <c r="F22" s="37">
        <v>3</v>
      </c>
      <c r="G22" s="18">
        <v>2.5</v>
      </c>
      <c r="H22" s="31">
        <v>2.5</v>
      </c>
      <c r="I22" s="18">
        <v>2</v>
      </c>
      <c r="J22" s="18">
        <v>2</v>
      </c>
    </row>
    <row r="23" spans="1:10" x14ac:dyDescent="0.75">
      <c r="A23" s="40">
        <f t="shared" si="0"/>
        <v>5</v>
      </c>
      <c r="B23" s="32">
        <v>3</v>
      </c>
      <c r="C23" s="19">
        <v>3</v>
      </c>
      <c r="D23" s="19">
        <v>3</v>
      </c>
      <c r="E23" s="32">
        <v>3</v>
      </c>
      <c r="F23" s="38">
        <v>3</v>
      </c>
      <c r="G23" s="19">
        <v>3</v>
      </c>
      <c r="H23" s="32">
        <v>3</v>
      </c>
      <c r="I23" s="19">
        <v>3</v>
      </c>
      <c r="J23" s="19">
        <v>3</v>
      </c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3</v>
      </c>
      <c r="F24" s="37">
        <v>3</v>
      </c>
      <c r="G24" s="18">
        <v>3</v>
      </c>
      <c r="H24" s="31">
        <v>3</v>
      </c>
      <c r="I24" s="18">
        <v>3</v>
      </c>
      <c r="J24" s="18">
        <v>3</v>
      </c>
    </row>
    <row r="25" spans="1:10" x14ac:dyDescent="0.75">
      <c r="A25" s="40">
        <f t="shared" si="0"/>
        <v>7</v>
      </c>
      <c r="B25" s="31">
        <v>3</v>
      </c>
      <c r="C25" s="18">
        <v>3</v>
      </c>
      <c r="D25" s="18">
        <v>3</v>
      </c>
      <c r="E25" s="31">
        <v>3</v>
      </c>
      <c r="F25" s="37">
        <v>3</v>
      </c>
      <c r="G25" s="18">
        <v>3</v>
      </c>
      <c r="H25" s="31">
        <v>3</v>
      </c>
      <c r="I25" s="18">
        <v>2</v>
      </c>
      <c r="J25" s="18">
        <v>2</v>
      </c>
    </row>
    <row r="26" spans="1:10" x14ac:dyDescent="0.75">
      <c r="A26" s="40">
        <f t="shared" si="0"/>
        <v>8</v>
      </c>
      <c r="B26" s="31">
        <v>2</v>
      </c>
      <c r="C26" s="18">
        <v>3</v>
      </c>
      <c r="D26" s="18">
        <v>3</v>
      </c>
      <c r="E26" s="31">
        <v>3</v>
      </c>
      <c r="F26" s="37">
        <v>3</v>
      </c>
      <c r="G26" s="18">
        <v>3</v>
      </c>
      <c r="H26" s="31">
        <v>2.75</v>
      </c>
      <c r="I26" s="18">
        <v>3</v>
      </c>
      <c r="J26" s="18">
        <v>3</v>
      </c>
    </row>
    <row r="27" spans="1:10" x14ac:dyDescent="0.75">
      <c r="A27" s="40">
        <f t="shared" si="0"/>
        <v>9</v>
      </c>
      <c r="B27" s="31">
        <v>2</v>
      </c>
      <c r="C27" s="18">
        <v>3</v>
      </c>
      <c r="D27" s="18">
        <v>3</v>
      </c>
      <c r="E27" s="31">
        <v>3</v>
      </c>
      <c r="F27" s="37">
        <v>3</v>
      </c>
      <c r="G27" s="18">
        <v>3</v>
      </c>
      <c r="H27" s="31">
        <v>3</v>
      </c>
      <c r="I27" s="18">
        <v>2.5</v>
      </c>
      <c r="J27" s="18">
        <v>2.5</v>
      </c>
    </row>
    <row r="28" spans="1:10" x14ac:dyDescent="0.75">
      <c r="A28" s="40">
        <f t="shared" si="0"/>
        <v>10</v>
      </c>
      <c r="B28" s="31">
        <v>3</v>
      </c>
      <c r="C28" s="18">
        <v>3</v>
      </c>
      <c r="D28" s="18">
        <v>3</v>
      </c>
      <c r="E28" s="31">
        <v>3</v>
      </c>
      <c r="F28" s="37">
        <v>3</v>
      </c>
      <c r="G28" s="18">
        <v>3</v>
      </c>
      <c r="H28" s="31">
        <v>3</v>
      </c>
      <c r="I28" s="18">
        <v>2</v>
      </c>
      <c r="J28" s="18">
        <v>2</v>
      </c>
    </row>
    <row r="29" spans="1:10" x14ac:dyDescent="0.75">
      <c r="A29" s="40">
        <f t="shared" si="0"/>
        <v>11</v>
      </c>
      <c r="B29" s="32">
        <v>3</v>
      </c>
      <c r="C29" s="19">
        <v>3</v>
      </c>
      <c r="D29" s="19">
        <v>2.5</v>
      </c>
      <c r="E29" s="32">
        <v>3</v>
      </c>
      <c r="F29" s="38">
        <v>3</v>
      </c>
      <c r="G29" s="19">
        <v>3</v>
      </c>
      <c r="H29" s="32">
        <v>3</v>
      </c>
      <c r="I29" s="19">
        <v>3</v>
      </c>
      <c r="J29" s="19">
        <v>3</v>
      </c>
    </row>
    <row r="30" spans="1:10" x14ac:dyDescent="0.75">
      <c r="A30" s="40">
        <f t="shared" si="0"/>
        <v>12</v>
      </c>
      <c r="B30" s="31">
        <v>3</v>
      </c>
      <c r="C30" s="18">
        <v>3</v>
      </c>
      <c r="D30" s="18">
        <v>3</v>
      </c>
      <c r="E30" s="31">
        <v>3</v>
      </c>
      <c r="F30" s="37">
        <v>3</v>
      </c>
      <c r="G30" s="18">
        <v>3</v>
      </c>
      <c r="H30" s="31">
        <v>3</v>
      </c>
      <c r="I30" s="18">
        <v>3</v>
      </c>
      <c r="J30" s="18">
        <v>3</v>
      </c>
    </row>
    <row r="31" spans="1:10" x14ac:dyDescent="0.75">
      <c r="A31" s="40">
        <f t="shared" si="0"/>
        <v>13</v>
      </c>
      <c r="B31" s="31">
        <v>3</v>
      </c>
      <c r="C31" s="18">
        <v>3</v>
      </c>
      <c r="D31" s="18">
        <v>3</v>
      </c>
      <c r="E31" s="31">
        <v>3</v>
      </c>
      <c r="F31" s="37">
        <v>3</v>
      </c>
      <c r="G31" s="18">
        <v>3</v>
      </c>
      <c r="H31" s="31">
        <v>3</v>
      </c>
      <c r="I31" s="18">
        <v>2</v>
      </c>
      <c r="J31" s="18">
        <v>2.5</v>
      </c>
    </row>
    <row r="32" spans="1:10" x14ac:dyDescent="0.75">
      <c r="A32" s="40">
        <f t="shared" si="0"/>
        <v>14</v>
      </c>
      <c r="B32" s="31">
        <v>2</v>
      </c>
      <c r="C32" s="18">
        <v>3</v>
      </c>
      <c r="D32" s="18">
        <v>3</v>
      </c>
      <c r="E32" s="31">
        <v>2</v>
      </c>
      <c r="F32" s="37">
        <v>3</v>
      </c>
      <c r="G32" s="18">
        <v>3</v>
      </c>
      <c r="H32" s="31">
        <v>2</v>
      </c>
      <c r="I32" s="18">
        <v>3</v>
      </c>
      <c r="J32" s="18">
        <v>2.75</v>
      </c>
    </row>
    <row r="33" spans="1:10" x14ac:dyDescent="0.75">
      <c r="A33" s="40">
        <f t="shared" si="0"/>
        <v>15</v>
      </c>
      <c r="B33" s="31">
        <v>3</v>
      </c>
      <c r="C33" s="18">
        <v>3</v>
      </c>
      <c r="D33" s="18">
        <v>3</v>
      </c>
      <c r="E33" s="31">
        <v>3</v>
      </c>
      <c r="F33" s="37">
        <v>3</v>
      </c>
      <c r="G33" s="18">
        <v>3</v>
      </c>
      <c r="H33" s="31">
        <v>3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3</v>
      </c>
      <c r="F34" s="37">
        <v>3</v>
      </c>
      <c r="G34" s="18">
        <v>3</v>
      </c>
      <c r="H34" s="31">
        <v>3</v>
      </c>
      <c r="I34" s="18">
        <v>2.75</v>
      </c>
      <c r="J34" s="18">
        <v>2.75</v>
      </c>
    </row>
    <row r="35" spans="1:10" x14ac:dyDescent="0.75">
      <c r="A35" s="40">
        <f t="shared" si="0"/>
        <v>17</v>
      </c>
      <c r="B35" s="32">
        <v>3</v>
      </c>
      <c r="C35" s="19">
        <v>3</v>
      </c>
      <c r="D35" s="19">
        <v>3</v>
      </c>
      <c r="E35" s="32">
        <v>3</v>
      </c>
      <c r="F35" s="38">
        <v>3</v>
      </c>
      <c r="G35" s="19">
        <v>3</v>
      </c>
      <c r="H35" s="32">
        <v>3</v>
      </c>
      <c r="I35" s="19">
        <v>2.75</v>
      </c>
      <c r="J35" s="19">
        <v>2.75</v>
      </c>
    </row>
    <row r="36" spans="1:10" x14ac:dyDescent="0.75">
      <c r="A36" s="40">
        <f t="shared" si="0"/>
        <v>18</v>
      </c>
      <c r="B36" s="31">
        <v>3</v>
      </c>
      <c r="C36" s="18">
        <v>1</v>
      </c>
      <c r="D36" s="18">
        <v>1</v>
      </c>
      <c r="E36" s="31">
        <v>1</v>
      </c>
      <c r="F36" s="37">
        <v>1</v>
      </c>
      <c r="G36" s="18">
        <v>3</v>
      </c>
      <c r="H36" s="31">
        <v>3</v>
      </c>
      <c r="I36" s="18">
        <v>2.75</v>
      </c>
      <c r="J36" s="18">
        <v>2.75</v>
      </c>
    </row>
    <row r="37" spans="1:10" x14ac:dyDescent="0.75">
      <c r="A37" s="40">
        <f t="shared" si="0"/>
        <v>19</v>
      </c>
      <c r="B37" s="31">
        <v>2.5</v>
      </c>
      <c r="C37" s="18">
        <v>3</v>
      </c>
      <c r="D37" s="18">
        <v>3</v>
      </c>
      <c r="E37" s="31">
        <v>1</v>
      </c>
      <c r="F37" s="37">
        <v>3</v>
      </c>
      <c r="G37" s="18">
        <v>3</v>
      </c>
      <c r="H37" s="31">
        <v>3</v>
      </c>
      <c r="I37" s="18">
        <v>3</v>
      </c>
      <c r="J37" s="18">
        <v>3</v>
      </c>
    </row>
    <row r="38" spans="1:10" x14ac:dyDescent="0.75">
      <c r="A38" s="40">
        <f t="shared" si="0"/>
        <v>20</v>
      </c>
      <c r="B38" s="31">
        <v>3</v>
      </c>
      <c r="C38" s="18">
        <v>3</v>
      </c>
      <c r="D38" s="18">
        <v>3</v>
      </c>
      <c r="E38" s="31">
        <v>3</v>
      </c>
      <c r="F38" s="37">
        <v>3</v>
      </c>
      <c r="G38" s="18">
        <v>3</v>
      </c>
      <c r="H38" s="31">
        <v>2</v>
      </c>
      <c r="I38" s="18">
        <v>2.5</v>
      </c>
      <c r="J38" s="18">
        <v>2.5</v>
      </c>
    </row>
    <row r="39" spans="1:10" x14ac:dyDescent="0.75">
      <c r="A39" s="40">
        <f t="shared" si="0"/>
        <v>21</v>
      </c>
      <c r="B39" s="32">
        <v>3</v>
      </c>
      <c r="C39" s="19">
        <v>2.75</v>
      </c>
      <c r="D39" s="19">
        <v>3</v>
      </c>
      <c r="E39" s="32">
        <v>1</v>
      </c>
      <c r="F39" s="38">
        <v>3</v>
      </c>
      <c r="G39" s="19">
        <v>3</v>
      </c>
      <c r="H39" s="32">
        <v>3</v>
      </c>
      <c r="I39" s="19">
        <v>1</v>
      </c>
      <c r="J39" s="19">
        <v>1</v>
      </c>
    </row>
    <row r="40" spans="1:10" x14ac:dyDescent="0.75">
      <c r="A40" s="40">
        <f t="shared" si="0"/>
        <v>22</v>
      </c>
      <c r="B40" s="31">
        <v>3</v>
      </c>
      <c r="C40" s="18">
        <v>3</v>
      </c>
      <c r="D40" s="18">
        <v>3</v>
      </c>
      <c r="E40" s="31">
        <v>3</v>
      </c>
      <c r="F40" s="37">
        <v>3</v>
      </c>
      <c r="G40" s="18">
        <v>3</v>
      </c>
      <c r="H40" s="31">
        <v>3</v>
      </c>
      <c r="I40" s="18">
        <v>3</v>
      </c>
      <c r="J40" s="18">
        <v>3</v>
      </c>
    </row>
    <row r="41" spans="1:10" x14ac:dyDescent="0.75">
      <c r="A41" s="40">
        <f t="shared" si="0"/>
        <v>23</v>
      </c>
      <c r="B41" s="31">
        <v>1</v>
      </c>
      <c r="C41" s="18">
        <v>3</v>
      </c>
      <c r="D41" s="18">
        <v>3</v>
      </c>
      <c r="E41" s="31">
        <v>3</v>
      </c>
      <c r="F41" s="37">
        <v>3</v>
      </c>
      <c r="G41" s="18">
        <v>3</v>
      </c>
      <c r="H41" s="31">
        <v>3</v>
      </c>
      <c r="I41" s="18">
        <v>2</v>
      </c>
      <c r="J41" s="18">
        <v>2</v>
      </c>
    </row>
    <row r="42" spans="1:10" x14ac:dyDescent="0.75">
      <c r="A42" s="40">
        <f t="shared" si="0"/>
        <v>24</v>
      </c>
      <c r="B42" s="31">
        <v>2</v>
      </c>
      <c r="C42" s="18">
        <v>3</v>
      </c>
      <c r="D42" s="18">
        <v>3</v>
      </c>
      <c r="E42" s="31">
        <v>3</v>
      </c>
      <c r="F42" s="37">
        <v>3</v>
      </c>
      <c r="G42" s="18">
        <v>3</v>
      </c>
      <c r="H42" s="31">
        <v>3</v>
      </c>
      <c r="I42" s="18">
        <v>2.75</v>
      </c>
      <c r="J42" s="18">
        <v>2.75</v>
      </c>
    </row>
    <row r="43" spans="1:10" x14ac:dyDescent="0.75">
      <c r="A43" s="40">
        <f t="shared" si="0"/>
        <v>25</v>
      </c>
      <c r="B43" s="31">
        <v>3</v>
      </c>
      <c r="C43" s="18">
        <v>3</v>
      </c>
      <c r="D43" s="18">
        <v>3</v>
      </c>
      <c r="E43" s="31">
        <v>3</v>
      </c>
      <c r="F43" s="37">
        <v>3</v>
      </c>
      <c r="G43" s="18">
        <v>3</v>
      </c>
      <c r="H43" s="31">
        <v>3</v>
      </c>
      <c r="I43" s="18">
        <v>3</v>
      </c>
      <c r="J43" s="18">
        <v>3</v>
      </c>
    </row>
    <row r="44" spans="1:10" x14ac:dyDescent="0.75">
      <c r="A44" s="40">
        <f t="shared" si="0"/>
        <v>26</v>
      </c>
      <c r="B44" s="32">
        <v>3</v>
      </c>
      <c r="C44" s="19">
        <v>3</v>
      </c>
      <c r="D44" s="19">
        <v>3</v>
      </c>
      <c r="E44" s="32">
        <v>3</v>
      </c>
      <c r="F44" s="38">
        <v>3</v>
      </c>
      <c r="G44" s="19">
        <v>1</v>
      </c>
      <c r="H44" s="32">
        <v>1</v>
      </c>
      <c r="I44" s="19">
        <v>3</v>
      </c>
      <c r="J44" s="19">
        <v>3</v>
      </c>
    </row>
    <row r="45" spans="1:10" x14ac:dyDescent="0.75">
      <c r="A45" s="40">
        <f t="shared" si="0"/>
        <v>27</v>
      </c>
      <c r="B45" s="31">
        <v>3</v>
      </c>
      <c r="C45" s="18">
        <v>3</v>
      </c>
      <c r="D45" s="18">
        <v>3</v>
      </c>
      <c r="E45" s="31">
        <v>3</v>
      </c>
      <c r="F45" s="37">
        <v>3</v>
      </c>
      <c r="G45" s="18">
        <v>3</v>
      </c>
      <c r="H45" s="31">
        <v>3</v>
      </c>
      <c r="I45" s="18">
        <v>2.75</v>
      </c>
      <c r="J45" s="18">
        <v>2.75</v>
      </c>
    </row>
    <row r="46" spans="1:10" x14ac:dyDescent="0.75">
      <c r="A46" s="40">
        <f t="shared" si="0"/>
        <v>28</v>
      </c>
      <c r="B46" s="31">
        <v>3</v>
      </c>
      <c r="C46" s="18">
        <v>3</v>
      </c>
      <c r="D46" s="18">
        <v>3</v>
      </c>
      <c r="E46" s="31">
        <v>3</v>
      </c>
      <c r="F46" s="37">
        <v>3</v>
      </c>
      <c r="G46" s="18">
        <v>3</v>
      </c>
      <c r="H46" s="31">
        <v>3</v>
      </c>
      <c r="I46" s="18">
        <v>3</v>
      </c>
      <c r="J46" s="18">
        <v>3</v>
      </c>
    </row>
    <row r="47" spans="1:10" x14ac:dyDescent="0.75">
      <c r="A47" s="40">
        <f t="shared" si="0"/>
        <v>29</v>
      </c>
      <c r="B47" s="31">
        <v>3</v>
      </c>
      <c r="C47" s="18">
        <v>3</v>
      </c>
      <c r="D47" s="18">
        <v>3</v>
      </c>
      <c r="E47" s="31">
        <v>3</v>
      </c>
      <c r="F47" s="37">
        <v>3</v>
      </c>
      <c r="G47" s="18">
        <v>3</v>
      </c>
      <c r="H47" s="31">
        <v>3</v>
      </c>
      <c r="I47" s="18">
        <v>3</v>
      </c>
      <c r="J47" s="18">
        <v>3</v>
      </c>
    </row>
    <row r="48" spans="1:10" x14ac:dyDescent="0.75">
      <c r="A48" s="40">
        <f t="shared" si="0"/>
        <v>30</v>
      </c>
      <c r="B48" s="31">
        <v>3</v>
      </c>
      <c r="C48" s="18">
        <v>3</v>
      </c>
      <c r="D48" s="18">
        <v>3</v>
      </c>
      <c r="E48" s="31">
        <v>3</v>
      </c>
      <c r="F48" s="37">
        <v>3</v>
      </c>
      <c r="G48" s="18">
        <v>3</v>
      </c>
      <c r="H48" s="31">
        <v>3</v>
      </c>
      <c r="I48" s="18">
        <v>3</v>
      </c>
      <c r="J48" s="18">
        <v>3</v>
      </c>
    </row>
    <row r="49" spans="1:10" x14ac:dyDescent="0.75">
      <c r="A49" s="40">
        <f t="shared" si="0"/>
        <v>31</v>
      </c>
      <c r="B49" s="32">
        <v>3</v>
      </c>
      <c r="C49" s="19">
        <v>2.5</v>
      </c>
      <c r="D49" s="19">
        <v>3</v>
      </c>
      <c r="E49" s="32">
        <v>3</v>
      </c>
      <c r="F49" s="38">
        <v>3</v>
      </c>
      <c r="G49" s="19">
        <v>3</v>
      </c>
      <c r="H49" s="32">
        <v>3</v>
      </c>
      <c r="I49" s="19">
        <v>3</v>
      </c>
      <c r="J49" s="19">
        <v>3</v>
      </c>
    </row>
    <row r="50" spans="1:10" x14ac:dyDescent="0.75">
      <c r="A50" s="40">
        <f t="shared" si="0"/>
        <v>32</v>
      </c>
      <c r="B50" s="31">
        <v>3</v>
      </c>
      <c r="C50" s="18">
        <v>3</v>
      </c>
      <c r="D50" s="18">
        <v>3</v>
      </c>
      <c r="E50" s="31">
        <v>3</v>
      </c>
      <c r="F50" s="37">
        <v>3</v>
      </c>
      <c r="G50" s="18">
        <v>3</v>
      </c>
      <c r="H50" s="31">
        <v>3</v>
      </c>
      <c r="I50" s="18">
        <v>3</v>
      </c>
      <c r="J50" s="18">
        <v>3</v>
      </c>
    </row>
    <row r="51" spans="1:10" x14ac:dyDescent="0.75">
      <c r="A51" s="40">
        <f t="shared" si="0"/>
        <v>33</v>
      </c>
      <c r="B51" s="31">
        <v>2</v>
      </c>
      <c r="C51" s="18">
        <v>3</v>
      </c>
      <c r="D51" s="18">
        <v>3</v>
      </c>
      <c r="E51" s="31">
        <v>3</v>
      </c>
      <c r="F51" s="37">
        <v>3</v>
      </c>
      <c r="G51" s="18">
        <v>3</v>
      </c>
      <c r="H51" s="31">
        <v>3</v>
      </c>
      <c r="I51" s="18">
        <v>3</v>
      </c>
      <c r="J51" s="18">
        <v>3</v>
      </c>
    </row>
    <row r="52" spans="1:10" x14ac:dyDescent="0.75">
      <c r="A52" s="40">
        <f t="shared" si="0"/>
        <v>34</v>
      </c>
      <c r="B52" s="31">
        <v>3</v>
      </c>
      <c r="C52" s="18">
        <v>3</v>
      </c>
      <c r="D52" s="18">
        <v>3</v>
      </c>
      <c r="E52" s="31">
        <v>3</v>
      </c>
      <c r="F52" s="37">
        <v>3</v>
      </c>
      <c r="G52" s="18">
        <v>3</v>
      </c>
      <c r="H52" s="31">
        <v>3</v>
      </c>
      <c r="I52" s="18">
        <v>3</v>
      </c>
      <c r="J52" s="18">
        <v>3</v>
      </c>
    </row>
    <row r="53" spans="1:10" x14ac:dyDescent="0.75">
      <c r="A53" s="40">
        <f t="shared" si="0"/>
        <v>35</v>
      </c>
      <c r="B53" s="31">
        <v>3</v>
      </c>
      <c r="C53" s="18">
        <v>3</v>
      </c>
      <c r="D53" s="18">
        <v>3</v>
      </c>
      <c r="E53" s="31">
        <v>3</v>
      </c>
      <c r="F53" s="37">
        <v>3</v>
      </c>
      <c r="G53" s="18">
        <v>3</v>
      </c>
      <c r="H53" s="31">
        <v>3</v>
      </c>
      <c r="I53" s="18">
        <v>3</v>
      </c>
      <c r="J53" s="18">
        <v>3</v>
      </c>
    </row>
    <row r="54" spans="1:10" x14ac:dyDescent="0.75">
      <c r="A54" s="40">
        <f t="shared" si="0"/>
        <v>36</v>
      </c>
      <c r="B54" s="32">
        <v>3</v>
      </c>
      <c r="C54" s="19">
        <v>3</v>
      </c>
      <c r="D54" s="19">
        <v>3</v>
      </c>
      <c r="E54" s="32">
        <v>3</v>
      </c>
      <c r="F54" s="38">
        <v>3</v>
      </c>
      <c r="G54" s="19">
        <v>1</v>
      </c>
      <c r="H54" s="32">
        <v>1</v>
      </c>
      <c r="I54" s="19">
        <v>1</v>
      </c>
      <c r="J54" s="19">
        <v>1</v>
      </c>
    </row>
    <row r="55" spans="1:10" x14ac:dyDescent="0.75">
      <c r="A55" s="40">
        <f t="shared" si="0"/>
        <v>37</v>
      </c>
      <c r="B55" s="31">
        <v>3</v>
      </c>
      <c r="C55" s="18">
        <v>2</v>
      </c>
      <c r="D55" s="18">
        <v>2</v>
      </c>
      <c r="E55" s="31">
        <v>3</v>
      </c>
      <c r="F55" s="37">
        <v>3</v>
      </c>
      <c r="G55" s="18">
        <v>3</v>
      </c>
      <c r="H55" s="31">
        <v>3</v>
      </c>
      <c r="I55" s="18">
        <v>3</v>
      </c>
      <c r="J55" s="18">
        <v>3</v>
      </c>
    </row>
    <row r="56" spans="1:10" x14ac:dyDescent="0.75">
      <c r="A56" s="40">
        <f t="shared" si="0"/>
        <v>38</v>
      </c>
      <c r="B56" s="31">
        <v>3</v>
      </c>
      <c r="C56" s="18">
        <v>3</v>
      </c>
      <c r="D56" s="18">
        <v>3</v>
      </c>
      <c r="E56" s="31">
        <v>3</v>
      </c>
      <c r="F56" s="37">
        <v>3</v>
      </c>
      <c r="G56" s="18">
        <v>3</v>
      </c>
      <c r="H56" s="31">
        <v>3</v>
      </c>
      <c r="I56" s="18">
        <v>3</v>
      </c>
      <c r="J56" s="18">
        <v>3</v>
      </c>
    </row>
    <row r="57" spans="1:10" x14ac:dyDescent="0.75">
      <c r="A57" s="40">
        <f t="shared" si="0"/>
        <v>39</v>
      </c>
      <c r="B57" s="31">
        <v>3</v>
      </c>
      <c r="C57" s="18">
        <v>3</v>
      </c>
      <c r="D57" s="18">
        <v>3</v>
      </c>
      <c r="E57" s="31">
        <v>2</v>
      </c>
      <c r="F57" s="37">
        <v>3</v>
      </c>
      <c r="G57" s="18">
        <v>2</v>
      </c>
      <c r="H57" s="31">
        <v>2</v>
      </c>
      <c r="I57" s="18">
        <v>1</v>
      </c>
      <c r="J57" s="18">
        <v>1</v>
      </c>
    </row>
    <row r="58" spans="1:10" x14ac:dyDescent="0.75">
      <c r="A58" s="40">
        <f t="shared" si="0"/>
        <v>40</v>
      </c>
      <c r="B58" s="31">
        <v>3</v>
      </c>
      <c r="C58" s="18">
        <v>1</v>
      </c>
      <c r="D58" s="18">
        <v>1</v>
      </c>
      <c r="E58" s="31">
        <v>1</v>
      </c>
      <c r="F58" s="37">
        <v>1</v>
      </c>
      <c r="G58" s="18">
        <v>1</v>
      </c>
      <c r="H58" s="31">
        <v>1</v>
      </c>
      <c r="I58" s="18">
        <v>1</v>
      </c>
      <c r="J58" s="18">
        <v>1</v>
      </c>
    </row>
    <row r="59" spans="1:10" x14ac:dyDescent="0.75">
      <c r="A59" s="40">
        <f t="shared" si="0"/>
        <v>41</v>
      </c>
      <c r="B59" s="32">
        <v>3</v>
      </c>
      <c r="C59" s="19">
        <v>1</v>
      </c>
      <c r="D59" s="19">
        <v>2</v>
      </c>
      <c r="E59" s="32">
        <v>1</v>
      </c>
      <c r="F59" s="38">
        <v>3</v>
      </c>
      <c r="G59" s="19">
        <v>3</v>
      </c>
      <c r="H59" s="32">
        <v>3</v>
      </c>
      <c r="I59" s="19">
        <v>2</v>
      </c>
      <c r="J59" s="19">
        <v>2</v>
      </c>
    </row>
    <row r="60" spans="1:10" x14ac:dyDescent="0.75">
      <c r="A60" s="40">
        <f t="shared" si="0"/>
        <v>42</v>
      </c>
      <c r="B60" s="31">
        <v>3</v>
      </c>
      <c r="C60" s="18">
        <v>3</v>
      </c>
      <c r="D60" s="18">
        <v>3</v>
      </c>
      <c r="E60" s="31">
        <v>3</v>
      </c>
      <c r="F60" s="37">
        <v>3</v>
      </c>
      <c r="G60" s="18">
        <v>3</v>
      </c>
      <c r="H60" s="31">
        <v>3</v>
      </c>
      <c r="I60" s="18">
        <v>3</v>
      </c>
      <c r="J60" s="18">
        <v>3</v>
      </c>
    </row>
    <row r="61" spans="1:10" x14ac:dyDescent="0.75">
      <c r="A61" s="40">
        <f t="shared" si="0"/>
        <v>43</v>
      </c>
      <c r="B61" s="31">
        <v>3</v>
      </c>
      <c r="C61" s="18">
        <v>3</v>
      </c>
      <c r="D61" s="18">
        <v>3</v>
      </c>
      <c r="E61" s="31">
        <v>3</v>
      </c>
      <c r="F61" s="37">
        <v>3</v>
      </c>
      <c r="G61" s="18">
        <v>3</v>
      </c>
      <c r="H61" s="31">
        <v>3</v>
      </c>
      <c r="I61" s="18">
        <v>3</v>
      </c>
      <c r="J61" s="18">
        <v>3</v>
      </c>
    </row>
    <row r="62" spans="1:10" x14ac:dyDescent="0.75">
      <c r="A62" s="40">
        <f t="shared" si="0"/>
        <v>44</v>
      </c>
      <c r="B62" s="31">
        <v>3</v>
      </c>
      <c r="C62" s="18">
        <v>2</v>
      </c>
      <c r="D62" s="18">
        <v>2</v>
      </c>
      <c r="E62" s="31">
        <v>1</v>
      </c>
      <c r="F62" s="37">
        <v>3</v>
      </c>
      <c r="G62" s="18">
        <v>2</v>
      </c>
      <c r="H62" s="31">
        <v>2</v>
      </c>
      <c r="I62" s="18">
        <v>2</v>
      </c>
      <c r="J62" s="18">
        <v>2</v>
      </c>
    </row>
    <row r="63" spans="1:10" x14ac:dyDescent="0.75">
      <c r="A63" s="40">
        <f t="shared" si="0"/>
        <v>45</v>
      </c>
      <c r="B63" s="31">
        <v>3</v>
      </c>
      <c r="C63" s="18">
        <v>3</v>
      </c>
      <c r="D63" s="18">
        <v>3</v>
      </c>
      <c r="E63" s="31">
        <v>1</v>
      </c>
      <c r="F63" s="37">
        <v>3</v>
      </c>
      <c r="G63" s="18">
        <v>3</v>
      </c>
      <c r="H63" s="31">
        <v>3</v>
      </c>
      <c r="I63" s="18">
        <v>3</v>
      </c>
      <c r="J63" s="18">
        <v>3</v>
      </c>
    </row>
    <row r="64" spans="1:10" x14ac:dyDescent="0.75">
      <c r="A64" s="40">
        <f t="shared" si="0"/>
        <v>46</v>
      </c>
      <c r="B64" s="31">
        <v>3</v>
      </c>
      <c r="C64" s="18">
        <v>2</v>
      </c>
      <c r="D64" s="18">
        <v>2</v>
      </c>
      <c r="E64" s="31">
        <v>2</v>
      </c>
      <c r="F64" s="37">
        <v>3</v>
      </c>
      <c r="G64" s="18">
        <v>3</v>
      </c>
      <c r="H64" s="31">
        <v>3</v>
      </c>
      <c r="I64" s="18">
        <v>3</v>
      </c>
      <c r="J64" s="18">
        <v>3</v>
      </c>
    </row>
    <row r="65" spans="1:10" x14ac:dyDescent="0.75">
      <c r="A65" s="40">
        <f t="shared" si="0"/>
        <v>47</v>
      </c>
      <c r="B65" s="31">
        <v>3</v>
      </c>
      <c r="C65" s="18">
        <v>3</v>
      </c>
      <c r="D65" s="18">
        <v>3</v>
      </c>
      <c r="E65" s="31">
        <v>3</v>
      </c>
      <c r="F65" s="37">
        <v>3</v>
      </c>
      <c r="G65" s="18">
        <v>3</v>
      </c>
      <c r="H65" s="31">
        <v>3</v>
      </c>
      <c r="I65" s="18">
        <v>3</v>
      </c>
      <c r="J65" s="18">
        <v>3</v>
      </c>
    </row>
    <row r="66" spans="1:10" x14ac:dyDescent="0.75">
      <c r="A66" s="40">
        <f t="shared" si="0"/>
        <v>48</v>
      </c>
      <c r="B66" s="31">
        <v>3</v>
      </c>
      <c r="C66" s="18">
        <v>3</v>
      </c>
      <c r="D66" s="18">
        <v>3</v>
      </c>
      <c r="E66" s="31">
        <v>3</v>
      </c>
      <c r="F66" s="37">
        <v>3</v>
      </c>
      <c r="G66" s="18">
        <v>3</v>
      </c>
      <c r="H66" s="31">
        <v>3</v>
      </c>
      <c r="I66" s="18">
        <v>3</v>
      </c>
      <c r="J66" s="18">
        <v>3</v>
      </c>
    </row>
    <row r="67" spans="1:10" x14ac:dyDescent="0.75">
      <c r="A67" s="40">
        <f t="shared" si="0"/>
        <v>49</v>
      </c>
      <c r="B67" s="31">
        <v>3</v>
      </c>
      <c r="C67" s="18">
        <v>1</v>
      </c>
      <c r="D67" s="18">
        <v>2</v>
      </c>
      <c r="E67" s="31">
        <v>3</v>
      </c>
      <c r="F67" s="37">
        <v>3</v>
      </c>
      <c r="G67" s="18">
        <v>3</v>
      </c>
      <c r="H67" s="31">
        <v>3</v>
      </c>
      <c r="I67" s="18">
        <v>3</v>
      </c>
      <c r="J67" s="18">
        <v>3</v>
      </c>
    </row>
    <row r="68" spans="1:10" x14ac:dyDescent="0.75">
      <c r="A68" s="40">
        <f t="shared" si="0"/>
        <v>50</v>
      </c>
      <c r="B68" s="31"/>
      <c r="C68" s="18"/>
      <c r="D68" s="18"/>
      <c r="E68" s="31"/>
      <c r="F68" s="37"/>
      <c r="G68" s="18"/>
      <c r="H68" s="31"/>
      <c r="I68" s="18"/>
      <c r="J68" s="18"/>
    </row>
    <row r="69" spans="1:10" x14ac:dyDescent="0.75">
      <c r="A69" s="40">
        <f t="shared" si="0"/>
        <v>51</v>
      </c>
      <c r="B69" s="31"/>
      <c r="C69" s="18"/>
      <c r="D69" s="18"/>
      <c r="E69" s="31"/>
      <c r="F69" s="37"/>
      <c r="G69" s="18"/>
      <c r="H69" s="31"/>
      <c r="I69" s="18"/>
      <c r="J69" s="18"/>
    </row>
    <row r="70" spans="1:10" x14ac:dyDescent="0.75">
      <c r="A70" s="40">
        <f t="shared" si="0"/>
        <v>52</v>
      </c>
      <c r="B70" s="31"/>
      <c r="C70" s="18"/>
      <c r="D70" s="18"/>
      <c r="E70" s="31"/>
      <c r="F70" s="37"/>
      <c r="G70" s="18"/>
      <c r="H70" s="31"/>
      <c r="I70" s="18"/>
      <c r="J70" s="18"/>
    </row>
    <row r="71" spans="1:10" x14ac:dyDescent="0.75">
      <c r="A71" s="40">
        <f t="shared" si="0"/>
        <v>53</v>
      </c>
      <c r="B71" s="31"/>
      <c r="C71" s="18"/>
      <c r="D71" s="18"/>
      <c r="E71" s="31"/>
      <c r="F71" s="37"/>
      <c r="G71" s="18"/>
      <c r="H71" s="31"/>
      <c r="I71" s="18"/>
      <c r="J71" s="18"/>
    </row>
    <row r="72" spans="1:10" x14ac:dyDescent="0.75">
      <c r="A72" s="40">
        <f t="shared" si="0"/>
        <v>54</v>
      </c>
      <c r="B72" s="31"/>
      <c r="C72" s="18"/>
      <c r="D72" s="18"/>
      <c r="E72" s="31"/>
      <c r="F72" s="37"/>
      <c r="G72" s="18"/>
      <c r="H72" s="31"/>
      <c r="I72" s="18"/>
      <c r="J72" s="18"/>
    </row>
    <row r="73" spans="1:10" x14ac:dyDescent="0.75">
      <c r="A73" s="40">
        <f t="shared" si="0"/>
        <v>55</v>
      </c>
      <c r="B73" s="31"/>
      <c r="C73" s="18"/>
      <c r="D73" s="18"/>
      <c r="E73" s="31"/>
      <c r="F73" s="37"/>
      <c r="G73" s="18"/>
      <c r="H73" s="31"/>
      <c r="I73" s="18"/>
      <c r="J73" s="18"/>
    </row>
    <row r="74" spans="1:10" x14ac:dyDescent="0.75">
      <c r="A74" s="40">
        <f t="shared" si="0"/>
        <v>56</v>
      </c>
      <c r="B74" s="31"/>
      <c r="C74" s="18"/>
      <c r="D74" s="18"/>
      <c r="E74" s="31"/>
      <c r="F74" s="37"/>
      <c r="G74" s="18"/>
      <c r="H74" s="31"/>
      <c r="I74" s="18"/>
      <c r="J74" s="18"/>
    </row>
    <row r="75" spans="1:10" x14ac:dyDescent="0.75">
      <c r="A75" s="40"/>
      <c r="B75" s="31"/>
      <c r="C75" s="18"/>
      <c r="D75" s="18"/>
      <c r="E75" s="31"/>
      <c r="F75" s="37"/>
      <c r="G75" s="18"/>
      <c r="H75" s="31"/>
      <c r="I75" s="18"/>
      <c r="J75" s="18"/>
    </row>
    <row r="76" spans="1:10" x14ac:dyDescent="0.75">
      <c r="A76" s="40"/>
      <c r="B76" s="31"/>
      <c r="C76" s="18"/>
      <c r="D76" s="18"/>
      <c r="E76" s="31"/>
      <c r="F76" s="37"/>
      <c r="G76" s="18"/>
      <c r="H76" s="31"/>
      <c r="I76" s="18"/>
      <c r="J76" s="18"/>
    </row>
    <row r="77" spans="1:10" x14ac:dyDescent="0.75">
      <c r="A77" s="40"/>
      <c r="B77" s="31"/>
      <c r="C77" s="18"/>
      <c r="D77" s="18"/>
      <c r="E77" s="31"/>
      <c r="F77" s="37"/>
      <c r="G77" s="18"/>
      <c r="H77" s="31"/>
      <c r="I77" s="18"/>
      <c r="J77" s="18"/>
    </row>
    <row r="78" spans="1:10" x14ac:dyDescent="0.75">
      <c r="A78" s="40"/>
      <c r="B78" s="31"/>
      <c r="C78" s="18"/>
      <c r="D78" s="18"/>
      <c r="E78" s="31"/>
      <c r="F78" s="37"/>
      <c r="G78" s="18"/>
      <c r="H78" s="31"/>
      <c r="I78" s="18"/>
      <c r="J78" s="18"/>
    </row>
    <row r="79" spans="1:10" x14ac:dyDescent="0.75">
      <c r="A79" s="40"/>
      <c r="B79" s="31"/>
      <c r="C79" s="18"/>
      <c r="D79" s="18"/>
      <c r="E79" s="31"/>
      <c r="F79" s="37"/>
      <c r="G79" s="18"/>
      <c r="H79" s="31"/>
      <c r="I79" s="18"/>
      <c r="J79" s="18"/>
    </row>
    <row r="80" spans="1:10" x14ac:dyDescent="0.75">
      <c r="A80" s="40"/>
      <c r="B80" s="31"/>
      <c r="C80" s="18"/>
      <c r="D80" s="18"/>
      <c r="E80" s="31"/>
      <c r="F80" s="37"/>
      <c r="G80" s="18"/>
      <c r="H80" s="31"/>
      <c r="I80" s="18"/>
      <c r="J80" s="18"/>
    </row>
    <row r="81" spans="1:10" x14ac:dyDescent="0.75">
      <c r="A81" s="40"/>
      <c r="B81" s="31"/>
      <c r="C81" s="18"/>
      <c r="D81" s="18"/>
      <c r="E81" s="31"/>
      <c r="F81" s="37"/>
      <c r="G81" s="18"/>
      <c r="H81" s="31"/>
      <c r="I81" s="18"/>
      <c r="J81" s="18"/>
    </row>
    <row r="82" spans="1:10" x14ac:dyDescent="0.75">
      <c r="A82" s="40"/>
      <c r="B82" s="31"/>
      <c r="C82" s="18"/>
      <c r="D82" s="18"/>
    </row>
    <row r="83" spans="1:10" x14ac:dyDescent="0.75">
      <c r="A83" s="45"/>
      <c r="B83" s="18"/>
      <c r="C83" s="18"/>
      <c r="D83" s="18"/>
      <c r="E83" s="18"/>
      <c r="F83" s="18"/>
      <c r="G83" s="18"/>
      <c r="H83" s="18"/>
      <c r="I83" s="18"/>
      <c r="J83" s="18"/>
    </row>
    <row r="84" spans="1:10" x14ac:dyDescent="0.75">
      <c r="A84" s="15"/>
    </row>
    <row r="86" spans="1:10" x14ac:dyDescent="0.75">
      <c r="A86" s="11" t="s">
        <v>54</v>
      </c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75">
      <c r="A87" s="12" t="s">
        <v>13</v>
      </c>
      <c r="B87" s="20">
        <v>1</v>
      </c>
      <c r="C87" s="20">
        <v>2</v>
      </c>
      <c r="D87" s="20">
        <v>3</v>
      </c>
      <c r="E87" s="20">
        <v>4</v>
      </c>
      <c r="F87" s="20">
        <v>5</v>
      </c>
      <c r="G87" s="20">
        <v>6</v>
      </c>
      <c r="H87" s="20">
        <v>7</v>
      </c>
      <c r="I87" s="20">
        <v>8</v>
      </c>
      <c r="J87" s="20">
        <v>9</v>
      </c>
    </row>
    <row r="88" spans="1:10" x14ac:dyDescent="0.75">
      <c r="A88" s="13" t="s">
        <v>10</v>
      </c>
      <c r="B88" s="20">
        <v>7</v>
      </c>
      <c r="C88" s="20">
        <v>4</v>
      </c>
      <c r="D88" s="20">
        <v>4</v>
      </c>
      <c r="E88" s="20">
        <v>4</v>
      </c>
      <c r="F88" s="20">
        <v>5</v>
      </c>
      <c r="G88" s="20" t="s">
        <v>16</v>
      </c>
      <c r="H88" s="20">
        <v>1</v>
      </c>
      <c r="I88" s="20" t="s">
        <v>17</v>
      </c>
      <c r="J88" s="20">
        <v>1</v>
      </c>
    </row>
    <row r="89" spans="1:10" x14ac:dyDescent="0.75">
      <c r="A89" s="14" t="s">
        <v>3</v>
      </c>
      <c r="B89" s="21">
        <f t="shared" ref="B89:J89" si="1">AVERAGE(B19:B81)</f>
        <v>2.8367346938775508</v>
      </c>
      <c r="C89" s="21">
        <f t="shared" si="1"/>
        <v>2.739795918367347</v>
      </c>
      <c r="D89" s="21">
        <f t="shared" si="1"/>
        <v>2.806122448979592</v>
      </c>
      <c r="E89" s="21">
        <f t="shared" si="1"/>
        <v>2.6530612244897958</v>
      </c>
      <c r="F89" s="21">
        <f t="shared" si="1"/>
        <v>2.9183673469387754</v>
      </c>
      <c r="G89" s="21">
        <f t="shared" si="1"/>
        <v>2.8214285714285716</v>
      </c>
      <c r="H89" s="21">
        <f t="shared" si="1"/>
        <v>2.7755102040816326</v>
      </c>
      <c r="I89" s="21">
        <f t="shared" si="1"/>
        <v>2.6326530612244898</v>
      </c>
      <c r="J89" s="21">
        <f t="shared" si="1"/>
        <v>2.6377551020408165</v>
      </c>
    </row>
    <row r="90" spans="1:10" x14ac:dyDescent="0.75">
      <c r="A90" s="13" t="s">
        <v>4</v>
      </c>
      <c r="B90" s="22">
        <f t="shared" ref="B90:J90" si="2">STDEV(B19:B81)</f>
        <v>0.4131655628351974</v>
      </c>
      <c r="C90" s="22">
        <f t="shared" si="2"/>
        <v>0.59502972543366262</v>
      </c>
      <c r="D90" s="22">
        <f t="shared" si="2"/>
        <v>0.48751417212960213</v>
      </c>
      <c r="E90" s="22">
        <f t="shared" si="2"/>
        <v>0.72315916897559207</v>
      </c>
      <c r="F90" s="22">
        <f t="shared" si="2"/>
        <v>0.39982989580349249</v>
      </c>
      <c r="G90" s="22">
        <f t="shared" si="2"/>
        <v>0.51538820320220757</v>
      </c>
      <c r="H90" s="22">
        <f t="shared" si="2"/>
        <v>0.53823810261076899</v>
      </c>
      <c r="I90" s="22">
        <f t="shared" si="2"/>
        <v>0.60186784094116885</v>
      </c>
      <c r="J90" s="22">
        <f t="shared" si="2"/>
        <v>0.59306149662198671</v>
      </c>
    </row>
    <row r="91" spans="1:10" x14ac:dyDescent="0.75">
      <c r="A91" s="14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75">
      <c r="A92" s="14" t="s">
        <v>19</v>
      </c>
      <c r="B92" s="5">
        <f>AVERAGE(B89:J89)</f>
        <v>2.7579365079365079</v>
      </c>
      <c r="C92" s="3"/>
      <c r="D92" s="3"/>
      <c r="E92" s="3"/>
      <c r="F92" s="3"/>
      <c r="G92" s="3"/>
      <c r="H92" s="3"/>
      <c r="I92" s="3"/>
      <c r="J92" s="3"/>
    </row>
    <row r="93" spans="1:10" x14ac:dyDescent="0.75">
      <c r="A93" s="13"/>
      <c r="B93" s="10"/>
      <c r="C93" s="10"/>
      <c r="D93" s="10"/>
      <c r="E93" s="10"/>
      <c r="F93" s="10"/>
      <c r="G93" s="10"/>
      <c r="H93" s="10"/>
      <c r="I93" s="10"/>
      <c r="J93" s="10"/>
    </row>
    <row r="94" spans="1:10" x14ac:dyDescent="0.75">
      <c r="A94" s="14"/>
      <c r="B94" s="3"/>
      <c r="C94" s="3"/>
      <c r="D94" s="3"/>
      <c r="E94" s="3"/>
      <c r="F94" s="3"/>
      <c r="G94" s="3"/>
      <c r="H94" s="3"/>
      <c r="I94" s="3"/>
      <c r="J94" s="3"/>
    </row>
    <row r="96" spans="1:10" x14ac:dyDescent="0.75">
      <c r="A96" s="6" t="s">
        <v>12</v>
      </c>
      <c r="B96" s="4"/>
      <c r="C96" s="4"/>
      <c r="D96" s="4"/>
      <c r="E96" s="4"/>
      <c r="F96" s="4"/>
      <c r="G96" s="9"/>
    </row>
    <row r="97" spans="1:9" x14ac:dyDescent="0.75">
      <c r="A97" s="6"/>
      <c r="B97" s="24">
        <v>1</v>
      </c>
      <c r="C97" s="24">
        <v>2</v>
      </c>
      <c r="D97" s="24">
        <v>4</v>
      </c>
      <c r="E97" s="24">
        <v>5</v>
      </c>
      <c r="F97" s="17">
        <v>6</v>
      </c>
      <c r="G97" s="17">
        <v>7</v>
      </c>
    </row>
    <row r="98" spans="1:9" x14ac:dyDescent="0.75">
      <c r="A98" s="4" t="s">
        <v>6</v>
      </c>
      <c r="B98" s="25">
        <f>AVERAGE(G89,H89,I89,J89)</f>
        <v>2.716836734693878</v>
      </c>
      <c r="C98" s="25">
        <f>AVERAGE(G89)</f>
        <v>2.8214285714285716</v>
      </c>
      <c r="D98" s="25">
        <f>AVERAGE(C89,D89,E89)</f>
        <v>2.7329931972789119</v>
      </c>
      <c r="E98" s="25">
        <f>AVERAGE(F89)</f>
        <v>2.9183673469387754</v>
      </c>
      <c r="F98" s="25">
        <f>AVERAGE(I89)</f>
        <v>2.6326530612244898</v>
      </c>
      <c r="G98" s="25">
        <f>AVERAGE(B89)</f>
        <v>2.8367346938775508</v>
      </c>
      <c r="I98" s="23"/>
    </row>
    <row r="99" spans="1:9" x14ac:dyDescent="0.75">
      <c r="A99" s="4" t="s">
        <v>7</v>
      </c>
      <c r="B99" s="25">
        <f>STDEV(G89,H89,I89,J89)</f>
        <v>9.6129814701105973E-2</v>
      </c>
      <c r="C99" s="25" t="s">
        <v>18</v>
      </c>
      <c r="D99" s="25">
        <f>STDEV(C89,D89,E89)</f>
        <v>7.6757034669365842E-2</v>
      </c>
      <c r="E99" s="25" t="s">
        <v>18</v>
      </c>
      <c r="F99" s="26" t="s">
        <v>18</v>
      </c>
      <c r="G99" s="26" t="s">
        <v>18</v>
      </c>
      <c r="I99" s="23"/>
    </row>
    <row r="101" spans="1:9" x14ac:dyDescent="0.75">
      <c r="B101" s="23"/>
    </row>
    <row r="155" spans="8:10" x14ac:dyDescent="0.75">
      <c r="H155" s="7"/>
      <c r="I155" s="7"/>
      <c r="J155" s="7"/>
    </row>
    <row r="177" spans="1:2" x14ac:dyDescent="0.75">
      <c r="B177" s="8"/>
    </row>
    <row r="178" spans="1:2" x14ac:dyDescent="0.75">
      <c r="B178" s="8"/>
    </row>
    <row r="179" spans="1:2" x14ac:dyDescent="0.75">
      <c r="B179" s="8"/>
    </row>
    <row r="180" spans="1:2" x14ac:dyDescent="0.75">
      <c r="B180" s="8"/>
    </row>
    <row r="182" spans="1:2" x14ac:dyDescent="0.75">
      <c r="A182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38A9-9664-4DDC-8A27-4BDC423931C6}">
  <dimension ref="A1:P184"/>
  <sheetViews>
    <sheetView zoomScale="90" zoomScaleNormal="90" workbookViewId="0">
      <selection activeCell="A19" sqref="A19:A74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2</v>
      </c>
      <c r="D19" s="18">
        <v>2</v>
      </c>
      <c r="E19" s="31">
        <v>3</v>
      </c>
      <c r="F19" s="37">
        <v>3</v>
      </c>
      <c r="G19" s="18">
        <v>3</v>
      </c>
      <c r="H19" s="31">
        <v>2.75</v>
      </c>
      <c r="I19" s="18">
        <v>3</v>
      </c>
      <c r="J19" s="18">
        <v>2.75</v>
      </c>
    </row>
    <row r="20" spans="1:10" x14ac:dyDescent="0.75">
      <c r="A20" s="40">
        <f>A19+1</f>
        <v>2</v>
      </c>
      <c r="B20" s="31">
        <v>3</v>
      </c>
      <c r="C20" s="18">
        <v>2</v>
      </c>
      <c r="D20" s="18">
        <v>2</v>
      </c>
      <c r="E20" s="31">
        <v>3</v>
      </c>
      <c r="F20" s="37">
        <v>3</v>
      </c>
      <c r="G20" s="18">
        <v>3</v>
      </c>
      <c r="H20" s="31">
        <v>2.75</v>
      </c>
      <c r="I20" s="18">
        <v>2</v>
      </c>
      <c r="J20" s="18">
        <v>2</v>
      </c>
    </row>
    <row r="21" spans="1:10" x14ac:dyDescent="0.75">
      <c r="A21" s="40">
        <f>A20+1</f>
        <v>3</v>
      </c>
      <c r="B21" s="31">
        <v>3</v>
      </c>
      <c r="C21" s="18">
        <v>3</v>
      </c>
      <c r="D21" s="18">
        <v>3</v>
      </c>
      <c r="E21" s="31">
        <v>3</v>
      </c>
      <c r="F21" s="37">
        <v>3</v>
      </c>
      <c r="G21" s="18">
        <v>3</v>
      </c>
      <c r="H21" s="31">
        <v>3</v>
      </c>
      <c r="I21" s="18">
        <v>3</v>
      </c>
      <c r="J21" s="18">
        <v>3</v>
      </c>
    </row>
    <row r="22" spans="1:10" x14ac:dyDescent="0.75">
      <c r="A22" s="40">
        <f t="shared" ref="A22:A74" si="0">A21+1</f>
        <v>4</v>
      </c>
      <c r="B22" s="31">
        <v>3</v>
      </c>
      <c r="C22" s="18">
        <v>2</v>
      </c>
      <c r="D22" s="18">
        <v>3</v>
      </c>
      <c r="E22" s="31">
        <v>3</v>
      </c>
      <c r="F22" s="37">
        <v>3</v>
      </c>
      <c r="G22" s="18">
        <v>3</v>
      </c>
      <c r="H22" s="31">
        <v>3</v>
      </c>
      <c r="I22" s="18">
        <v>3</v>
      </c>
      <c r="J22" s="18">
        <v>3</v>
      </c>
    </row>
    <row r="23" spans="1:10" x14ac:dyDescent="0.75">
      <c r="A23" s="40">
        <f t="shared" si="0"/>
        <v>5</v>
      </c>
      <c r="B23" s="32">
        <v>2</v>
      </c>
      <c r="C23" s="19">
        <v>3</v>
      </c>
      <c r="D23" s="19">
        <v>2</v>
      </c>
      <c r="E23" s="32">
        <v>2</v>
      </c>
      <c r="F23" s="38">
        <v>3</v>
      </c>
      <c r="G23" s="19">
        <v>3</v>
      </c>
      <c r="H23" s="32">
        <v>3</v>
      </c>
      <c r="I23" s="19">
        <v>2</v>
      </c>
      <c r="J23" s="19">
        <v>2</v>
      </c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3</v>
      </c>
      <c r="F24" s="37">
        <v>3</v>
      </c>
      <c r="G24" s="18">
        <v>3</v>
      </c>
      <c r="H24" s="31">
        <v>3</v>
      </c>
      <c r="I24" s="18">
        <v>2</v>
      </c>
      <c r="J24" s="18">
        <v>2</v>
      </c>
    </row>
    <row r="25" spans="1:10" x14ac:dyDescent="0.75">
      <c r="A25" s="40">
        <f t="shared" si="0"/>
        <v>7</v>
      </c>
      <c r="B25" s="31">
        <v>3</v>
      </c>
      <c r="C25" s="18">
        <v>3</v>
      </c>
      <c r="D25" s="18">
        <v>3</v>
      </c>
      <c r="E25" s="31">
        <v>3</v>
      </c>
      <c r="F25" s="37">
        <v>3</v>
      </c>
      <c r="G25" s="18">
        <v>3</v>
      </c>
      <c r="H25" s="31">
        <v>3</v>
      </c>
      <c r="I25" s="18">
        <v>3</v>
      </c>
      <c r="J25" s="18">
        <v>3</v>
      </c>
    </row>
    <row r="26" spans="1:10" x14ac:dyDescent="0.75">
      <c r="A26" s="40">
        <f t="shared" si="0"/>
        <v>8</v>
      </c>
      <c r="B26" s="31">
        <v>2.75</v>
      </c>
      <c r="C26" s="18">
        <v>2</v>
      </c>
      <c r="D26" s="18">
        <v>3</v>
      </c>
      <c r="E26" s="31">
        <v>3</v>
      </c>
      <c r="F26" s="37">
        <v>2</v>
      </c>
      <c r="G26" s="18">
        <v>2.5</v>
      </c>
      <c r="H26" s="31">
        <v>2.5</v>
      </c>
      <c r="I26" s="18">
        <v>2.5</v>
      </c>
      <c r="J26" s="18">
        <v>2.5</v>
      </c>
    </row>
    <row r="27" spans="1:10" x14ac:dyDescent="0.75">
      <c r="A27" s="40">
        <f t="shared" si="0"/>
        <v>9</v>
      </c>
      <c r="B27" s="31">
        <v>3</v>
      </c>
      <c r="C27" s="18">
        <v>3</v>
      </c>
      <c r="D27" s="18">
        <v>2.75</v>
      </c>
      <c r="E27" s="31">
        <v>3</v>
      </c>
      <c r="F27" s="37">
        <v>3</v>
      </c>
      <c r="G27" s="18">
        <v>3</v>
      </c>
      <c r="H27" s="31">
        <v>3</v>
      </c>
      <c r="I27" s="18">
        <v>2.5</v>
      </c>
      <c r="J27" s="18">
        <v>2.5</v>
      </c>
    </row>
    <row r="28" spans="1:10" x14ac:dyDescent="0.75">
      <c r="A28" s="40">
        <f t="shared" si="0"/>
        <v>10</v>
      </c>
      <c r="B28" s="31">
        <v>3</v>
      </c>
      <c r="C28" s="18">
        <v>3</v>
      </c>
      <c r="D28" s="18">
        <v>3</v>
      </c>
      <c r="E28" s="31">
        <v>3</v>
      </c>
      <c r="F28" s="37">
        <v>3</v>
      </c>
      <c r="G28" s="18">
        <v>2.5</v>
      </c>
      <c r="H28" s="31">
        <v>3</v>
      </c>
      <c r="I28" s="18">
        <v>2</v>
      </c>
      <c r="J28" s="18">
        <v>3</v>
      </c>
    </row>
    <row r="29" spans="1:10" x14ac:dyDescent="0.75">
      <c r="A29" s="40">
        <f t="shared" si="0"/>
        <v>11</v>
      </c>
      <c r="B29" s="32">
        <v>3</v>
      </c>
      <c r="C29" s="19">
        <v>3</v>
      </c>
      <c r="D29" s="19">
        <v>3</v>
      </c>
      <c r="E29" s="32">
        <v>3</v>
      </c>
      <c r="F29" s="38">
        <v>3</v>
      </c>
      <c r="G29" s="19">
        <v>3</v>
      </c>
      <c r="H29" s="32">
        <v>3</v>
      </c>
      <c r="I29" s="19">
        <v>3</v>
      </c>
      <c r="J29" s="19">
        <v>3</v>
      </c>
    </row>
    <row r="30" spans="1:10" x14ac:dyDescent="0.75">
      <c r="A30" s="40">
        <f t="shared" si="0"/>
        <v>12</v>
      </c>
      <c r="B30" s="31">
        <v>3</v>
      </c>
      <c r="C30" s="18">
        <v>3</v>
      </c>
      <c r="D30" s="18">
        <v>3</v>
      </c>
      <c r="E30" s="31">
        <v>3</v>
      </c>
      <c r="F30" s="37">
        <v>3</v>
      </c>
      <c r="G30" s="18">
        <v>3</v>
      </c>
      <c r="H30" s="31">
        <v>3</v>
      </c>
      <c r="I30" s="18">
        <v>3</v>
      </c>
      <c r="J30" s="18">
        <v>3</v>
      </c>
    </row>
    <row r="31" spans="1:10" x14ac:dyDescent="0.75">
      <c r="A31" s="40">
        <f t="shared" si="0"/>
        <v>13</v>
      </c>
      <c r="B31" s="31">
        <v>3</v>
      </c>
      <c r="C31" s="18">
        <v>3</v>
      </c>
      <c r="D31" s="18">
        <v>2</v>
      </c>
      <c r="E31" s="31">
        <v>3</v>
      </c>
      <c r="F31" s="37">
        <v>3</v>
      </c>
      <c r="G31" s="18">
        <v>3</v>
      </c>
      <c r="H31" s="31">
        <v>3</v>
      </c>
      <c r="I31" s="18">
        <v>3</v>
      </c>
      <c r="J31" s="18">
        <v>3</v>
      </c>
    </row>
    <row r="32" spans="1:10" x14ac:dyDescent="0.75">
      <c r="A32" s="40">
        <f t="shared" si="0"/>
        <v>14</v>
      </c>
      <c r="B32" s="31">
        <v>3</v>
      </c>
      <c r="C32" s="18">
        <v>3</v>
      </c>
      <c r="D32" s="18">
        <v>3</v>
      </c>
      <c r="E32" s="31">
        <v>3</v>
      </c>
      <c r="F32" s="37">
        <v>3</v>
      </c>
      <c r="G32" s="18">
        <v>3</v>
      </c>
      <c r="H32" s="31">
        <v>3</v>
      </c>
      <c r="I32" s="18">
        <v>3</v>
      </c>
      <c r="J32" s="18">
        <v>3</v>
      </c>
    </row>
    <row r="33" spans="1:10" x14ac:dyDescent="0.75">
      <c r="A33" s="40">
        <f t="shared" si="0"/>
        <v>15</v>
      </c>
      <c r="B33" s="31">
        <v>3</v>
      </c>
      <c r="C33" s="18">
        <v>1</v>
      </c>
      <c r="D33" s="18">
        <v>3</v>
      </c>
      <c r="E33" s="31">
        <v>3</v>
      </c>
      <c r="F33" s="37">
        <v>3</v>
      </c>
      <c r="G33" s="18">
        <v>3</v>
      </c>
      <c r="H33" s="31">
        <v>3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3</v>
      </c>
      <c r="F34" s="37">
        <v>3</v>
      </c>
      <c r="G34" s="18">
        <v>3</v>
      </c>
      <c r="H34" s="31">
        <v>3</v>
      </c>
      <c r="I34" s="18">
        <v>3</v>
      </c>
      <c r="J34" s="18">
        <v>3</v>
      </c>
    </row>
    <row r="35" spans="1:10" x14ac:dyDescent="0.75">
      <c r="A35" s="40">
        <f t="shared" si="0"/>
        <v>17</v>
      </c>
      <c r="B35" s="32">
        <v>3</v>
      </c>
      <c r="C35" s="19">
        <v>3</v>
      </c>
      <c r="D35" s="19">
        <v>3</v>
      </c>
      <c r="E35" s="32">
        <v>3</v>
      </c>
      <c r="F35" s="38">
        <v>3</v>
      </c>
      <c r="G35" s="19">
        <v>3</v>
      </c>
      <c r="H35" s="32">
        <v>3</v>
      </c>
      <c r="I35" s="19">
        <v>3</v>
      </c>
      <c r="J35" s="19">
        <v>3</v>
      </c>
    </row>
    <row r="36" spans="1:10" x14ac:dyDescent="0.75">
      <c r="A36" s="40">
        <f t="shared" si="0"/>
        <v>18</v>
      </c>
      <c r="B36" s="31">
        <v>3</v>
      </c>
      <c r="C36" s="18">
        <v>3</v>
      </c>
      <c r="D36" s="18">
        <v>3</v>
      </c>
      <c r="E36" s="31">
        <v>3</v>
      </c>
      <c r="F36" s="37">
        <v>3</v>
      </c>
      <c r="G36" s="18">
        <v>3</v>
      </c>
      <c r="H36" s="31">
        <v>2.75</v>
      </c>
      <c r="I36" s="18">
        <v>3</v>
      </c>
      <c r="J36" s="18">
        <v>3</v>
      </c>
    </row>
    <row r="37" spans="1:10" x14ac:dyDescent="0.75">
      <c r="A37" s="40">
        <f t="shared" si="0"/>
        <v>19</v>
      </c>
      <c r="B37" s="31">
        <v>3</v>
      </c>
      <c r="C37" s="18">
        <v>3</v>
      </c>
      <c r="D37" s="18">
        <v>2</v>
      </c>
      <c r="E37" s="31">
        <v>3</v>
      </c>
      <c r="F37" s="37">
        <v>3</v>
      </c>
      <c r="G37" s="18">
        <v>3</v>
      </c>
      <c r="H37" s="31">
        <v>3</v>
      </c>
      <c r="I37" s="18">
        <v>3</v>
      </c>
      <c r="J37" s="18">
        <v>2.75</v>
      </c>
    </row>
    <row r="38" spans="1:10" x14ac:dyDescent="0.75">
      <c r="A38" s="40">
        <f t="shared" si="0"/>
        <v>20</v>
      </c>
      <c r="B38" s="31">
        <v>3</v>
      </c>
      <c r="C38" s="18">
        <v>3</v>
      </c>
      <c r="D38" s="18">
        <v>2.5</v>
      </c>
      <c r="E38" s="31">
        <v>3</v>
      </c>
      <c r="F38" s="37">
        <v>3</v>
      </c>
      <c r="G38" s="18">
        <v>3</v>
      </c>
      <c r="H38" s="31">
        <v>3</v>
      </c>
      <c r="I38" s="18">
        <v>3</v>
      </c>
      <c r="J38" s="18">
        <v>2.5</v>
      </c>
    </row>
    <row r="39" spans="1:10" x14ac:dyDescent="0.75">
      <c r="A39" s="40">
        <f t="shared" si="0"/>
        <v>21</v>
      </c>
      <c r="B39" s="32">
        <v>3</v>
      </c>
      <c r="C39" s="19">
        <v>3</v>
      </c>
      <c r="D39" s="19">
        <v>3</v>
      </c>
      <c r="E39" s="32">
        <v>3</v>
      </c>
      <c r="F39" s="38">
        <v>3</v>
      </c>
      <c r="G39" s="19">
        <v>3</v>
      </c>
      <c r="H39" s="32">
        <v>3</v>
      </c>
      <c r="I39" s="19">
        <v>3</v>
      </c>
      <c r="J39" s="19">
        <v>3</v>
      </c>
    </row>
    <row r="40" spans="1:10" x14ac:dyDescent="0.75">
      <c r="A40" s="40">
        <f t="shared" si="0"/>
        <v>22</v>
      </c>
      <c r="B40" s="31">
        <v>3</v>
      </c>
      <c r="C40" s="18">
        <v>3</v>
      </c>
      <c r="D40" s="18">
        <v>3</v>
      </c>
      <c r="E40" s="31">
        <v>3</v>
      </c>
      <c r="F40" s="37">
        <v>3</v>
      </c>
      <c r="G40" s="18">
        <v>3</v>
      </c>
      <c r="H40" s="31">
        <v>3</v>
      </c>
      <c r="I40" s="18">
        <v>3</v>
      </c>
      <c r="J40" s="18">
        <v>2.75</v>
      </c>
    </row>
    <row r="41" spans="1:10" x14ac:dyDescent="0.75">
      <c r="A41" s="40">
        <f t="shared" si="0"/>
        <v>23</v>
      </c>
      <c r="B41" s="31">
        <v>3</v>
      </c>
      <c r="C41" s="18">
        <v>2.75</v>
      </c>
      <c r="D41" s="18">
        <v>3</v>
      </c>
      <c r="E41" s="31">
        <v>3</v>
      </c>
      <c r="F41" s="37">
        <v>3</v>
      </c>
      <c r="G41" s="18">
        <v>3</v>
      </c>
      <c r="H41" s="31">
        <v>3</v>
      </c>
      <c r="I41" s="18">
        <v>3</v>
      </c>
      <c r="J41" s="18">
        <v>3</v>
      </c>
    </row>
    <row r="42" spans="1:10" x14ac:dyDescent="0.75">
      <c r="A42" s="40">
        <f t="shared" si="0"/>
        <v>24</v>
      </c>
      <c r="B42" s="31">
        <v>2.5</v>
      </c>
      <c r="C42" s="18">
        <v>3</v>
      </c>
      <c r="D42" s="18">
        <v>2.75</v>
      </c>
      <c r="E42" s="31">
        <v>3</v>
      </c>
      <c r="F42" s="37">
        <v>3</v>
      </c>
      <c r="G42" s="18">
        <v>3</v>
      </c>
      <c r="H42" s="31">
        <v>2.75</v>
      </c>
      <c r="I42" s="18">
        <v>3</v>
      </c>
      <c r="J42" s="18">
        <v>2.75</v>
      </c>
    </row>
    <row r="43" spans="1:10" x14ac:dyDescent="0.75">
      <c r="A43" s="40">
        <f t="shared" si="0"/>
        <v>25</v>
      </c>
      <c r="B43" s="31">
        <v>3</v>
      </c>
      <c r="C43" s="18">
        <v>3</v>
      </c>
      <c r="D43" s="18">
        <v>2.75</v>
      </c>
      <c r="E43" s="31">
        <v>3</v>
      </c>
      <c r="F43" s="37">
        <v>3</v>
      </c>
      <c r="G43" s="18">
        <v>3</v>
      </c>
      <c r="H43" s="31">
        <v>3</v>
      </c>
      <c r="I43" s="18">
        <v>3</v>
      </c>
      <c r="J43" s="18">
        <v>2.75</v>
      </c>
    </row>
    <row r="44" spans="1:10" x14ac:dyDescent="0.75">
      <c r="A44" s="40">
        <f t="shared" si="0"/>
        <v>26</v>
      </c>
      <c r="B44" s="32">
        <v>3</v>
      </c>
      <c r="C44" s="19">
        <v>3</v>
      </c>
      <c r="D44" s="19">
        <v>2.75</v>
      </c>
      <c r="E44" s="32">
        <v>3</v>
      </c>
      <c r="F44" s="38">
        <v>3</v>
      </c>
      <c r="G44" s="19">
        <v>2</v>
      </c>
      <c r="H44" s="32">
        <v>2</v>
      </c>
      <c r="I44" s="19">
        <v>3</v>
      </c>
      <c r="J44" s="19">
        <v>3</v>
      </c>
    </row>
    <row r="45" spans="1:10" x14ac:dyDescent="0.75">
      <c r="A45" s="40">
        <f t="shared" si="0"/>
        <v>27</v>
      </c>
      <c r="B45" s="31">
        <v>3</v>
      </c>
      <c r="C45" s="18">
        <v>3</v>
      </c>
      <c r="D45" s="18">
        <v>2</v>
      </c>
      <c r="E45" s="31">
        <v>3</v>
      </c>
      <c r="F45" s="37">
        <v>3</v>
      </c>
      <c r="G45" s="18">
        <v>3</v>
      </c>
      <c r="H45" s="31">
        <v>3</v>
      </c>
      <c r="I45" s="18">
        <v>3</v>
      </c>
      <c r="J45" s="18">
        <v>3</v>
      </c>
    </row>
    <row r="46" spans="1:10" x14ac:dyDescent="0.75">
      <c r="A46" s="40">
        <f t="shared" si="0"/>
        <v>28</v>
      </c>
      <c r="B46" s="31">
        <v>2</v>
      </c>
      <c r="C46" s="18">
        <v>3</v>
      </c>
      <c r="D46" s="18">
        <v>3</v>
      </c>
      <c r="E46" s="31">
        <v>3</v>
      </c>
      <c r="F46" s="37">
        <v>3</v>
      </c>
      <c r="G46" s="18">
        <v>3</v>
      </c>
      <c r="H46" s="31">
        <v>3</v>
      </c>
      <c r="I46" s="18">
        <v>3</v>
      </c>
      <c r="J46" s="18">
        <v>3</v>
      </c>
    </row>
    <row r="47" spans="1:10" x14ac:dyDescent="0.75">
      <c r="A47" s="40">
        <f t="shared" si="0"/>
        <v>29</v>
      </c>
      <c r="B47" s="31">
        <v>3</v>
      </c>
      <c r="C47" s="18">
        <v>2</v>
      </c>
      <c r="D47" s="18">
        <v>2</v>
      </c>
      <c r="E47" s="31">
        <v>2</v>
      </c>
      <c r="F47" s="37">
        <v>3</v>
      </c>
      <c r="G47" s="18">
        <v>3</v>
      </c>
      <c r="H47" s="31">
        <v>2.75</v>
      </c>
      <c r="I47" s="18">
        <v>1</v>
      </c>
      <c r="J47" s="18">
        <v>1</v>
      </c>
    </row>
    <row r="48" spans="1:10" x14ac:dyDescent="0.75">
      <c r="A48" s="40">
        <f t="shared" si="0"/>
        <v>30</v>
      </c>
      <c r="B48" s="31">
        <v>3</v>
      </c>
      <c r="C48" s="18">
        <v>3</v>
      </c>
      <c r="D48" s="18">
        <v>2.75</v>
      </c>
      <c r="E48" s="31">
        <v>3</v>
      </c>
      <c r="F48" s="37">
        <v>3</v>
      </c>
      <c r="G48" s="18">
        <v>3</v>
      </c>
      <c r="H48" s="31">
        <v>3</v>
      </c>
      <c r="I48" s="18">
        <v>3</v>
      </c>
      <c r="J48" s="18">
        <v>2.75</v>
      </c>
    </row>
    <row r="49" spans="1:10" x14ac:dyDescent="0.75">
      <c r="A49" s="40">
        <f t="shared" si="0"/>
        <v>31</v>
      </c>
      <c r="B49" s="32">
        <v>3</v>
      </c>
      <c r="C49" s="19">
        <v>3</v>
      </c>
      <c r="D49" s="19">
        <v>2</v>
      </c>
      <c r="E49" s="32">
        <v>3</v>
      </c>
      <c r="F49" s="38">
        <v>3</v>
      </c>
      <c r="G49" s="19">
        <v>3</v>
      </c>
      <c r="H49" s="32">
        <v>3</v>
      </c>
      <c r="I49" s="19">
        <v>3</v>
      </c>
      <c r="J49" s="19">
        <v>3</v>
      </c>
    </row>
    <row r="50" spans="1:10" x14ac:dyDescent="0.75">
      <c r="A50" s="40">
        <f t="shared" si="0"/>
        <v>32</v>
      </c>
      <c r="B50" s="31">
        <v>3</v>
      </c>
      <c r="C50" s="18">
        <v>3</v>
      </c>
      <c r="D50" s="18">
        <v>3</v>
      </c>
      <c r="E50" s="31">
        <v>3</v>
      </c>
      <c r="F50" s="37">
        <v>3</v>
      </c>
      <c r="G50" s="18">
        <v>3</v>
      </c>
      <c r="H50" s="31">
        <v>3</v>
      </c>
      <c r="I50" s="18">
        <v>3</v>
      </c>
      <c r="J50" s="18">
        <v>3</v>
      </c>
    </row>
    <row r="51" spans="1:10" x14ac:dyDescent="0.75">
      <c r="A51" s="40">
        <f t="shared" si="0"/>
        <v>33</v>
      </c>
      <c r="B51" s="31">
        <v>3</v>
      </c>
      <c r="C51" s="18">
        <v>3</v>
      </c>
      <c r="D51" s="18">
        <v>2.5</v>
      </c>
      <c r="E51" s="31">
        <v>3</v>
      </c>
      <c r="F51" s="37">
        <v>2.5</v>
      </c>
      <c r="G51" s="18">
        <v>3</v>
      </c>
      <c r="H51" s="31">
        <v>3</v>
      </c>
      <c r="I51" s="18">
        <v>3</v>
      </c>
      <c r="J51" s="18">
        <v>2.75</v>
      </c>
    </row>
    <row r="52" spans="1:10" x14ac:dyDescent="0.75">
      <c r="A52" s="40">
        <f t="shared" si="0"/>
        <v>34</v>
      </c>
      <c r="B52" s="31">
        <v>3</v>
      </c>
      <c r="C52" s="18">
        <v>3</v>
      </c>
      <c r="D52" s="18">
        <v>3</v>
      </c>
      <c r="E52" s="31">
        <v>3</v>
      </c>
      <c r="F52" s="37">
        <v>3</v>
      </c>
      <c r="G52" s="18">
        <v>3</v>
      </c>
      <c r="H52" s="31">
        <v>3</v>
      </c>
      <c r="I52" s="18">
        <v>2.75</v>
      </c>
      <c r="J52" s="18">
        <v>2.75</v>
      </c>
    </row>
    <row r="53" spans="1:10" x14ac:dyDescent="0.75">
      <c r="A53" s="40">
        <f t="shared" si="0"/>
        <v>35</v>
      </c>
      <c r="B53" s="31">
        <v>3</v>
      </c>
      <c r="C53" s="18">
        <v>3</v>
      </c>
      <c r="D53" s="18">
        <v>3</v>
      </c>
      <c r="E53" s="31">
        <v>3</v>
      </c>
      <c r="F53" s="37">
        <v>3</v>
      </c>
      <c r="G53" s="18">
        <v>3</v>
      </c>
      <c r="H53" s="31">
        <v>3</v>
      </c>
      <c r="I53" s="18">
        <v>2.75</v>
      </c>
      <c r="J53" s="18">
        <v>2.75</v>
      </c>
    </row>
    <row r="54" spans="1:10" x14ac:dyDescent="0.75">
      <c r="A54" s="40">
        <f t="shared" si="0"/>
        <v>36</v>
      </c>
      <c r="B54" s="32">
        <v>3</v>
      </c>
      <c r="C54" s="19">
        <v>3</v>
      </c>
      <c r="D54" s="19">
        <v>3</v>
      </c>
      <c r="E54" s="32">
        <v>3</v>
      </c>
      <c r="F54" s="38">
        <v>3</v>
      </c>
      <c r="G54" s="19">
        <v>3</v>
      </c>
      <c r="H54" s="32">
        <v>3</v>
      </c>
      <c r="I54" s="19">
        <v>2.75</v>
      </c>
      <c r="J54" s="19">
        <v>2.75</v>
      </c>
    </row>
    <row r="55" spans="1:10" x14ac:dyDescent="0.75">
      <c r="A55" s="40">
        <f t="shared" si="0"/>
        <v>37</v>
      </c>
      <c r="B55" s="31">
        <v>3</v>
      </c>
      <c r="C55" s="18">
        <v>3</v>
      </c>
      <c r="D55" s="18">
        <v>3</v>
      </c>
      <c r="E55" s="31">
        <v>3</v>
      </c>
      <c r="F55" s="37">
        <v>3</v>
      </c>
      <c r="G55" s="18">
        <v>3</v>
      </c>
      <c r="H55" s="31">
        <v>3</v>
      </c>
      <c r="I55" s="18">
        <v>2.75</v>
      </c>
      <c r="J55" s="18">
        <v>2.75</v>
      </c>
    </row>
    <row r="56" spans="1:10" x14ac:dyDescent="0.75">
      <c r="A56" s="40">
        <f t="shared" si="0"/>
        <v>38</v>
      </c>
      <c r="B56" s="31">
        <v>2.5</v>
      </c>
      <c r="C56" s="18">
        <v>3</v>
      </c>
      <c r="D56" s="18">
        <v>3</v>
      </c>
      <c r="E56" s="31">
        <v>3</v>
      </c>
      <c r="F56" s="37">
        <v>3</v>
      </c>
      <c r="G56" s="18">
        <v>3</v>
      </c>
      <c r="H56" s="31">
        <v>3</v>
      </c>
      <c r="I56" s="18">
        <v>3</v>
      </c>
      <c r="J56" s="18">
        <v>3</v>
      </c>
    </row>
    <row r="57" spans="1:10" x14ac:dyDescent="0.75">
      <c r="A57" s="40">
        <f t="shared" si="0"/>
        <v>39</v>
      </c>
      <c r="B57" s="31">
        <v>3</v>
      </c>
      <c r="C57" s="18">
        <v>3</v>
      </c>
      <c r="D57" s="18">
        <v>3</v>
      </c>
      <c r="E57" s="31">
        <v>3</v>
      </c>
      <c r="F57" s="37">
        <v>3</v>
      </c>
      <c r="G57" s="18">
        <v>2.5</v>
      </c>
      <c r="H57" s="31">
        <v>3</v>
      </c>
      <c r="I57" s="18">
        <v>2</v>
      </c>
      <c r="J57" s="18">
        <v>2</v>
      </c>
    </row>
    <row r="58" spans="1:10" x14ac:dyDescent="0.75">
      <c r="A58" s="40">
        <f t="shared" si="0"/>
        <v>40</v>
      </c>
      <c r="B58" s="31">
        <v>2.75</v>
      </c>
      <c r="C58" s="18">
        <v>3</v>
      </c>
      <c r="D58" s="18">
        <v>3</v>
      </c>
      <c r="E58" s="31">
        <v>3</v>
      </c>
      <c r="F58" s="37">
        <v>3</v>
      </c>
      <c r="G58" s="18">
        <v>3</v>
      </c>
      <c r="H58" s="31">
        <v>3</v>
      </c>
      <c r="I58" s="18">
        <v>3</v>
      </c>
      <c r="J58" s="18">
        <v>3</v>
      </c>
    </row>
    <row r="59" spans="1:10" x14ac:dyDescent="0.75">
      <c r="A59" s="40">
        <f t="shared" si="0"/>
        <v>41</v>
      </c>
      <c r="B59" s="32">
        <v>3</v>
      </c>
      <c r="C59" s="19">
        <v>3</v>
      </c>
      <c r="D59" s="19">
        <v>3</v>
      </c>
      <c r="E59" s="32">
        <v>3</v>
      </c>
      <c r="F59" s="38">
        <v>3</v>
      </c>
      <c r="G59" s="19">
        <v>3</v>
      </c>
      <c r="H59" s="32">
        <v>3</v>
      </c>
      <c r="I59" s="19">
        <v>3</v>
      </c>
      <c r="J59" s="19">
        <v>3</v>
      </c>
    </row>
    <row r="60" spans="1:10" x14ac:dyDescent="0.75">
      <c r="A60" s="40">
        <f t="shared" si="0"/>
        <v>42</v>
      </c>
      <c r="B60" s="31">
        <v>2.75</v>
      </c>
      <c r="C60" s="18">
        <v>3</v>
      </c>
      <c r="D60" s="18">
        <v>3</v>
      </c>
      <c r="E60" s="31">
        <v>3</v>
      </c>
      <c r="F60" s="37">
        <v>3</v>
      </c>
      <c r="G60" s="18">
        <v>3</v>
      </c>
      <c r="H60" s="31">
        <v>3</v>
      </c>
      <c r="I60" s="18">
        <v>3</v>
      </c>
      <c r="J60" s="18">
        <v>2.75</v>
      </c>
    </row>
    <row r="61" spans="1:10" x14ac:dyDescent="0.75">
      <c r="A61" s="40">
        <f t="shared" si="0"/>
        <v>43</v>
      </c>
      <c r="B61" s="31">
        <v>2</v>
      </c>
      <c r="C61" s="18">
        <v>3</v>
      </c>
      <c r="D61" s="18">
        <v>3</v>
      </c>
      <c r="E61" s="31">
        <v>3</v>
      </c>
      <c r="F61" s="37">
        <v>3</v>
      </c>
      <c r="G61" s="18">
        <v>2</v>
      </c>
      <c r="H61" s="31">
        <v>2</v>
      </c>
      <c r="I61" s="18">
        <v>2</v>
      </c>
      <c r="J61" s="18">
        <v>2</v>
      </c>
    </row>
    <row r="62" spans="1:10" x14ac:dyDescent="0.75">
      <c r="A62" s="40">
        <f t="shared" si="0"/>
        <v>44</v>
      </c>
      <c r="B62" s="31">
        <v>3</v>
      </c>
      <c r="C62" s="18">
        <v>3</v>
      </c>
      <c r="D62" s="18">
        <v>3</v>
      </c>
      <c r="E62" s="31">
        <v>3</v>
      </c>
      <c r="F62" s="37">
        <v>3</v>
      </c>
      <c r="G62" s="18">
        <v>3</v>
      </c>
      <c r="H62" s="31">
        <v>3</v>
      </c>
      <c r="I62" s="18">
        <v>3</v>
      </c>
      <c r="J62" s="18">
        <v>2.75</v>
      </c>
    </row>
    <row r="63" spans="1:10" x14ac:dyDescent="0.75">
      <c r="A63" s="40">
        <f t="shared" si="0"/>
        <v>45</v>
      </c>
      <c r="B63" s="31">
        <v>1</v>
      </c>
      <c r="C63" s="18">
        <v>2</v>
      </c>
      <c r="D63" s="18">
        <v>1</v>
      </c>
      <c r="E63" s="31">
        <v>3</v>
      </c>
      <c r="F63" s="37">
        <v>3</v>
      </c>
      <c r="G63" s="18">
        <v>3</v>
      </c>
      <c r="H63" s="31">
        <v>2</v>
      </c>
      <c r="I63" s="18">
        <v>3</v>
      </c>
      <c r="J63" s="18">
        <v>3</v>
      </c>
    </row>
    <row r="64" spans="1:10" x14ac:dyDescent="0.75">
      <c r="A64" s="40">
        <f t="shared" si="0"/>
        <v>46</v>
      </c>
      <c r="B64" s="31">
        <v>3</v>
      </c>
      <c r="C64" s="18">
        <v>3</v>
      </c>
      <c r="D64" s="18">
        <v>3</v>
      </c>
      <c r="E64" s="31">
        <v>3</v>
      </c>
      <c r="F64" s="37">
        <v>3</v>
      </c>
      <c r="G64" s="18">
        <v>3</v>
      </c>
      <c r="H64" s="31">
        <v>3</v>
      </c>
      <c r="I64" s="18">
        <v>3</v>
      </c>
      <c r="J64" s="18">
        <v>3</v>
      </c>
    </row>
    <row r="65" spans="1:10" x14ac:dyDescent="0.75">
      <c r="A65" s="40">
        <f t="shared" si="0"/>
        <v>47</v>
      </c>
      <c r="B65" s="31">
        <v>3</v>
      </c>
      <c r="C65" s="18">
        <v>3</v>
      </c>
      <c r="D65" s="18">
        <v>2.5</v>
      </c>
      <c r="E65" s="31">
        <v>3</v>
      </c>
      <c r="F65" s="37">
        <v>3</v>
      </c>
      <c r="G65" s="18">
        <v>3</v>
      </c>
      <c r="H65" s="31">
        <v>3</v>
      </c>
      <c r="I65" s="18">
        <v>3</v>
      </c>
      <c r="J65" s="18">
        <v>2.75</v>
      </c>
    </row>
    <row r="66" spans="1:10" x14ac:dyDescent="0.75">
      <c r="A66" s="40">
        <f t="shared" si="0"/>
        <v>48</v>
      </c>
      <c r="B66" s="31">
        <v>3</v>
      </c>
      <c r="C66" s="18">
        <v>2.75</v>
      </c>
      <c r="D66" s="18">
        <v>3</v>
      </c>
      <c r="E66" s="31">
        <v>3</v>
      </c>
      <c r="F66" s="37">
        <v>3</v>
      </c>
      <c r="G66" s="18">
        <v>3</v>
      </c>
      <c r="H66" s="31">
        <v>2.75</v>
      </c>
      <c r="I66" s="18">
        <v>3</v>
      </c>
      <c r="J66" s="18">
        <v>3</v>
      </c>
    </row>
    <row r="67" spans="1:10" x14ac:dyDescent="0.75">
      <c r="A67" s="40">
        <f t="shared" si="0"/>
        <v>49</v>
      </c>
      <c r="B67" s="31">
        <v>3</v>
      </c>
      <c r="C67" s="18">
        <v>3</v>
      </c>
      <c r="D67" s="18">
        <v>3</v>
      </c>
      <c r="E67" s="31">
        <v>3</v>
      </c>
      <c r="F67" s="37">
        <v>3</v>
      </c>
      <c r="G67" s="18">
        <v>3</v>
      </c>
      <c r="H67" s="31">
        <v>3</v>
      </c>
      <c r="I67" s="18">
        <v>3</v>
      </c>
      <c r="J67" s="18">
        <v>3</v>
      </c>
    </row>
    <row r="68" spans="1:10" x14ac:dyDescent="0.75">
      <c r="A68" s="40">
        <f t="shared" si="0"/>
        <v>50</v>
      </c>
      <c r="B68" s="31">
        <v>2</v>
      </c>
      <c r="C68" s="18">
        <v>3</v>
      </c>
      <c r="D68" s="18">
        <v>3</v>
      </c>
      <c r="E68" s="31">
        <v>3</v>
      </c>
      <c r="F68" s="37">
        <v>3</v>
      </c>
      <c r="G68" s="18">
        <v>3</v>
      </c>
      <c r="H68" s="31">
        <v>2.75</v>
      </c>
      <c r="I68" s="18">
        <v>3</v>
      </c>
      <c r="J68" s="18">
        <v>2.75</v>
      </c>
    </row>
    <row r="69" spans="1:10" x14ac:dyDescent="0.75">
      <c r="A69" s="40">
        <f t="shared" si="0"/>
        <v>51</v>
      </c>
      <c r="B69" s="31">
        <v>2.75</v>
      </c>
      <c r="C69" s="18">
        <v>3</v>
      </c>
      <c r="D69" s="18">
        <v>3</v>
      </c>
      <c r="E69" s="31">
        <v>3</v>
      </c>
      <c r="F69" s="37">
        <v>3</v>
      </c>
      <c r="G69" s="18">
        <v>3</v>
      </c>
      <c r="H69" s="31">
        <v>2.5</v>
      </c>
      <c r="I69" s="18">
        <v>3</v>
      </c>
      <c r="J69" s="18">
        <v>2.75</v>
      </c>
    </row>
    <row r="70" spans="1:10" x14ac:dyDescent="0.75">
      <c r="A70" s="40">
        <f t="shared" si="0"/>
        <v>52</v>
      </c>
      <c r="B70" s="31">
        <v>2</v>
      </c>
      <c r="C70" s="18">
        <v>1</v>
      </c>
      <c r="D70" s="18">
        <v>3</v>
      </c>
      <c r="E70" s="31">
        <v>1</v>
      </c>
      <c r="F70" s="37">
        <v>3</v>
      </c>
      <c r="G70" s="18">
        <v>1</v>
      </c>
      <c r="H70" s="31">
        <v>1</v>
      </c>
      <c r="I70" s="18">
        <v>3</v>
      </c>
      <c r="J70" s="18">
        <v>2.5</v>
      </c>
    </row>
    <row r="71" spans="1:10" x14ac:dyDescent="0.75">
      <c r="A71" s="40">
        <f t="shared" si="0"/>
        <v>53</v>
      </c>
      <c r="B71" s="31">
        <v>3</v>
      </c>
      <c r="C71" s="18">
        <v>3</v>
      </c>
      <c r="D71" s="18">
        <v>3</v>
      </c>
      <c r="E71" s="31">
        <v>3</v>
      </c>
      <c r="F71" s="37">
        <v>3</v>
      </c>
      <c r="G71" s="18">
        <v>2</v>
      </c>
      <c r="H71" s="31">
        <v>2</v>
      </c>
      <c r="I71" s="18">
        <v>3</v>
      </c>
      <c r="J71" s="18">
        <v>3</v>
      </c>
    </row>
    <row r="72" spans="1:10" x14ac:dyDescent="0.75">
      <c r="A72" s="40">
        <f t="shared" si="0"/>
        <v>54</v>
      </c>
      <c r="B72" s="31">
        <v>3</v>
      </c>
      <c r="C72" s="18">
        <v>3</v>
      </c>
      <c r="D72" s="18">
        <v>3</v>
      </c>
      <c r="E72" s="31">
        <v>3</v>
      </c>
      <c r="F72" s="37">
        <v>3</v>
      </c>
      <c r="G72" s="18">
        <v>3</v>
      </c>
      <c r="H72" s="31">
        <v>3</v>
      </c>
      <c r="I72" s="18">
        <v>3</v>
      </c>
      <c r="J72" s="18">
        <v>2.75</v>
      </c>
    </row>
    <row r="73" spans="1:10" x14ac:dyDescent="0.75">
      <c r="A73" s="40">
        <f t="shared" si="0"/>
        <v>55</v>
      </c>
      <c r="B73" s="31">
        <v>3</v>
      </c>
      <c r="C73" s="18">
        <v>3</v>
      </c>
      <c r="D73" s="18">
        <v>3</v>
      </c>
      <c r="E73" s="31">
        <v>3</v>
      </c>
      <c r="F73" s="37">
        <v>3</v>
      </c>
      <c r="G73" s="18">
        <v>3</v>
      </c>
      <c r="H73" s="31">
        <v>3</v>
      </c>
      <c r="I73" s="18">
        <v>3</v>
      </c>
      <c r="J73" s="18">
        <v>3</v>
      </c>
    </row>
    <row r="74" spans="1:10" x14ac:dyDescent="0.75">
      <c r="A74" s="40">
        <f t="shared" si="0"/>
        <v>56</v>
      </c>
      <c r="B74" s="31"/>
      <c r="C74" s="18"/>
      <c r="D74" s="18"/>
      <c r="E74" s="31"/>
      <c r="F74" s="37"/>
      <c r="G74" s="18"/>
      <c r="H74" s="31"/>
      <c r="I74" s="18"/>
      <c r="J74" s="18"/>
    </row>
    <row r="75" spans="1:10" x14ac:dyDescent="0.75">
      <c r="A75" s="40"/>
      <c r="B75" s="31"/>
      <c r="C75" s="18"/>
      <c r="D75" s="18"/>
      <c r="E75" s="31"/>
      <c r="F75" s="37"/>
      <c r="G75" s="18"/>
      <c r="H75" s="31"/>
      <c r="I75" s="18"/>
      <c r="J75" s="18"/>
    </row>
    <row r="76" spans="1:10" x14ac:dyDescent="0.75">
      <c r="A76" s="40"/>
      <c r="B76" s="31"/>
      <c r="C76" s="18"/>
      <c r="D76" s="18"/>
      <c r="E76" s="31"/>
      <c r="F76" s="37"/>
      <c r="G76" s="18"/>
      <c r="H76" s="31"/>
      <c r="I76" s="18"/>
      <c r="J76" s="18"/>
    </row>
    <row r="77" spans="1:10" x14ac:dyDescent="0.75">
      <c r="A77" s="40"/>
      <c r="B77" s="31"/>
      <c r="C77" s="18"/>
      <c r="D77" s="18"/>
      <c r="E77" s="31"/>
      <c r="F77" s="37"/>
      <c r="G77" s="18"/>
      <c r="H77" s="31"/>
      <c r="I77" s="18"/>
      <c r="J77" s="18"/>
    </row>
    <row r="78" spans="1:10" x14ac:dyDescent="0.75">
      <c r="A78" s="40"/>
      <c r="B78" s="31"/>
      <c r="C78" s="18"/>
      <c r="D78" s="18"/>
      <c r="E78" s="31"/>
      <c r="F78" s="37"/>
      <c r="G78" s="18"/>
      <c r="H78" s="31"/>
      <c r="I78" s="18"/>
      <c r="J78" s="18"/>
    </row>
    <row r="79" spans="1:10" x14ac:dyDescent="0.75">
      <c r="A79" s="40"/>
      <c r="B79" s="31"/>
      <c r="C79" s="18"/>
      <c r="D79" s="18"/>
      <c r="E79" s="31"/>
      <c r="F79" s="37"/>
      <c r="G79" s="18"/>
      <c r="H79" s="31"/>
      <c r="I79" s="18"/>
      <c r="J79" s="18"/>
    </row>
    <row r="80" spans="1:10" x14ac:dyDescent="0.75">
      <c r="A80" s="40"/>
      <c r="B80" s="31"/>
      <c r="C80" s="18"/>
      <c r="D80" s="18"/>
      <c r="E80" s="31"/>
      <c r="F80" s="37"/>
      <c r="G80" s="18"/>
      <c r="H80" s="31"/>
      <c r="I80" s="18"/>
      <c r="J80" s="18"/>
    </row>
    <row r="81" spans="1:10" x14ac:dyDescent="0.75">
      <c r="A81" s="40"/>
      <c r="B81" s="31"/>
      <c r="C81" s="18"/>
      <c r="D81" s="18"/>
      <c r="E81" s="31"/>
      <c r="F81" s="37"/>
      <c r="G81" s="18"/>
      <c r="H81" s="31"/>
      <c r="I81" s="18"/>
      <c r="J81" s="18"/>
    </row>
    <row r="82" spans="1:10" x14ac:dyDescent="0.75">
      <c r="A82" s="40"/>
      <c r="B82" s="31"/>
      <c r="C82" s="18"/>
      <c r="D82" s="18"/>
      <c r="E82" s="31"/>
      <c r="F82" s="37"/>
      <c r="G82" s="18"/>
      <c r="H82" s="31"/>
      <c r="I82" s="18"/>
      <c r="J82" s="18"/>
    </row>
    <row r="83" spans="1:10" x14ac:dyDescent="0.75">
      <c r="A83" s="41"/>
      <c r="B83" s="32"/>
      <c r="C83" s="19"/>
      <c r="D83" s="19"/>
      <c r="E83" s="32"/>
      <c r="F83" s="38"/>
      <c r="G83" s="19"/>
      <c r="H83" s="32"/>
      <c r="I83" s="19"/>
      <c r="J83" s="19"/>
    </row>
    <row r="84" spans="1:10" x14ac:dyDescent="0.75">
      <c r="A84" s="40"/>
      <c r="B84" s="31"/>
      <c r="C84" s="18"/>
      <c r="D84" s="18"/>
    </row>
    <row r="85" spans="1:10" x14ac:dyDescent="0.75">
      <c r="A85" s="45"/>
      <c r="B85" s="18"/>
      <c r="C85" s="18"/>
      <c r="D85" s="18"/>
      <c r="E85" s="18"/>
      <c r="F85" s="18"/>
      <c r="G85" s="18"/>
      <c r="H85" s="18"/>
      <c r="I85" s="18"/>
      <c r="J85" s="18"/>
    </row>
    <row r="86" spans="1:10" x14ac:dyDescent="0.75">
      <c r="A86" s="15"/>
    </row>
    <row r="88" spans="1:10" x14ac:dyDescent="0.75">
      <c r="A88" s="11" t="s">
        <v>54</v>
      </c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75">
      <c r="A89" s="12" t="s">
        <v>13</v>
      </c>
      <c r="B89" s="20">
        <v>1</v>
      </c>
      <c r="C89" s="20">
        <v>2</v>
      </c>
      <c r="D89" s="20">
        <v>3</v>
      </c>
      <c r="E89" s="20">
        <v>4</v>
      </c>
      <c r="F89" s="20">
        <v>5</v>
      </c>
      <c r="G89" s="20">
        <v>6</v>
      </c>
      <c r="H89" s="20">
        <v>7</v>
      </c>
      <c r="I89" s="20">
        <v>8</v>
      </c>
      <c r="J89" s="20">
        <v>9</v>
      </c>
    </row>
    <row r="90" spans="1:10" x14ac:dyDescent="0.75">
      <c r="A90" s="13" t="s">
        <v>10</v>
      </c>
      <c r="B90" s="20">
        <v>7</v>
      </c>
      <c r="C90" s="20">
        <v>4</v>
      </c>
      <c r="D90" s="20">
        <v>4</v>
      </c>
      <c r="E90" s="20">
        <v>4</v>
      </c>
      <c r="F90" s="20">
        <v>5</v>
      </c>
      <c r="G90" s="20" t="s">
        <v>16</v>
      </c>
      <c r="H90" s="20">
        <v>1</v>
      </c>
      <c r="I90" s="20" t="s">
        <v>17</v>
      </c>
      <c r="J90" s="20">
        <v>1</v>
      </c>
    </row>
    <row r="91" spans="1:10" x14ac:dyDescent="0.75">
      <c r="A91" s="14" t="s">
        <v>3</v>
      </c>
      <c r="B91" s="21">
        <f t="shared" ref="B91:J91" si="1">AVERAGE(B19:B83)</f>
        <v>2.8363636363636364</v>
      </c>
      <c r="C91" s="21">
        <f t="shared" si="1"/>
        <v>2.8090909090909091</v>
      </c>
      <c r="D91" s="21">
        <f t="shared" si="1"/>
        <v>2.7681818181818181</v>
      </c>
      <c r="E91" s="21">
        <f t="shared" si="1"/>
        <v>2.9272727272727272</v>
      </c>
      <c r="F91" s="21">
        <f t="shared" si="1"/>
        <v>2.9727272727272727</v>
      </c>
      <c r="G91" s="21">
        <f t="shared" si="1"/>
        <v>2.8818181818181818</v>
      </c>
      <c r="H91" s="21">
        <f t="shared" si="1"/>
        <v>2.8409090909090908</v>
      </c>
      <c r="I91" s="21">
        <f t="shared" si="1"/>
        <v>2.8181818181818183</v>
      </c>
      <c r="J91" s="21">
        <f t="shared" si="1"/>
        <v>2.7590909090909093</v>
      </c>
    </row>
    <row r="92" spans="1:10" x14ac:dyDescent="0.75">
      <c r="A92" s="13" t="s">
        <v>4</v>
      </c>
      <c r="B92" s="22">
        <f t="shared" ref="B92:J92" si="2">STDEV(B19:B83)</f>
        <v>0.3915135097066611</v>
      </c>
      <c r="C92" s="22">
        <f t="shared" si="2"/>
        <v>0.47376456384248711</v>
      </c>
      <c r="D92" s="22">
        <f t="shared" si="2"/>
        <v>0.43262373913517504</v>
      </c>
      <c r="E92" s="22">
        <f t="shared" si="2"/>
        <v>0.32515212704810248</v>
      </c>
      <c r="F92" s="22">
        <f t="shared" si="2"/>
        <v>0.14963479672379826</v>
      </c>
      <c r="G92" s="22">
        <f t="shared" si="2"/>
        <v>0.35957325998039619</v>
      </c>
      <c r="H92" s="22">
        <f t="shared" si="2"/>
        <v>0.37380561757501718</v>
      </c>
      <c r="I92" s="22">
        <f t="shared" si="2"/>
        <v>0.40669895549907736</v>
      </c>
      <c r="J92" s="22">
        <f t="shared" si="2"/>
        <v>0.38177108094924939</v>
      </c>
    </row>
    <row r="93" spans="1:10" x14ac:dyDescent="0.75">
      <c r="A93" s="14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75">
      <c r="A94" s="14" t="s">
        <v>19</v>
      </c>
      <c r="B94" s="5">
        <f>AVERAGE(B91:J91)</f>
        <v>2.8459595959595956</v>
      </c>
      <c r="C94" s="3"/>
      <c r="D94" s="3"/>
      <c r="E94" s="3"/>
      <c r="F94" s="3"/>
      <c r="G94" s="3"/>
      <c r="H94" s="3"/>
      <c r="I94" s="3"/>
      <c r="J94" s="3"/>
    </row>
    <row r="95" spans="1:10" x14ac:dyDescent="0.75">
      <c r="A95" s="13"/>
      <c r="B95" s="10"/>
      <c r="C95" s="10"/>
      <c r="D95" s="10"/>
      <c r="E95" s="10"/>
      <c r="F95" s="10"/>
      <c r="G95" s="10"/>
      <c r="H95" s="10"/>
      <c r="I95" s="10"/>
      <c r="J95" s="10"/>
    </row>
    <row r="96" spans="1:10" x14ac:dyDescent="0.75">
      <c r="A96" s="14"/>
      <c r="B96" s="3"/>
      <c r="C96" s="3"/>
      <c r="D96" s="3"/>
      <c r="E96" s="3"/>
      <c r="F96" s="3"/>
      <c r="G96" s="3"/>
      <c r="H96" s="3"/>
      <c r="I96" s="3"/>
      <c r="J96" s="3"/>
    </row>
    <row r="98" spans="1:9" x14ac:dyDescent="0.75">
      <c r="A98" s="6" t="s">
        <v>12</v>
      </c>
      <c r="B98" s="4"/>
      <c r="C98" s="4"/>
      <c r="D98" s="4"/>
      <c r="E98" s="4"/>
      <c r="F98" s="4"/>
      <c r="G98" s="9"/>
    </row>
    <row r="99" spans="1:9" x14ac:dyDescent="0.75">
      <c r="A99" s="6"/>
      <c r="B99" s="24">
        <v>1</v>
      </c>
      <c r="C99" s="24">
        <v>2</v>
      </c>
      <c r="D99" s="24">
        <v>4</v>
      </c>
      <c r="E99" s="24">
        <v>5</v>
      </c>
      <c r="F99" s="17">
        <v>6</v>
      </c>
      <c r="G99" s="17">
        <v>7</v>
      </c>
    </row>
    <row r="100" spans="1:9" x14ac:dyDescent="0.75">
      <c r="A100" s="4" t="s">
        <v>6</v>
      </c>
      <c r="B100" s="25">
        <f>AVERAGE(G91,H91,I91,J91)</f>
        <v>2.8250000000000002</v>
      </c>
      <c r="C100" s="25">
        <f>AVERAGE(G91)</f>
        <v>2.8818181818181818</v>
      </c>
      <c r="D100" s="25">
        <f>AVERAGE(C91,D91,E91)</f>
        <v>2.8348484848484845</v>
      </c>
      <c r="E100" s="25">
        <f>AVERAGE(F91)</f>
        <v>2.9727272727272727</v>
      </c>
      <c r="F100" s="25">
        <f>AVERAGE(I91)</f>
        <v>2.8181818181818183</v>
      </c>
      <c r="G100" s="25">
        <f>AVERAGE(B91)</f>
        <v>2.8363636363636364</v>
      </c>
      <c r="I100" s="23"/>
    </row>
    <row r="101" spans="1:9" x14ac:dyDescent="0.75">
      <c r="A101" s="4" t="s">
        <v>7</v>
      </c>
      <c r="B101" s="25">
        <f>STDEV(G91,H91,I91,J91)</f>
        <v>5.1224671225384669E-2</v>
      </c>
      <c r="C101" s="25" t="s">
        <v>18</v>
      </c>
      <c r="D101" s="25">
        <f>STDEV(C91,D91,E91)</f>
        <v>8.2613975031609638E-2</v>
      </c>
      <c r="E101" s="25" t="s">
        <v>18</v>
      </c>
      <c r="F101" s="26" t="s">
        <v>18</v>
      </c>
      <c r="G101" s="26" t="s">
        <v>18</v>
      </c>
      <c r="I101" s="23"/>
    </row>
    <row r="103" spans="1:9" x14ac:dyDescent="0.75">
      <c r="B103" s="23"/>
    </row>
    <row r="157" spans="8:10" x14ac:dyDescent="0.75">
      <c r="H157" s="7"/>
      <c r="I157" s="7"/>
      <c r="J157" s="7"/>
    </row>
    <row r="179" spans="1:2" x14ac:dyDescent="0.75">
      <c r="B179" s="8"/>
    </row>
    <row r="180" spans="1:2" x14ac:dyDescent="0.75">
      <c r="B180" s="8"/>
    </row>
    <row r="181" spans="1:2" x14ac:dyDescent="0.75">
      <c r="B181" s="8"/>
    </row>
    <row r="182" spans="1:2" x14ac:dyDescent="0.75">
      <c r="B182" s="8"/>
    </row>
    <row r="184" spans="1:2" x14ac:dyDescent="0.75">
      <c r="A184" s="1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6368-F0CC-415B-991A-E950D4B242C4}">
  <dimension ref="A1:P174"/>
  <sheetViews>
    <sheetView topLeftCell="A61" zoomScale="90" zoomScaleNormal="90" workbookViewId="0">
      <selection activeCell="K71" sqref="K71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3</v>
      </c>
      <c r="D19" s="18">
        <v>2</v>
      </c>
      <c r="E19" s="31">
        <v>3</v>
      </c>
      <c r="F19" s="37">
        <v>3</v>
      </c>
      <c r="G19" s="18">
        <v>3</v>
      </c>
      <c r="H19" s="31">
        <v>3</v>
      </c>
      <c r="I19" s="18">
        <v>2.75</v>
      </c>
      <c r="J19" s="18">
        <v>2.75</v>
      </c>
    </row>
    <row r="20" spans="1:10" x14ac:dyDescent="0.75">
      <c r="A20" s="40">
        <f>A19+1</f>
        <v>2</v>
      </c>
      <c r="B20" s="31">
        <v>3</v>
      </c>
      <c r="C20" s="18">
        <v>2.5</v>
      </c>
      <c r="D20" s="18">
        <v>3</v>
      </c>
      <c r="E20" s="31">
        <v>3</v>
      </c>
      <c r="F20" s="37">
        <v>3</v>
      </c>
      <c r="G20" s="18">
        <v>2.75</v>
      </c>
      <c r="H20" s="31">
        <v>2.75</v>
      </c>
      <c r="I20" s="18">
        <v>2.75</v>
      </c>
      <c r="J20" s="18">
        <v>2.75</v>
      </c>
    </row>
    <row r="21" spans="1:10" x14ac:dyDescent="0.75">
      <c r="A21" s="40">
        <f t="shared" ref="A21:A63" si="0">A20+1</f>
        <v>3</v>
      </c>
      <c r="B21" s="31">
        <v>2.5</v>
      </c>
      <c r="C21" s="18">
        <v>2.5</v>
      </c>
      <c r="D21" s="18">
        <v>3</v>
      </c>
      <c r="E21" s="31">
        <v>3</v>
      </c>
      <c r="F21" s="37">
        <v>3</v>
      </c>
      <c r="G21" s="18">
        <v>3</v>
      </c>
      <c r="H21" s="31">
        <v>3</v>
      </c>
      <c r="I21" s="18">
        <v>2.5</v>
      </c>
      <c r="J21" s="18">
        <v>2.5</v>
      </c>
    </row>
    <row r="22" spans="1:10" x14ac:dyDescent="0.75">
      <c r="A22" s="40">
        <f t="shared" si="0"/>
        <v>4</v>
      </c>
      <c r="B22" s="31">
        <v>3</v>
      </c>
      <c r="C22" s="18">
        <v>3</v>
      </c>
      <c r="D22" s="18">
        <v>3</v>
      </c>
      <c r="E22" s="31">
        <v>3</v>
      </c>
      <c r="F22" s="37">
        <v>3</v>
      </c>
      <c r="G22" s="18">
        <v>3</v>
      </c>
      <c r="H22" s="31">
        <v>3</v>
      </c>
      <c r="I22" s="18">
        <v>2.75</v>
      </c>
      <c r="J22" s="18">
        <v>2.75</v>
      </c>
    </row>
    <row r="23" spans="1:10" x14ac:dyDescent="0.75">
      <c r="A23" s="41">
        <f t="shared" si="0"/>
        <v>5</v>
      </c>
      <c r="B23" s="32">
        <v>2.75</v>
      </c>
      <c r="C23" s="19">
        <v>3</v>
      </c>
      <c r="D23" s="19">
        <v>3</v>
      </c>
      <c r="E23" s="32">
        <v>3</v>
      </c>
      <c r="F23" s="38">
        <v>3</v>
      </c>
      <c r="G23" s="19">
        <v>3</v>
      </c>
      <c r="H23" s="32">
        <v>3</v>
      </c>
      <c r="I23" s="19">
        <v>2.75</v>
      </c>
      <c r="J23" s="19">
        <v>2.75</v>
      </c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2.5</v>
      </c>
      <c r="F24" s="37">
        <v>3</v>
      </c>
      <c r="G24" s="18">
        <v>2.5</v>
      </c>
      <c r="H24" s="31">
        <v>3</v>
      </c>
      <c r="I24" s="18">
        <v>3</v>
      </c>
      <c r="J24" s="18">
        <v>3</v>
      </c>
    </row>
    <row r="25" spans="1:10" x14ac:dyDescent="0.75">
      <c r="A25" s="40">
        <f t="shared" si="0"/>
        <v>7</v>
      </c>
      <c r="B25" s="31">
        <v>3</v>
      </c>
      <c r="C25" s="18">
        <v>3</v>
      </c>
      <c r="D25" s="18">
        <v>3</v>
      </c>
      <c r="E25" s="31">
        <v>2</v>
      </c>
      <c r="F25" s="37">
        <v>3</v>
      </c>
      <c r="G25" s="18">
        <v>3</v>
      </c>
      <c r="H25" s="31">
        <v>2.5</v>
      </c>
      <c r="I25" s="18">
        <v>3</v>
      </c>
      <c r="J25" s="18">
        <v>3</v>
      </c>
    </row>
    <row r="26" spans="1:10" x14ac:dyDescent="0.75">
      <c r="A26" s="40">
        <f t="shared" si="0"/>
        <v>8</v>
      </c>
      <c r="B26" s="31">
        <v>3</v>
      </c>
      <c r="C26" s="18">
        <v>2</v>
      </c>
      <c r="D26" s="18">
        <v>3</v>
      </c>
      <c r="E26" s="31">
        <v>3</v>
      </c>
      <c r="F26" s="37">
        <v>3</v>
      </c>
      <c r="G26" s="18">
        <v>3</v>
      </c>
      <c r="H26" s="31">
        <v>3</v>
      </c>
      <c r="I26" s="18">
        <v>3</v>
      </c>
      <c r="J26" s="18">
        <v>3</v>
      </c>
    </row>
    <row r="27" spans="1:10" x14ac:dyDescent="0.75">
      <c r="A27" s="40">
        <f t="shared" si="0"/>
        <v>9</v>
      </c>
      <c r="B27" s="31">
        <v>3</v>
      </c>
      <c r="C27" s="18">
        <v>3</v>
      </c>
      <c r="D27" s="18">
        <v>3</v>
      </c>
      <c r="E27" s="31">
        <v>3</v>
      </c>
      <c r="F27" s="37">
        <v>3</v>
      </c>
      <c r="G27" s="18">
        <v>3</v>
      </c>
      <c r="H27" s="31">
        <v>3</v>
      </c>
      <c r="I27" s="18">
        <v>3</v>
      </c>
      <c r="J27" s="18">
        <v>3</v>
      </c>
    </row>
    <row r="28" spans="1:10" x14ac:dyDescent="0.75">
      <c r="A28" s="40">
        <f t="shared" si="0"/>
        <v>10</v>
      </c>
      <c r="B28" s="31">
        <v>3</v>
      </c>
      <c r="C28" s="18">
        <v>3</v>
      </c>
      <c r="D28" s="18">
        <v>3</v>
      </c>
      <c r="E28" s="31">
        <v>3</v>
      </c>
      <c r="F28" s="37">
        <v>3</v>
      </c>
      <c r="G28" s="18">
        <v>3</v>
      </c>
      <c r="H28" s="31">
        <v>3</v>
      </c>
      <c r="I28" s="18">
        <v>2.75</v>
      </c>
      <c r="J28" s="18">
        <v>2.75</v>
      </c>
    </row>
    <row r="29" spans="1:10" x14ac:dyDescent="0.75">
      <c r="A29" s="41">
        <f t="shared" si="0"/>
        <v>11</v>
      </c>
      <c r="B29" s="32">
        <v>2.75</v>
      </c>
      <c r="C29" s="19">
        <v>3</v>
      </c>
      <c r="D29" s="19">
        <v>3</v>
      </c>
      <c r="E29" s="32">
        <v>3</v>
      </c>
      <c r="F29" s="38">
        <v>3</v>
      </c>
      <c r="G29" s="19">
        <v>3</v>
      </c>
      <c r="H29" s="32">
        <v>3</v>
      </c>
      <c r="I29" s="19">
        <v>3</v>
      </c>
      <c r="J29" s="19">
        <v>3</v>
      </c>
    </row>
    <row r="30" spans="1:10" x14ac:dyDescent="0.75">
      <c r="A30" s="40">
        <f t="shared" si="0"/>
        <v>12</v>
      </c>
      <c r="B30" s="31">
        <v>2.75</v>
      </c>
      <c r="C30" s="18">
        <v>3</v>
      </c>
      <c r="D30" s="18">
        <v>3</v>
      </c>
      <c r="E30" s="31">
        <v>3</v>
      </c>
      <c r="F30" s="37">
        <v>3</v>
      </c>
      <c r="G30" s="18">
        <v>3</v>
      </c>
      <c r="H30" s="31">
        <v>3</v>
      </c>
      <c r="I30" s="18">
        <v>2.75</v>
      </c>
      <c r="J30" s="18">
        <v>2.75</v>
      </c>
    </row>
    <row r="31" spans="1:10" x14ac:dyDescent="0.75">
      <c r="A31" s="40">
        <f t="shared" si="0"/>
        <v>13</v>
      </c>
      <c r="B31" s="31">
        <v>3</v>
      </c>
      <c r="C31" s="18">
        <v>2</v>
      </c>
      <c r="D31" s="18">
        <v>2</v>
      </c>
      <c r="E31" s="31">
        <v>3</v>
      </c>
      <c r="F31" s="37">
        <v>3</v>
      </c>
      <c r="G31" s="18">
        <v>3</v>
      </c>
      <c r="H31" s="31">
        <v>2.5</v>
      </c>
      <c r="I31" s="18">
        <v>3</v>
      </c>
      <c r="J31" s="18">
        <v>2.5</v>
      </c>
    </row>
    <row r="32" spans="1:10" x14ac:dyDescent="0.75">
      <c r="A32" s="40">
        <f t="shared" si="0"/>
        <v>14</v>
      </c>
      <c r="B32" s="31">
        <v>3</v>
      </c>
      <c r="C32" s="18">
        <v>2.5</v>
      </c>
      <c r="D32" s="18">
        <v>3</v>
      </c>
      <c r="E32" s="31">
        <v>3</v>
      </c>
      <c r="F32" s="37">
        <v>3</v>
      </c>
      <c r="G32" s="18">
        <v>3</v>
      </c>
      <c r="H32" s="31">
        <v>3</v>
      </c>
      <c r="I32" s="18">
        <v>3</v>
      </c>
      <c r="J32" s="18">
        <v>3</v>
      </c>
    </row>
    <row r="33" spans="1:10" x14ac:dyDescent="0.75">
      <c r="A33" s="40">
        <f t="shared" si="0"/>
        <v>15</v>
      </c>
      <c r="B33" s="31">
        <v>3</v>
      </c>
      <c r="C33" s="18">
        <v>3</v>
      </c>
      <c r="D33" s="18">
        <v>3</v>
      </c>
      <c r="E33" s="31">
        <v>3</v>
      </c>
      <c r="F33" s="37">
        <v>3</v>
      </c>
      <c r="G33" s="18">
        <v>3</v>
      </c>
      <c r="H33" s="31">
        <v>3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3</v>
      </c>
      <c r="F34" s="37">
        <v>3</v>
      </c>
      <c r="G34" s="18">
        <v>3</v>
      </c>
      <c r="H34" s="31">
        <v>3</v>
      </c>
      <c r="I34" s="18">
        <v>2.75</v>
      </c>
      <c r="J34" s="18">
        <v>2.75</v>
      </c>
    </row>
    <row r="35" spans="1:10" x14ac:dyDescent="0.75">
      <c r="A35" s="41">
        <f t="shared" si="0"/>
        <v>17</v>
      </c>
      <c r="B35" s="32">
        <v>3</v>
      </c>
      <c r="C35" s="19">
        <v>3</v>
      </c>
      <c r="D35" s="19">
        <v>3</v>
      </c>
      <c r="E35" s="32">
        <v>3</v>
      </c>
      <c r="F35" s="38">
        <v>3</v>
      </c>
      <c r="G35" s="19">
        <v>3</v>
      </c>
      <c r="H35" s="32">
        <v>3</v>
      </c>
      <c r="I35" s="19">
        <v>2.75</v>
      </c>
      <c r="J35" s="19">
        <v>2.75</v>
      </c>
    </row>
    <row r="36" spans="1:10" x14ac:dyDescent="0.75">
      <c r="A36" s="40">
        <f t="shared" si="0"/>
        <v>18</v>
      </c>
      <c r="B36" s="31">
        <v>3</v>
      </c>
      <c r="C36" s="18">
        <v>3</v>
      </c>
      <c r="D36" s="18">
        <v>3</v>
      </c>
      <c r="E36" s="31">
        <v>3</v>
      </c>
      <c r="F36" s="37">
        <v>3</v>
      </c>
      <c r="G36" s="18">
        <v>3</v>
      </c>
      <c r="H36" s="31">
        <v>3</v>
      </c>
      <c r="I36" s="18">
        <v>2</v>
      </c>
      <c r="J36" s="18">
        <v>2</v>
      </c>
    </row>
    <row r="37" spans="1:10" x14ac:dyDescent="0.75">
      <c r="A37" s="40">
        <f t="shared" si="0"/>
        <v>19</v>
      </c>
      <c r="B37" s="31">
        <v>3</v>
      </c>
      <c r="C37" s="18">
        <v>3</v>
      </c>
      <c r="D37" s="18">
        <v>2.5</v>
      </c>
      <c r="E37" s="31">
        <v>3</v>
      </c>
      <c r="F37" s="37">
        <v>3</v>
      </c>
      <c r="G37" s="18">
        <v>3</v>
      </c>
      <c r="H37" s="31">
        <v>2.75</v>
      </c>
      <c r="I37" s="18">
        <v>3</v>
      </c>
      <c r="J37" s="18">
        <v>2</v>
      </c>
    </row>
    <row r="38" spans="1:10" x14ac:dyDescent="0.75">
      <c r="A38" s="40">
        <f t="shared" si="0"/>
        <v>20</v>
      </c>
      <c r="B38" s="31">
        <v>2</v>
      </c>
      <c r="C38" s="18">
        <v>3</v>
      </c>
      <c r="D38" s="18">
        <v>2.75</v>
      </c>
      <c r="E38" s="31">
        <v>3</v>
      </c>
      <c r="F38" s="37">
        <v>3</v>
      </c>
      <c r="G38" s="18">
        <v>3</v>
      </c>
      <c r="H38" s="31">
        <v>3</v>
      </c>
      <c r="I38" s="18">
        <v>3</v>
      </c>
      <c r="J38" s="18">
        <v>3</v>
      </c>
    </row>
    <row r="39" spans="1:10" x14ac:dyDescent="0.75">
      <c r="A39" s="41">
        <f t="shared" si="0"/>
        <v>21</v>
      </c>
      <c r="B39" s="32">
        <v>2.5</v>
      </c>
      <c r="C39" s="19">
        <v>3</v>
      </c>
      <c r="D39" s="19">
        <v>2</v>
      </c>
      <c r="E39" s="32">
        <v>2</v>
      </c>
      <c r="F39" s="38">
        <v>3</v>
      </c>
      <c r="G39" s="19">
        <v>2</v>
      </c>
      <c r="H39" s="32">
        <v>2</v>
      </c>
      <c r="I39" s="19">
        <v>1</v>
      </c>
      <c r="J39" s="19">
        <v>1</v>
      </c>
    </row>
    <row r="40" spans="1:10" x14ac:dyDescent="0.75">
      <c r="A40" s="40">
        <f t="shared" si="0"/>
        <v>22</v>
      </c>
      <c r="B40" s="31">
        <v>3</v>
      </c>
      <c r="C40" s="18">
        <v>3</v>
      </c>
      <c r="D40" s="18">
        <v>2</v>
      </c>
      <c r="E40" s="31">
        <v>2</v>
      </c>
      <c r="F40" s="37">
        <v>3</v>
      </c>
      <c r="G40" s="18">
        <v>3</v>
      </c>
      <c r="H40" s="31">
        <v>2.75</v>
      </c>
      <c r="I40" s="18">
        <v>3</v>
      </c>
      <c r="J40" s="18">
        <v>3</v>
      </c>
    </row>
    <row r="41" spans="1:10" x14ac:dyDescent="0.75">
      <c r="A41" s="40">
        <f t="shared" si="0"/>
        <v>23</v>
      </c>
      <c r="B41" s="31">
        <v>3</v>
      </c>
      <c r="C41" s="18">
        <v>3</v>
      </c>
      <c r="D41" s="18">
        <v>3</v>
      </c>
      <c r="E41" s="31">
        <v>3</v>
      </c>
      <c r="F41" s="37">
        <v>3</v>
      </c>
      <c r="G41" s="18">
        <v>3</v>
      </c>
      <c r="H41" s="31">
        <v>3</v>
      </c>
      <c r="I41" s="18">
        <v>3</v>
      </c>
      <c r="J41" s="18">
        <v>3</v>
      </c>
    </row>
    <row r="42" spans="1:10" x14ac:dyDescent="0.75">
      <c r="A42" s="40">
        <f t="shared" si="0"/>
        <v>24</v>
      </c>
      <c r="B42" s="31">
        <v>3</v>
      </c>
      <c r="C42" s="18">
        <v>3</v>
      </c>
      <c r="D42" s="18">
        <v>3</v>
      </c>
      <c r="E42" s="31">
        <v>2.75</v>
      </c>
      <c r="F42" s="37">
        <v>3</v>
      </c>
      <c r="G42" s="18">
        <v>3</v>
      </c>
      <c r="H42" s="31">
        <v>3</v>
      </c>
      <c r="I42" s="18">
        <v>3</v>
      </c>
      <c r="J42" s="18">
        <v>3</v>
      </c>
    </row>
    <row r="43" spans="1:10" x14ac:dyDescent="0.75">
      <c r="A43" s="40">
        <f t="shared" si="0"/>
        <v>25</v>
      </c>
      <c r="B43" s="31">
        <v>2.5</v>
      </c>
      <c r="C43" s="18">
        <v>3</v>
      </c>
      <c r="D43" s="18">
        <v>3</v>
      </c>
      <c r="E43" s="31">
        <v>3</v>
      </c>
      <c r="F43" s="37">
        <v>3</v>
      </c>
      <c r="G43" s="18">
        <v>3</v>
      </c>
      <c r="H43" s="31">
        <v>3</v>
      </c>
      <c r="I43" s="18">
        <v>3</v>
      </c>
      <c r="J43" s="18">
        <v>2.75</v>
      </c>
    </row>
    <row r="44" spans="1:10" x14ac:dyDescent="0.75">
      <c r="A44" s="41">
        <f t="shared" si="0"/>
        <v>26</v>
      </c>
      <c r="B44" s="32">
        <v>3</v>
      </c>
      <c r="C44" s="19">
        <v>3</v>
      </c>
      <c r="D44" s="19">
        <v>3</v>
      </c>
      <c r="E44" s="32">
        <v>3</v>
      </c>
      <c r="F44" s="38">
        <v>3</v>
      </c>
      <c r="G44" s="19">
        <v>2</v>
      </c>
      <c r="H44" s="32">
        <v>3</v>
      </c>
      <c r="I44" s="19">
        <v>2</v>
      </c>
      <c r="J44" s="19">
        <v>2</v>
      </c>
    </row>
    <row r="45" spans="1:10" x14ac:dyDescent="0.75">
      <c r="A45" s="40">
        <f t="shared" si="0"/>
        <v>27</v>
      </c>
      <c r="B45" s="31">
        <v>3</v>
      </c>
      <c r="C45" s="18">
        <v>3</v>
      </c>
      <c r="D45" s="18">
        <v>3</v>
      </c>
      <c r="E45" s="31">
        <v>3</v>
      </c>
      <c r="F45" s="37">
        <v>3</v>
      </c>
      <c r="G45" s="18">
        <v>3</v>
      </c>
      <c r="H45" s="31">
        <v>3</v>
      </c>
      <c r="I45" s="18">
        <v>3</v>
      </c>
      <c r="J45" s="18">
        <v>3</v>
      </c>
    </row>
    <row r="46" spans="1:10" x14ac:dyDescent="0.75">
      <c r="A46" s="40">
        <f t="shared" si="0"/>
        <v>28</v>
      </c>
      <c r="B46" s="31">
        <v>3</v>
      </c>
      <c r="C46" s="18">
        <v>3</v>
      </c>
      <c r="D46" s="18">
        <v>2.75</v>
      </c>
      <c r="E46" s="31">
        <v>3</v>
      </c>
      <c r="F46" s="37">
        <v>3</v>
      </c>
      <c r="G46" s="18">
        <v>3</v>
      </c>
      <c r="H46" s="31">
        <v>3</v>
      </c>
      <c r="I46" s="18">
        <v>3</v>
      </c>
      <c r="J46" s="18">
        <v>3</v>
      </c>
    </row>
    <row r="47" spans="1:10" x14ac:dyDescent="0.75">
      <c r="A47" s="40">
        <f t="shared" si="0"/>
        <v>29</v>
      </c>
      <c r="B47" s="31">
        <v>3</v>
      </c>
      <c r="C47" s="18">
        <v>2</v>
      </c>
      <c r="D47" s="18">
        <v>3</v>
      </c>
      <c r="E47" s="31">
        <v>3</v>
      </c>
      <c r="F47" s="37">
        <v>3</v>
      </c>
      <c r="G47" s="18">
        <v>3</v>
      </c>
      <c r="H47" s="31">
        <v>3</v>
      </c>
      <c r="I47" s="18">
        <v>3</v>
      </c>
      <c r="J47" s="18">
        <v>3</v>
      </c>
    </row>
    <row r="48" spans="1:10" x14ac:dyDescent="0.75">
      <c r="A48" s="40">
        <f t="shared" si="0"/>
        <v>30</v>
      </c>
      <c r="B48" s="31">
        <v>3</v>
      </c>
      <c r="C48" s="18">
        <v>3</v>
      </c>
      <c r="D48" s="18">
        <v>3</v>
      </c>
      <c r="E48" s="31">
        <v>3</v>
      </c>
      <c r="F48" s="37">
        <v>3</v>
      </c>
      <c r="G48" s="18">
        <v>2</v>
      </c>
      <c r="H48" s="31">
        <v>3</v>
      </c>
      <c r="I48" s="18">
        <v>3</v>
      </c>
      <c r="J48" s="18">
        <v>3</v>
      </c>
    </row>
    <row r="49" spans="1:10" x14ac:dyDescent="0.75">
      <c r="A49" s="41">
        <f t="shared" si="0"/>
        <v>31</v>
      </c>
      <c r="B49" s="32">
        <v>2.5</v>
      </c>
      <c r="C49" s="19">
        <v>3</v>
      </c>
      <c r="D49" s="19">
        <v>3</v>
      </c>
      <c r="E49" s="32">
        <v>3</v>
      </c>
      <c r="F49" s="38">
        <v>3</v>
      </c>
      <c r="G49" s="19">
        <v>3</v>
      </c>
      <c r="H49" s="32">
        <v>3</v>
      </c>
      <c r="I49" s="19">
        <v>3</v>
      </c>
      <c r="J49" s="19">
        <v>3</v>
      </c>
    </row>
    <row r="50" spans="1:10" x14ac:dyDescent="0.75">
      <c r="A50" s="40">
        <f t="shared" si="0"/>
        <v>32</v>
      </c>
      <c r="B50" s="31">
        <v>3</v>
      </c>
      <c r="C50" s="18">
        <v>3</v>
      </c>
      <c r="D50" s="18">
        <v>3</v>
      </c>
      <c r="E50" s="31">
        <v>3</v>
      </c>
      <c r="F50" s="37">
        <v>3</v>
      </c>
      <c r="G50" s="18">
        <v>3</v>
      </c>
      <c r="H50" s="31">
        <v>3</v>
      </c>
      <c r="I50" s="18">
        <v>3</v>
      </c>
      <c r="J50" s="18">
        <v>3</v>
      </c>
    </row>
    <row r="51" spans="1:10" x14ac:dyDescent="0.75">
      <c r="A51" s="40">
        <f t="shared" si="0"/>
        <v>33</v>
      </c>
      <c r="B51" s="31">
        <v>3</v>
      </c>
      <c r="C51" s="18">
        <v>3</v>
      </c>
      <c r="D51" s="18">
        <v>3</v>
      </c>
      <c r="E51" s="31">
        <v>3</v>
      </c>
      <c r="F51" s="37">
        <v>3</v>
      </c>
      <c r="G51" s="18">
        <v>3</v>
      </c>
      <c r="H51" s="31">
        <v>3</v>
      </c>
      <c r="I51" s="18">
        <v>3</v>
      </c>
      <c r="J51" s="18">
        <v>2.75</v>
      </c>
    </row>
    <row r="52" spans="1:10" x14ac:dyDescent="0.75">
      <c r="A52" s="40">
        <f t="shared" si="0"/>
        <v>34</v>
      </c>
      <c r="B52" s="31">
        <v>3</v>
      </c>
      <c r="C52" s="18">
        <v>2.5</v>
      </c>
      <c r="D52" s="18">
        <v>3</v>
      </c>
      <c r="E52" s="31">
        <v>3</v>
      </c>
      <c r="F52" s="37">
        <v>3</v>
      </c>
      <c r="G52" s="18">
        <v>3</v>
      </c>
      <c r="H52" s="31">
        <v>3</v>
      </c>
      <c r="I52" s="18">
        <v>3</v>
      </c>
      <c r="J52" s="18">
        <v>3</v>
      </c>
    </row>
    <row r="53" spans="1:10" x14ac:dyDescent="0.75">
      <c r="A53" s="40">
        <f t="shared" si="0"/>
        <v>35</v>
      </c>
      <c r="B53" s="31">
        <v>3</v>
      </c>
      <c r="C53" s="18">
        <v>3</v>
      </c>
      <c r="D53" s="18">
        <v>3</v>
      </c>
      <c r="E53" s="31">
        <v>2</v>
      </c>
      <c r="F53" s="37">
        <v>3</v>
      </c>
      <c r="G53" s="18">
        <v>3</v>
      </c>
      <c r="H53" s="31">
        <v>3</v>
      </c>
      <c r="I53" s="18">
        <v>3</v>
      </c>
      <c r="J53" s="18">
        <v>3</v>
      </c>
    </row>
    <row r="54" spans="1:10" x14ac:dyDescent="0.75">
      <c r="A54" s="41">
        <f t="shared" si="0"/>
        <v>36</v>
      </c>
      <c r="B54" s="32">
        <v>3</v>
      </c>
      <c r="C54" s="19">
        <v>3</v>
      </c>
      <c r="D54" s="19">
        <v>3</v>
      </c>
      <c r="E54" s="32">
        <v>3</v>
      </c>
      <c r="F54" s="38">
        <v>3</v>
      </c>
      <c r="G54" s="19">
        <v>3</v>
      </c>
      <c r="H54" s="32">
        <v>3</v>
      </c>
      <c r="I54" s="19">
        <v>3</v>
      </c>
      <c r="J54" s="19">
        <v>2</v>
      </c>
    </row>
    <row r="55" spans="1:10" x14ac:dyDescent="0.75">
      <c r="A55" s="40">
        <f t="shared" si="0"/>
        <v>37</v>
      </c>
      <c r="B55" s="31">
        <v>3</v>
      </c>
      <c r="C55" s="18">
        <v>3</v>
      </c>
      <c r="D55" s="18">
        <v>3</v>
      </c>
      <c r="E55" s="31">
        <v>3</v>
      </c>
      <c r="F55" s="37">
        <v>3</v>
      </c>
      <c r="G55" s="18">
        <v>2</v>
      </c>
      <c r="H55" s="31">
        <v>2</v>
      </c>
      <c r="I55" s="18">
        <v>3</v>
      </c>
      <c r="J55" s="18">
        <v>3</v>
      </c>
    </row>
    <row r="56" spans="1:10" x14ac:dyDescent="0.75">
      <c r="A56" s="40">
        <f t="shared" si="0"/>
        <v>38</v>
      </c>
      <c r="B56" s="31">
        <v>2</v>
      </c>
      <c r="C56" s="18">
        <v>2</v>
      </c>
      <c r="D56" s="18">
        <v>2</v>
      </c>
      <c r="E56" s="31">
        <v>3</v>
      </c>
      <c r="F56" s="37">
        <v>3</v>
      </c>
      <c r="G56" s="18">
        <v>3</v>
      </c>
      <c r="H56" s="31">
        <v>3</v>
      </c>
      <c r="I56" s="18">
        <v>3</v>
      </c>
      <c r="J56" s="18">
        <v>3</v>
      </c>
    </row>
    <row r="57" spans="1:10" x14ac:dyDescent="0.75">
      <c r="A57" s="40">
        <f t="shared" si="0"/>
        <v>39</v>
      </c>
      <c r="B57" s="31">
        <v>3</v>
      </c>
      <c r="C57" s="18">
        <v>3</v>
      </c>
      <c r="D57" s="18">
        <v>3</v>
      </c>
      <c r="E57" s="31">
        <v>3</v>
      </c>
      <c r="F57" s="37">
        <v>3</v>
      </c>
      <c r="G57" s="18">
        <v>3</v>
      </c>
      <c r="H57" s="31">
        <v>3</v>
      </c>
      <c r="I57" s="18">
        <v>3</v>
      </c>
      <c r="J57" s="18">
        <v>3</v>
      </c>
    </row>
    <row r="58" spans="1:10" x14ac:dyDescent="0.75">
      <c r="A58" s="40">
        <f t="shared" si="0"/>
        <v>40</v>
      </c>
      <c r="B58" s="31">
        <v>3</v>
      </c>
      <c r="C58" s="18">
        <v>3</v>
      </c>
      <c r="D58" s="18">
        <v>3</v>
      </c>
      <c r="E58" s="31">
        <v>3</v>
      </c>
      <c r="F58" s="37">
        <v>3</v>
      </c>
      <c r="G58" s="18">
        <v>3</v>
      </c>
      <c r="H58" s="31">
        <v>3</v>
      </c>
      <c r="I58" s="18">
        <v>3</v>
      </c>
      <c r="J58" s="18">
        <v>2</v>
      </c>
    </row>
    <row r="59" spans="1:10" x14ac:dyDescent="0.75">
      <c r="A59" s="41">
        <f t="shared" si="0"/>
        <v>41</v>
      </c>
      <c r="B59" s="32">
        <v>3</v>
      </c>
      <c r="C59" s="19">
        <v>3</v>
      </c>
      <c r="D59" s="19">
        <v>3</v>
      </c>
      <c r="E59" s="32">
        <v>3</v>
      </c>
      <c r="F59" s="38">
        <v>3</v>
      </c>
      <c r="G59" s="19">
        <v>3</v>
      </c>
      <c r="H59" s="32">
        <v>2</v>
      </c>
      <c r="I59" s="19">
        <v>2</v>
      </c>
      <c r="J59" s="19">
        <v>2</v>
      </c>
    </row>
    <row r="60" spans="1:10" x14ac:dyDescent="0.75">
      <c r="A60" s="40">
        <f t="shared" si="0"/>
        <v>42</v>
      </c>
      <c r="B60" s="31">
        <v>3</v>
      </c>
      <c r="C60" s="18">
        <v>3</v>
      </c>
      <c r="D60" s="18">
        <v>3</v>
      </c>
      <c r="E60" s="31">
        <v>2</v>
      </c>
      <c r="F60" s="37">
        <v>3</v>
      </c>
      <c r="G60" s="18">
        <v>3</v>
      </c>
      <c r="H60" s="31">
        <v>3</v>
      </c>
      <c r="I60" s="18">
        <v>3</v>
      </c>
      <c r="J60" s="18">
        <v>3</v>
      </c>
    </row>
    <row r="61" spans="1:10" x14ac:dyDescent="0.75">
      <c r="A61" s="40">
        <f t="shared" si="0"/>
        <v>43</v>
      </c>
      <c r="B61" s="31">
        <v>3</v>
      </c>
      <c r="C61" s="18">
        <v>3</v>
      </c>
      <c r="D61" s="18">
        <v>3</v>
      </c>
      <c r="E61" s="31">
        <v>3</v>
      </c>
      <c r="F61" s="37">
        <v>3</v>
      </c>
      <c r="G61" s="18">
        <v>3</v>
      </c>
      <c r="H61" s="31">
        <v>3</v>
      </c>
      <c r="I61" s="18">
        <v>3</v>
      </c>
      <c r="J61" s="18">
        <v>3</v>
      </c>
    </row>
    <row r="62" spans="1:10" x14ac:dyDescent="0.75">
      <c r="A62" s="40">
        <f t="shared" si="0"/>
        <v>44</v>
      </c>
      <c r="B62" s="31">
        <v>3</v>
      </c>
      <c r="C62" s="18">
        <v>3</v>
      </c>
      <c r="D62" s="18">
        <v>3</v>
      </c>
      <c r="E62" s="31">
        <v>3</v>
      </c>
      <c r="F62" s="37">
        <v>3</v>
      </c>
      <c r="G62" s="18">
        <v>3</v>
      </c>
      <c r="H62" s="31">
        <v>2</v>
      </c>
      <c r="I62" s="18">
        <v>3</v>
      </c>
      <c r="J62" s="18">
        <v>3</v>
      </c>
    </row>
    <row r="63" spans="1:10" x14ac:dyDescent="0.75">
      <c r="A63" s="40">
        <f t="shared" si="0"/>
        <v>45</v>
      </c>
      <c r="B63" s="31">
        <v>3</v>
      </c>
      <c r="C63" s="18">
        <v>3</v>
      </c>
      <c r="D63" s="18">
        <v>3</v>
      </c>
      <c r="E63" s="31">
        <v>3</v>
      </c>
      <c r="F63" s="37">
        <v>3</v>
      </c>
      <c r="G63" s="18">
        <v>3</v>
      </c>
      <c r="H63" s="31">
        <v>3</v>
      </c>
      <c r="I63" s="18">
        <v>3</v>
      </c>
      <c r="J63" s="18">
        <v>2</v>
      </c>
    </row>
    <row r="64" spans="1:10" x14ac:dyDescent="0.75">
      <c r="A64" s="40">
        <v>46</v>
      </c>
      <c r="B64" s="31">
        <v>3</v>
      </c>
      <c r="C64" s="18">
        <v>3</v>
      </c>
      <c r="D64" s="18">
        <v>3</v>
      </c>
      <c r="E64" s="31">
        <v>3</v>
      </c>
      <c r="F64" s="37">
        <v>3</v>
      </c>
      <c r="G64" s="18">
        <v>3</v>
      </c>
      <c r="H64" s="31">
        <v>3</v>
      </c>
      <c r="I64" s="18">
        <v>3</v>
      </c>
      <c r="J64" s="18">
        <v>3</v>
      </c>
    </row>
    <row r="65" spans="1:10" x14ac:dyDescent="0.75">
      <c r="A65" s="40">
        <v>47</v>
      </c>
      <c r="B65" s="31">
        <v>2.5</v>
      </c>
      <c r="C65" s="18">
        <v>3</v>
      </c>
      <c r="D65" s="18">
        <v>3</v>
      </c>
      <c r="E65" s="31">
        <v>3</v>
      </c>
      <c r="F65" s="37">
        <v>3</v>
      </c>
      <c r="G65" s="18">
        <v>3</v>
      </c>
      <c r="H65" s="31">
        <v>3</v>
      </c>
      <c r="I65" s="18">
        <v>3</v>
      </c>
      <c r="J65" s="18">
        <v>3</v>
      </c>
    </row>
    <row r="66" spans="1:10" x14ac:dyDescent="0.75">
      <c r="A66" s="40">
        <v>48</v>
      </c>
      <c r="B66" s="31">
        <v>2.5</v>
      </c>
      <c r="C66" s="18">
        <v>3</v>
      </c>
      <c r="D66" s="18">
        <v>3</v>
      </c>
      <c r="E66" s="31">
        <v>3</v>
      </c>
      <c r="F66" s="37">
        <v>3</v>
      </c>
      <c r="G66" s="18">
        <v>3</v>
      </c>
      <c r="H66" s="31">
        <v>3</v>
      </c>
      <c r="I66" s="18">
        <v>3</v>
      </c>
      <c r="J66" s="18">
        <v>3</v>
      </c>
    </row>
    <row r="67" spans="1:10" x14ac:dyDescent="0.75">
      <c r="A67" s="40">
        <v>49</v>
      </c>
      <c r="B67" s="31">
        <v>3</v>
      </c>
      <c r="C67" s="18">
        <v>3</v>
      </c>
      <c r="D67" s="18">
        <v>3</v>
      </c>
      <c r="E67" s="31">
        <v>3</v>
      </c>
      <c r="F67" s="37">
        <v>3</v>
      </c>
      <c r="G67" s="18">
        <v>3</v>
      </c>
      <c r="H67" s="31">
        <v>3</v>
      </c>
      <c r="I67" s="18">
        <v>3</v>
      </c>
      <c r="J67" s="18">
        <v>3</v>
      </c>
    </row>
    <row r="68" spans="1:10" x14ac:dyDescent="0.75">
      <c r="A68" s="40">
        <v>50</v>
      </c>
      <c r="B68" s="31">
        <v>3</v>
      </c>
      <c r="C68" s="18">
        <v>2</v>
      </c>
      <c r="D68" s="18">
        <v>3</v>
      </c>
      <c r="E68" s="31">
        <v>3</v>
      </c>
      <c r="F68" s="37">
        <v>3</v>
      </c>
      <c r="G68" s="18">
        <v>3</v>
      </c>
      <c r="H68" s="31">
        <v>3</v>
      </c>
      <c r="I68" s="18">
        <v>2.5</v>
      </c>
      <c r="J68" s="18">
        <v>2.75</v>
      </c>
    </row>
    <row r="69" spans="1:10" x14ac:dyDescent="0.75">
      <c r="A69" s="40">
        <v>51</v>
      </c>
      <c r="B69" s="31">
        <v>2.5</v>
      </c>
      <c r="C69" s="18">
        <v>3</v>
      </c>
      <c r="D69" s="18">
        <v>3</v>
      </c>
      <c r="E69" s="31">
        <v>3</v>
      </c>
      <c r="F69" s="37">
        <v>3</v>
      </c>
      <c r="G69" s="18">
        <v>3</v>
      </c>
      <c r="H69" s="31">
        <v>3</v>
      </c>
      <c r="I69" s="18">
        <v>3</v>
      </c>
      <c r="J69" s="18">
        <v>3</v>
      </c>
    </row>
    <row r="70" spans="1:10" x14ac:dyDescent="0.75">
      <c r="A70" s="40">
        <v>51</v>
      </c>
      <c r="B70" s="31">
        <v>2.5</v>
      </c>
      <c r="C70" s="18">
        <v>3</v>
      </c>
      <c r="D70" s="18">
        <v>3</v>
      </c>
      <c r="E70" s="31">
        <v>3</v>
      </c>
      <c r="F70" s="37">
        <v>3</v>
      </c>
      <c r="G70" s="18">
        <v>3</v>
      </c>
      <c r="H70" s="31">
        <v>3</v>
      </c>
      <c r="I70" s="18">
        <v>3</v>
      </c>
      <c r="J70" s="18">
        <v>3</v>
      </c>
    </row>
    <row r="71" spans="1:10" x14ac:dyDescent="0.75">
      <c r="A71" s="40">
        <v>53</v>
      </c>
      <c r="B71" s="31">
        <v>3</v>
      </c>
      <c r="C71" s="18">
        <v>3</v>
      </c>
      <c r="D71" s="18">
        <v>3</v>
      </c>
      <c r="E71" s="31">
        <v>3</v>
      </c>
      <c r="F71" s="37">
        <v>3</v>
      </c>
      <c r="G71" s="18">
        <v>3</v>
      </c>
      <c r="H71" s="31">
        <v>3</v>
      </c>
      <c r="I71" s="18">
        <v>3</v>
      </c>
      <c r="J71" s="18">
        <v>3</v>
      </c>
    </row>
    <row r="72" spans="1:10" x14ac:dyDescent="0.75">
      <c r="A72" s="40">
        <v>54</v>
      </c>
      <c r="B72" s="31"/>
      <c r="C72" s="18"/>
      <c r="D72" s="18"/>
      <c r="E72" s="31"/>
      <c r="F72" s="37"/>
      <c r="G72" s="18"/>
      <c r="H72" s="31"/>
      <c r="I72" s="18"/>
      <c r="J72" s="18"/>
    </row>
    <row r="73" spans="1:10" x14ac:dyDescent="0.75">
      <c r="A73" s="40">
        <v>55</v>
      </c>
      <c r="B73" s="32"/>
      <c r="C73" s="19"/>
      <c r="D73" s="19"/>
      <c r="E73" s="32"/>
      <c r="F73" s="38"/>
      <c r="G73" s="19"/>
      <c r="H73" s="32"/>
      <c r="I73" s="19"/>
      <c r="J73" s="19"/>
    </row>
    <row r="74" spans="1:10" x14ac:dyDescent="0.75">
      <c r="A74" s="40"/>
      <c r="B74" s="31"/>
      <c r="C74" s="18"/>
      <c r="D74" s="18"/>
    </row>
    <row r="75" spans="1:10" x14ac:dyDescent="0.75">
      <c r="A75" s="45"/>
      <c r="B75" s="18"/>
      <c r="C75" s="18"/>
      <c r="D75" s="18"/>
      <c r="E75" s="18"/>
      <c r="F75" s="18"/>
      <c r="G75" s="18"/>
      <c r="H75" s="18"/>
      <c r="I75" s="18"/>
      <c r="J75" s="18"/>
    </row>
    <row r="76" spans="1:10" x14ac:dyDescent="0.75">
      <c r="A76" s="15"/>
    </row>
    <row r="78" spans="1:10" x14ac:dyDescent="0.75">
      <c r="A78" s="11" t="s">
        <v>54</v>
      </c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75">
      <c r="A79" s="12" t="s">
        <v>13</v>
      </c>
      <c r="B79" s="20">
        <v>1</v>
      </c>
      <c r="C79" s="20">
        <v>2</v>
      </c>
      <c r="D79" s="20">
        <v>3</v>
      </c>
      <c r="E79" s="20">
        <v>4</v>
      </c>
      <c r="F79" s="20">
        <v>5</v>
      </c>
      <c r="G79" s="20">
        <v>6</v>
      </c>
      <c r="H79" s="20">
        <v>7</v>
      </c>
      <c r="I79" s="20">
        <v>8</v>
      </c>
      <c r="J79" s="20">
        <v>9</v>
      </c>
    </row>
    <row r="80" spans="1:10" x14ac:dyDescent="0.75">
      <c r="A80" s="13" t="s">
        <v>10</v>
      </c>
      <c r="B80" s="20">
        <v>7</v>
      </c>
      <c r="C80" s="20">
        <v>4</v>
      </c>
      <c r="D80" s="20">
        <v>4</v>
      </c>
      <c r="E80" s="20">
        <v>4</v>
      </c>
      <c r="F80" s="20">
        <v>5</v>
      </c>
      <c r="G80" s="20" t="s">
        <v>16</v>
      </c>
      <c r="H80" s="20">
        <v>1</v>
      </c>
      <c r="I80" s="20" t="s">
        <v>17</v>
      </c>
      <c r="J80" s="20">
        <v>1</v>
      </c>
    </row>
    <row r="81" spans="1:10" x14ac:dyDescent="0.75">
      <c r="A81" s="14" t="s">
        <v>3</v>
      </c>
      <c r="B81" s="21">
        <f t="shared" ref="B81:J81" si="1">AVERAGE(B19:B73)</f>
        <v>2.8726415094339623</v>
      </c>
      <c r="C81" s="21">
        <f t="shared" si="1"/>
        <v>2.8679245283018866</v>
      </c>
      <c r="D81" s="21">
        <f t="shared" si="1"/>
        <v>2.8867924528301887</v>
      </c>
      <c r="E81" s="21">
        <f t="shared" si="1"/>
        <v>2.891509433962264</v>
      </c>
      <c r="F81" s="21">
        <f t="shared" si="1"/>
        <v>3</v>
      </c>
      <c r="G81" s="21">
        <f t="shared" si="1"/>
        <v>2.9103773584905661</v>
      </c>
      <c r="H81" s="21">
        <f t="shared" si="1"/>
        <v>2.891509433962264</v>
      </c>
      <c r="I81" s="21">
        <f t="shared" si="1"/>
        <v>2.8490566037735849</v>
      </c>
      <c r="J81" s="21">
        <f t="shared" si="1"/>
        <v>2.7594339622641511</v>
      </c>
    </row>
    <row r="82" spans="1:10" x14ac:dyDescent="0.75">
      <c r="A82" s="13" t="s">
        <v>4</v>
      </c>
      <c r="B82" s="22">
        <f t="shared" ref="B82:J82" si="2">STDEV(B19:B73)</f>
        <v>0.25297575851784265</v>
      </c>
      <c r="C82" s="22">
        <f t="shared" si="2"/>
        <v>0.31241834927500023</v>
      </c>
      <c r="D82" s="22">
        <f t="shared" si="2"/>
        <v>0.30050453461896404</v>
      </c>
      <c r="E82" s="22">
        <f t="shared" si="2"/>
        <v>0.30027805208362318</v>
      </c>
      <c r="F82" s="22">
        <f t="shared" si="2"/>
        <v>0</v>
      </c>
      <c r="G82" s="22">
        <f t="shared" si="2"/>
        <v>0.27339716294847088</v>
      </c>
      <c r="H82" s="22">
        <f t="shared" si="2"/>
        <v>0.27954906151497672</v>
      </c>
      <c r="I82" s="22">
        <f t="shared" si="2"/>
        <v>0.36141955244320079</v>
      </c>
      <c r="J82" s="22">
        <f t="shared" si="2"/>
        <v>0.41879596231954397</v>
      </c>
    </row>
    <row r="83" spans="1:10" x14ac:dyDescent="0.75">
      <c r="A83" s="14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75">
      <c r="A84" s="14" t="s">
        <v>19</v>
      </c>
      <c r="B84" s="5">
        <f>AVERAGE(B81:J81)</f>
        <v>2.8810272536687633</v>
      </c>
      <c r="C84" s="3"/>
      <c r="D84" s="3"/>
      <c r="E84" s="3"/>
      <c r="F84" s="3"/>
      <c r="G84" s="3"/>
      <c r="H84" s="3"/>
      <c r="I84" s="3"/>
      <c r="J84" s="3"/>
    </row>
    <row r="85" spans="1:10" x14ac:dyDescent="0.75">
      <c r="A85" s="13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75">
      <c r="A86" s="14"/>
      <c r="B86" s="3"/>
      <c r="C86" s="3"/>
      <c r="D86" s="3"/>
      <c r="E86" s="3"/>
      <c r="F86" s="3"/>
      <c r="G86" s="3"/>
      <c r="H86" s="3"/>
      <c r="I86" s="3"/>
      <c r="J86" s="3"/>
    </row>
    <row r="88" spans="1:10" x14ac:dyDescent="0.75">
      <c r="A88" s="6" t="s">
        <v>12</v>
      </c>
      <c r="B88" s="4"/>
      <c r="C88" s="4"/>
      <c r="D88" s="4"/>
      <c r="E88" s="4"/>
      <c r="F88" s="4"/>
      <c r="G88" s="9"/>
    </row>
    <row r="89" spans="1:10" x14ac:dyDescent="0.75">
      <c r="A89" s="6"/>
      <c r="B89" s="24">
        <v>1</v>
      </c>
      <c r="C89" s="24">
        <v>2</v>
      </c>
      <c r="D89" s="24">
        <v>4</v>
      </c>
      <c r="E89" s="24">
        <v>5</v>
      </c>
      <c r="F89" s="17">
        <v>6</v>
      </c>
      <c r="G89" s="17">
        <v>7</v>
      </c>
    </row>
    <row r="90" spans="1:10" x14ac:dyDescent="0.75">
      <c r="A90" s="4" t="s">
        <v>6</v>
      </c>
      <c r="B90" s="25">
        <f>AVERAGE(G81,H81,I81,J81)</f>
        <v>2.8525943396226414</v>
      </c>
      <c r="C90" s="25">
        <f>AVERAGE(G81)</f>
        <v>2.9103773584905661</v>
      </c>
      <c r="D90" s="25">
        <f>AVERAGE(C81,D81,E81)</f>
        <v>2.8820754716981134</v>
      </c>
      <c r="E90" s="25">
        <f>AVERAGE(F81)</f>
        <v>3</v>
      </c>
      <c r="F90" s="25">
        <f>AVERAGE(I81)</f>
        <v>2.8490566037735849</v>
      </c>
      <c r="G90" s="25">
        <f>AVERAGE(B81)</f>
        <v>2.8726415094339623</v>
      </c>
      <c r="I90" s="23"/>
    </row>
    <row r="91" spans="1:10" x14ac:dyDescent="0.75">
      <c r="A91" s="4" t="s">
        <v>7</v>
      </c>
      <c r="B91" s="25">
        <f>STDEV(G81,H81,I81,J81)</f>
        <v>6.7192840197615039E-2</v>
      </c>
      <c r="C91" s="25" t="s">
        <v>18</v>
      </c>
      <c r="D91" s="25">
        <f>STDEV(C81,D81,E81)</f>
        <v>1.2479959014455677E-2</v>
      </c>
      <c r="E91" s="25" t="s">
        <v>18</v>
      </c>
      <c r="F91" s="26" t="s">
        <v>18</v>
      </c>
      <c r="G91" s="26" t="s">
        <v>18</v>
      </c>
      <c r="I91" s="23"/>
    </row>
    <row r="93" spans="1:10" x14ac:dyDescent="0.75">
      <c r="B93" s="23"/>
    </row>
    <row r="147" spans="8:10" x14ac:dyDescent="0.75">
      <c r="H147" s="7"/>
      <c r="I147" s="7"/>
      <c r="J147" s="7"/>
    </row>
    <row r="169" spans="1:2" x14ac:dyDescent="0.75">
      <c r="B169" s="8"/>
    </row>
    <row r="170" spans="1:2" x14ac:dyDescent="0.75">
      <c r="B170" s="8"/>
    </row>
    <row r="171" spans="1:2" x14ac:dyDescent="0.75">
      <c r="B171" s="8"/>
    </row>
    <row r="172" spans="1:2" x14ac:dyDescent="0.75">
      <c r="B172" s="8"/>
    </row>
    <row r="174" spans="1:2" x14ac:dyDescent="0.75">
      <c r="A174" s="1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zoomScale="90" zoomScaleNormal="90" workbookViewId="0">
      <selection activeCell="A19" sqref="A19:A73"/>
    </sheetView>
  </sheetViews>
  <sheetFormatPr defaultRowHeight="14.75" x14ac:dyDescent="0.75"/>
  <cols>
    <col min="1" max="1" width="20.1328125" customWidth="1"/>
    <col min="2" max="2" width="11.54296875" customWidth="1"/>
    <col min="6" max="6" width="10.86328125" customWidth="1"/>
    <col min="7" max="7" width="9.54296875" bestFit="1" customWidth="1"/>
    <col min="13" max="13" width="28.54296875" customWidth="1"/>
    <col min="16" max="16" width="27.1328125" customWidth="1"/>
  </cols>
  <sheetData>
    <row r="1" spans="1:16" x14ac:dyDescent="0.75">
      <c r="A1" s="1" t="s">
        <v>14</v>
      </c>
      <c r="L1" s="27" t="s">
        <v>47</v>
      </c>
      <c r="M1" s="27"/>
      <c r="O1" t="s">
        <v>47</v>
      </c>
    </row>
    <row r="2" spans="1:16" ht="15" customHeight="1" x14ac:dyDescent="0.75">
      <c r="A2" s="1"/>
      <c r="L2" s="28" t="s">
        <v>20</v>
      </c>
      <c r="M2" s="28" t="s">
        <v>22</v>
      </c>
      <c r="N2" s="29"/>
      <c r="O2" s="29" t="s">
        <v>20</v>
      </c>
      <c r="P2" s="29" t="s">
        <v>22</v>
      </c>
    </row>
    <row r="3" spans="1:16" x14ac:dyDescent="0.75">
      <c r="A3" s="1" t="s">
        <v>11</v>
      </c>
      <c r="L3" s="27" t="s">
        <v>21</v>
      </c>
      <c r="M3" s="27"/>
      <c r="O3" t="s">
        <v>21</v>
      </c>
    </row>
    <row r="4" spans="1:16" x14ac:dyDescent="0.75">
      <c r="A4" t="s">
        <v>15</v>
      </c>
      <c r="L4" s="27">
        <v>1</v>
      </c>
      <c r="M4" s="27" t="s">
        <v>23</v>
      </c>
      <c r="O4" s="27">
        <v>4</v>
      </c>
      <c r="P4" t="s">
        <v>34</v>
      </c>
    </row>
    <row r="5" spans="1:16" x14ac:dyDescent="0.75">
      <c r="A5" t="s">
        <v>53</v>
      </c>
      <c r="L5" s="27"/>
      <c r="M5" s="27" t="s">
        <v>24</v>
      </c>
      <c r="O5" s="27"/>
      <c r="P5" t="s">
        <v>35</v>
      </c>
    </row>
    <row r="6" spans="1:16" x14ac:dyDescent="0.75">
      <c r="L6" s="27" t="s">
        <v>25</v>
      </c>
      <c r="M6" s="27" t="s">
        <v>26</v>
      </c>
      <c r="O6" s="27"/>
      <c r="P6" t="s">
        <v>36</v>
      </c>
    </row>
    <row r="7" spans="1:16" x14ac:dyDescent="0.75">
      <c r="L7" s="27"/>
      <c r="M7" s="27" t="s">
        <v>27</v>
      </c>
      <c r="O7" s="27"/>
      <c r="P7" t="s">
        <v>37</v>
      </c>
    </row>
    <row r="8" spans="1:16" x14ac:dyDescent="0.75">
      <c r="L8" s="27" t="s">
        <v>28</v>
      </c>
      <c r="M8" s="27" t="s">
        <v>29</v>
      </c>
      <c r="O8" s="27">
        <v>4</v>
      </c>
      <c r="P8" t="s">
        <v>38</v>
      </c>
    </row>
    <row r="9" spans="1:16" x14ac:dyDescent="0.75">
      <c r="A9" s="2" t="s">
        <v>9</v>
      </c>
      <c r="B9" s="2"/>
      <c r="C9" s="2"/>
      <c r="L9" s="27"/>
      <c r="M9" s="27" t="s">
        <v>30</v>
      </c>
      <c r="O9" s="27"/>
      <c r="P9" t="s">
        <v>39</v>
      </c>
    </row>
    <row r="10" spans="1:16" x14ac:dyDescent="0.75">
      <c r="A10" s="2">
        <v>1</v>
      </c>
      <c r="B10" s="2" t="s">
        <v>0</v>
      </c>
      <c r="C10" s="2"/>
      <c r="L10" s="27" t="s">
        <v>31</v>
      </c>
      <c r="M10" s="27" t="s">
        <v>32</v>
      </c>
      <c r="O10" s="27">
        <v>5</v>
      </c>
      <c r="P10" t="s">
        <v>40</v>
      </c>
    </row>
    <row r="11" spans="1:16" x14ac:dyDescent="0.75">
      <c r="A11" s="2">
        <v>2</v>
      </c>
      <c r="B11" s="2" t="s">
        <v>1</v>
      </c>
      <c r="C11" s="2"/>
      <c r="L11" s="27">
        <v>3</v>
      </c>
      <c r="M11" s="27" t="s">
        <v>33</v>
      </c>
      <c r="O11" s="27"/>
      <c r="P11" t="s">
        <v>41</v>
      </c>
    </row>
    <row r="12" spans="1:16" x14ac:dyDescent="0.75">
      <c r="A12" s="2">
        <v>3</v>
      </c>
      <c r="B12" s="2" t="s">
        <v>2</v>
      </c>
      <c r="C12" s="2"/>
      <c r="O12" s="27"/>
      <c r="P12" t="s">
        <v>42</v>
      </c>
    </row>
    <row r="13" spans="1:16" x14ac:dyDescent="0.75">
      <c r="A13" s="2"/>
      <c r="B13" s="2"/>
      <c r="C13" s="2"/>
      <c r="O13" s="27"/>
      <c r="P13" t="s">
        <v>43</v>
      </c>
    </row>
    <row r="14" spans="1:16" x14ac:dyDescent="0.75">
      <c r="A14" s="33"/>
      <c r="B14" s="33" t="s">
        <v>48</v>
      </c>
      <c r="C14" t="s">
        <v>49</v>
      </c>
      <c r="E14" s="33"/>
      <c r="F14" s="36" t="s">
        <v>50</v>
      </c>
      <c r="G14" t="s">
        <v>51</v>
      </c>
      <c r="H14" s="33"/>
      <c r="I14" t="s">
        <v>52</v>
      </c>
      <c r="O14" s="27"/>
      <c r="P14" t="s">
        <v>44</v>
      </c>
    </row>
    <row r="15" spans="1:16" x14ac:dyDescent="0.75">
      <c r="A15" s="30" t="s">
        <v>8</v>
      </c>
      <c r="B15" s="30">
        <v>1</v>
      </c>
      <c r="C15" s="16">
        <v>2</v>
      </c>
      <c r="D15" s="16">
        <v>3</v>
      </c>
      <c r="E15" s="30">
        <v>4</v>
      </c>
      <c r="F15" s="34">
        <v>5</v>
      </c>
      <c r="G15" s="16">
        <v>6</v>
      </c>
      <c r="H15" s="30">
        <v>7</v>
      </c>
      <c r="I15" s="16">
        <v>8</v>
      </c>
      <c r="J15" s="16">
        <v>9</v>
      </c>
      <c r="O15" s="27">
        <v>5</v>
      </c>
      <c r="P15" t="s">
        <v>45</v>
      </c>
    </row>
    <row r="16" spans="1:16" x14ac:dyDescent="0.75">
      <c r="A16" s="30" t="s">
        <v>10</v>
      </c>
      <c r="B16" s="30">
        <v>7</v>
      </c>
      <c r="C16" s="16">
        <v>4</v>
      </c>
      <c r="D16" s="16">
        <v>4</v>
      </c>
      <c r="E16" s="30">
        <v>4</v>
      </c>
      <c r="F16" s="35">
        <v>5</v>
      </c>
      <c r="G16" s="17" t="s">
        <v>16</v>
      </c>
      <c r="H16" s="39">
        <v>1</v>
      </c>
      <c r="I16" s="17" t="s">
        <v>17</v>
      </c>
      <c r="J16" s="17">
        <v>1</v>
      </c>
      <c r="P16" t="s">
        <v>46</v>
      </c>
    </row>
    <row r="17" spans="1:10" x14ac:dyDescent="0.75">
      <c r="A17" s="42"/>
      <c r="B17" s="43"/>
      <c r="C17" s="29"/>
      <c r="D17" s="29"/>
      <c r="E17" s="42"/>
      <c r="F17" s="44"/>
      <c r="G17" s="29"/>
      <c r="H17" s="42"/>
      <c r="I17" s="29"/>
      <c r="J17" s="29"/>
    </row>
    <row r="18" spans="1:10" x14ac:dyDescent="0.75">
      <c r="A18" s="33" t="s">
        <v>5</v>
      </c>
    </row>
    <row r="19" spans="1:10" x14ac:dyDescent="0.75">
      <c r="A19" s="40">
        <v>1</v>
      </c>
      <c r="B19" s="31">
        <v>3</v>
      </c>
      <c r="C19" s="18">
        <v>3</v>
      </c>
      <c r="D19" s="18">
        <v>3</v>
      </c>
      <c r="E19" s="31">
        <v>2</v>
      </c>
      <c r="F19" s="37">
        <v>3</v>
      </c>
      <c r="G19" s="18">
        <v>3</v>
      </c>
      <c r="H19" s="32">
        <v>2.75</v>
      </c>
      <c r="I19" s="18">
        <v>3</v>
      </c>
      <c r="J19" s="18">
        <v>3</v>
      </c>
    </row>
    <row r="20" spans="1:10" x14ac:dyDescent="0.75">
      <c r="A20" s="40">
        <f>A19+1</f>
        <v>2</v>
      </c>
      <c r="B20" s="31">
        <v>3</v>
      </c>
      <c r="C20" s="18">
        <v>3</v>
      </c>
      <c r="D20" s="18">
        <v>3</v>
      </c>
      <c r="E20" s="31">
        <v>3</v>
      </c>
      <c r="F20" s="37">
        <v>3</v>
      </c>
      <c r="G20" s="18">
        <v>3</v>
      </c>
      <c r="H20" s="32">
        <v>2.75</v>
      </c>
      <c r="I20" s="18">
        <v>3</v>
      </c>
      <c r="J20" s="18">
        <v>3</v>
      </c>
    </row>
    <row r="21" spans="1:10" x14ac:dyDescent="0.75">
      <c r="A21" s="40">
        <f t="shared" ref="A21:A63" si="0">A20+1</f>
        <v>3</v>
      </c>
      <c r="B21" s="31">
        <v>3</v>
      </c>
      <c r="C21" s="18">
        <v>2.75</v>
      </c>
      <c r="D21" s="18">
        <v>3</v>
      </c>
      <c r="E21" s="31">
        <v>3</v>
      </c>
      <c r="F21" s="37">
        <v>3</v>
      </c>
      <c r="G21" s="18">
        <v>3</v>
      </c>
      <c r="H21" s="32">
        <v>2.75</v>
      </c>
      <c r="I21" s="18">
        <v>3</v>
      </c>
      <c r="J21" s="18">
        <v>3</v>
      </c>
    </row>
    <row r="22" spans="1:10" x14ac:dyDescent="0.75">
      <c r="A22" s="40">
        <f t="shared" si="0"/>
        <v>4</v>
      </c>
      <c r="B22" s="31">
        <v>3</v>
      </c>
      <c r="C22" s="18">
        <v>3</v>
      </c>
      <c r="D22" s="18">
        <v>2.75</v>
      </c>
      <c r="E22" s="31">
        <v>3</v>
      </c>
      <c r="F22" s="37">
        <v>3</v>
      </c>
      <c r="G22" s="18">
        <v>3</v>
      </c>
      <c r="H22" s="32">
        <v>2.75</v>
      </c>
      <c r="I22" s="18">
        <v>3</v>
      </c>
      <c r="J22" s="18">
        <v>3</v>
      </c>
    </row>
    <row r="23" spans="1:10" x14ac:dyDescent="0.75">
      <c r="A23" s="41">
        <f t="shared" si="0"/>
        <v>5</v>
      </c>
      <c r="B23" s="32">
        <v>2.75</v>
      </c>
      <c r="C23" s="19">
        <v>3</v>
      </c>
      <c r="D23" s="19">
        <v>3</v>
      </c>
      <c r="E23" s="32">
        <v>3</v>
      </c>
      <c r="F23" s="38">
        <v>3</v>
      </c>
      <c r="G23" s="19">
        <v>3</v>
      </c>
      <c r="H23" s="32">
        <v>2.75</v>
      </c>
      <c r="I23" s="19">
        <v>3</v>
      </c>
      <c r="J23" s="19">
        <v>3</v>
      </c>
    </row>
    <row r="24" spans="1:10" x14ac:dyDescent="0.75">
      <c r="A24" s="40">
        <f t="shared" si="0"/>
        <v>6</v>
      </c>
      <c r="B24" s="31">
        <v>3</v>
      </c>
      <c r="C24" s="18">
        <v>3</v>
      </c>
      <c r="D24" s="18">
        <v>3</v>
      </c>
      <c r="E24" s="31">
        <v>3</v>
      </c>
      <c r="F24" s="37">
        <v>3</v>
      </c>
      <c r="G24" s="18">
        <v>3</v>
      </c>
      <c r="H24" s="31">
        <v>3</v>
      </c>
      <c r="I24" s="18">
        <v>2.5</v>
      </c>
      <c r="J24" s="18">
        <v>2.5</v>
      </c>
    </row>
    <row r="25" spans="1:10" x14ac:dyDescent="0.75">
      <c r="A25" s="40">
        <f t="shared" si="0"/>
        <v>7</v>
      </c>
      <c r="B25" s="31">
        <v>3</v>
      </c>
      <c r="C25" s="18">
        <v>2.75</v>
      </c>
      <c r="D25" s="18">
        <v>3</v>
      </c>
      <c r="E25" s="31">
        <v>2</v>
      </c>
      <c r="F25" s="37">
        <v>3</v>
      </c>
      <c r="G25" s="18">
        <v>3</v>
      </c>
      <c r="H25" s="31">
        <v>2.75</v>
      </c>
      <c r="I25" s="18">
        <v>3</v>
      </c>
      <c r="J25" s="18">
        <v>2.75</v>
      </c>
    </row>
    <row r="26" spans="1:10" x14ac:dyDescent="0.75">
      <c r="A26" s="40">
        <f t="shared" si="0"/>
        <v>8</v>
      </c>
      <c r="B26" s="31">
        <v>3</v>
      </c>
      <c r="C26" s="18">
        <v>2.75</v>
      </c>
      <c r="D26" s="18">
        <v>2</v>
      </c>
      <c r="E26" s="31">
        <v>3</v>
      </c>
      <c r="F26" s="37">
        <v>3</v>
      </c>
      <c r="G26" s="18">
        <v>3</v>
      </c>
      <c r="H26" s="31">
        <v>2.5</v>
      </c>
      <c r="I26" s="18">
        <v>2.5</v>
      </c>
      <c r="J26" s="18">
        <v>2.5</v>
      </c>
    </row>
    <row r="27" spans="1:10" x14ac:dyDescent="0.75">
      <c r="A27" s="40">
        <f t="shared" si="0"/>
        <v>9</v>
      </c>
      <c r="B27" s="31">
        <v>3</v>
      </c>
      <c r="C27" s="18">
        <v>2.5</v>
      </c>
      <c r="D27" s="18">
        <v>3</v>
      </c>
      <c r="E27" s="31">
        <v>2</v>
      </c>
      <c r="F27" s="37">
        <v>3</v>
      </c>
      <c r="G27" s="18">
        <v>3</v>
      </c>
      <c r="H27" s="31">
        <v>3</v>
      </c>
      <c r="I27" s="18">
        <v>2.75</v>
      </c>
      <c r="J27" s="18">
        <v>2.75</v>
      </c>
    </row>
    <row r="28" spans="1:10" x14ac:dyDescent="0.75">
      <c r="A28" s="40">
        <f t="shared" si="0"/>
        <v>10</v>
      </c>
      <c r="B28" s="31">
        <v>2.75</v>
      </c>
      <c r="C28" s="18">
        <v>3</v>
      </c>
      <c r="D28" s="18">
        <v>3</v>
      </c>
      <c r="E28" s="31">
        <v>3</v>
      </c>
      <c r="F28" s="37">
        <v>3</v>
      </c>
      <c r="G28" s="18">
        <v>3</v>
      </c>
      <c r="H28" s="31">
        <v>2.75</v>
      </c>
      <c r="I28" s="18">
        <v>3</v>
      </c>
      <c r="J28" s="18">
        <v>3</v>
      </c>
    </row>
    <row r="29" spans="1:10" x14ac:dyDescent="0.75">
      <c r="A29" s="41">
        <f t="shared" si="0"/>
        <v>11</v>
      </c>
      <c r="B29" s="32">
        <v>2.75</v>
      </c>
      <c r="C29" s="19">
        <v>2.5</v>
      </c>
      <c r="D29" s="19">
        <v>3</v>
      </c>
      <c r="E29" s="32">
        <v>3</v>
      </c>
      <c r="F29" s="38">
        <v>3</v>
      </c>
      <c r="G29" s="19">
        <v>2.5</v>
      </c>
      <c r="H29" s="32">
        <v>2.5</v>
      </c>
      <c r="I29" s="19">
        <v>2.5</v>
      </c>
      <c r="J29" s="19">
        <v>2.75</v>
      </c>
    </row>
    <row r="30" spans="1:10" x14ac:dyDescent="0.75">
      <c r="A30" s="40">
        <f t="shared" si="0"/>
        <v>12</v>
      </c>
      <c r="B30" s="31">
        <v>3</v>
      </c>
      <c r="C30" s="18">
        <v>3</v>
      </c>
      <c r="D30" s="18">
        <v>2.75</v>
      </c>
      <c r="E30" s="31">
        <v>3</v>
      </c>
      <c r="F30" s="37">
        <v>3</v>
      </c>
      <c r="G30" s="18">
        <v>2.75</v>
      </c>
      <c r="H30" s="31">
        <v>2.75</v>
      </c>
      <c r="I30" s="18">
        <v>1</v>
      </c>
      <c r="J30" s="18">
        <v>1</v>
      </c>
    </row>
    <row r="31" spans="1:10" x14ac:dyDescent="0.75">
      <c r="A31" s="40">
        <f t="shared" si="0"/>
        <v>13</v>
      </c>
      <c r="B31" s="31">
        <v>3</v>
      </c>
      <c r="C31" s="18">
        <v>3</v>
      </c>
      <c r="D31" s="18">
        <v>3</v>
      </c>
      <c r="E31" s="31">
        <v>3</v>
      </c>
      <c r="F31" s="37">
        <v>3</v>
      </c>
      <c r="G31" s="18">
        <v>3</v>
      </c>
      <c r="H31" s="31">
        <v>3</v>
      </c>
      <c r="I31" s="18">
        <v>2.75</v>
      </c>
      <c r="J31" s="18">
        <v>2.75</v>
      </c>
    </row>
    <row r="32" spans="1:10" x14ac:dyDescent="0.75">
      <c r="A32" s="40">
        <f t="shared" si="0"/>
        <v>14</v>
      </c>
      <c r="B32" s="31">
        <v>3</v>
      </c>
      <c r="C32" s="18">
        <v>3</v>
      </c>
      <c r="D32" s="18">
        <v>3</v>
      </c>
      <c r="E32" s="31">
        <v>3</v>
      </c>
      <c r="F32" s="37">
        <v>2</v>
      </c>
      <c r="G32" s="18">
        <v>3</v>
      </c>
      <c r="H32" s="31">
        <v>3</v>
      </c>
      <c r="I32" s="18">
        <v>3</v>
      </c>
      <c r="J32" s="18">
        <v>3</v>
      </c>
    </row>
    <row r="33" spans="1:10" x14ac:dyDescent="0.75">
      <c r="A33" s="40">
        <f t="shared" si="0"/>
        <v>15</v>
      </c>
      <c r="B33" s="31">
        <v>3</v>
      </c>
      <c r="C33" s="18">
        <v>3</v>
      </c>
      <c r="D33" s="18">
        <v>2</v>
      </c>
      <c r="E33" s="31">
        <v>3</v>
      </c>
      <c r="F33" s="37">
        <v>3</v>
      </c>
      <c r="G33" s="18">
        <v>3</v>
      </c>
      <c r="H33" s="31">
        <v>3</v>
      </c>
      <c r="I33" s="18">
        <v>3</v>
      </c>
      <c r="J33" s="18">
        <v>3</v>
      </c>
    </row>
    <row r="34" spans="1:10" x14ac:dyDescent="0.75">
      <c r="A34" s="40">
        <f t="shared" si="0"/>
        <v>16</v>
      </c>
      <c r="B34" s="31">
        <v>3</v>
      </c>
      <c r="C34" s="18">
        <v>3</v>
      </c>
      <c r="D34" s="18">
        <v>3</v>
      </c>
      <c r="E34" s="31">
        <v>2.5</v>
      </c>
      <c r="F34" s="37">
        <v>3</v>
      </c>
      <c r="G34" s="18">
        <v>3</v>
      </c>
      <c r="H34" s="31">
        <v>3</v>
      </c>
      <c r="I34" s="18">
        <v>1</v>
      </c>
      <c r="J34" s="18">
        <v>1</v>
      </c>
    </row>
    <row r="35" spans="1:10" x14ac:dyDescent="0.75">
      <c r="A35" s="41">
        <f t="shared" si="0"/>
        <v>17</v>
      </c>
      <c r="B35" s="32">
        <v>2.75</v>
      </c>
      <c r="C35" s="19">
        <v>3</v>
      </c>
      <c r="D35" s="19">
        <v>3</v>
      </c>
      <c r="E35" s="32">
        <v>2.5</v>
      </c>
      <c r="F35" s="38">
        <v>3</v>
      </c>
      <c r="G35" s="19">
        <v>3</v>
      </c>
      <c r="H35" s="32">
        <v>3</v>
      </c>
      <c r="I35" s="19">
        <v>3</v>
      </c>
      <c r="J35" s="19">
        <v>3</v>
      </c>
    </row>
    <row r="36" spans="1:10" x14ac:dyDescent="0.75">
      <c r="A36" s="40">
        <f t="shared" si="0"/>
        <v>18</v>
      </c>
      <c r="B36" s="31">
        <v>2.5</v>
      </c>
      <c r="C36" s="18">
        <v>3</v>
      </c>
      <c r="D36" s="18">
        <v>3</v>
      </c>
      <c r="E36" s="31">
        <v>2.75</v>
      </c>
      <c r="F36" s="37">
        <v>3</v>
      </c>
      <c r="G36" s="18">
        <v>3</v>
      </c>
      <c r="H36" s="31">
        <v>3</v>
      </c>
      <c r="I36" s="18">
        <v>2.75</v>
      </c>
      <c r="J36" s="18">
        <v>2.75</v>
      </c>
    </row>
    <row r="37" spans="1:10" x14ac:dyDescent="0.75">
      <c r="A37" s="40">
        <f t="shared" si="0"/>
        <v>19</v>
      </c>
      <c r="B37" s="31">
        <v>2</v>
      </c>
      <c r="C37" s="18">
        <v>2</v>
      </c>
      <c r="D37" s="18">
        <v>2.75</v>
      </c>
      <c r="E37" s="31">
        <v>2.75</v>
      </c>
      <c r="F37" s="37">
        <v>3</v>
      </c>
      <c r="G37" s="18">
        <v>3</v>
      </c>
      <c r="H37" s="31">
        <v>3</v>
      </c>
      <c r="I37" s="18">
        <v>2.5</v>
      </c>
      <c r="J37" s="18">
        <v>2.75</v>
      </c>
    </row>
    <row r="38" spans="1:10" x14ac:dyDescent="0.75">
      <c r="A38" s="40">
        <f t="shared" si="0"/>
        <v>20</v>
      </c>
      <c r="B38" s="31">
        <v>3</v>
      </c>
      <c r="C38" s="18">
        <v>3</v>
      </c>
      <c r="D38" s="18">
        <v>3</v>
      </c>
      <c r="E38" s="31">
        <v>3</v>
      </c>
      <c r="F38" s="37">
        <v>3</v>
      </c>
      <c r="G38" s="18">
        <v>3</v>
      </c>
      <c r="H38" s="31">
        <v>3</v>
      </c>
      <c r="I38" s="18">
        <v>3</v>
      </c>
      <c r="J38" s="18">
        <v>3</v>
      </c>
    </row>
    <row r="39" spans="1:10" x14ac:dyDescent="0.75">
      <c r="A39" s="41">
        <f t="shared" si="0"/>
        <v>21</v>
      </c>
      <c r="B39" s="32">
        <v>2.75</v>
      </c>
      <c r="C39" s="19">
        <v>3</v>
      </c>
      <c r="D39" s="19">
        <v>3</v>
      </c>
      <c r="E39" s="32">
        <v>3</v>
      </c>
      <c r="F39" s="38">
        <v>3</v>
      </c>
      <c r="G39" s="19">
        <v>2</v>
      </c>
      <c r="H39" s="32">
        <v>2</v>
      </c>
      <c r="I39" s="19">
        <v>3</v>
      </c>
      <c r="J39" s="19">
        <v>3</v>
      </c>
    </row>
    <row r="40" spans="1:10" x14ac:dyDescent="0.75">
      <c r="A40" s="40">
        <f t="shared" si="0"/>
        <v>22</v>
      </c>
      <c r="B40" s="31">
        <v>2.75</v>
      </c>
      <c r="C40" s="18">
        <v>2</v>
      </c>
      <c r="D40" s="18">
        <v>3</v>
      </c>
      <c r="E40" s="31">
        <v>3</v>
      </c>
      <c r="F40" s="37">
        <v>2.75</v>
      </c>
      <c r="G40" s="18">
        <v>2</v>
      </c>
      <c r="H40" s="31">
        <v>2</v>
      </c>
      <c r="I40" s="18">
        <v>2.5</v>
      </c>
      <c r="J40" s="18">
        <v>2.5</v>
      </c>
    </row>
    <row r="41" spans="1:10" x14ac:dyDescent="0.75">
      <c r="A41" s="40">
        <f t="shared" si="0"/>
        <v>23</v>
      </c>
      <c r="B41" s="31">
        <v>3</v>
      </c>
      <c r="C41" s="18">
        <v>3</v>
      </c>
      <c r="D41" s="18">
        <v>2.75</v>
      </c>
      <c r="E41" s="31">
        <v>2</v>
      </c>
      <c r="F41" s="37">
        <v>3</v>
      </c>
      <c r="G41" s="18">
        <v>2</v>
      </c>
      <c r="H41" s="31">
        <v>2</v>
      </c>
      <c r="I41" s="18">
        <v>1</v>
      </c>
      <c r="J41" s="18">
        <v>1</v>
      </c>
    </row>
    <row r="42" spans="1:10" x14ac:dyDescent="0.75">
      <c r="A42" s="40">
        <f t="shared" si="0"/>
        <v>24</v>
      </c>
      <c r="B42" s="31">
        <v>3</v>
      </c>
      <c r="C42" s="18">
        <v>2.5</v>
      </c>
      <c r="D42" s="18">
        <v>2.5</v>
      </c>
      <c r="E42" s="31">
        <v>2.75</v>
      </c>
      <c r="F42" s="37">
        <v>3</v>
      </c>
      <c r="G42" s="18">
        <v>2</v>
      </c>
      <c r="H42" s="31">
        <v>2</v>
      </c>
      <c r="I42" s="18">
        <v>3</v>
      </c>
      <c r="J42" s="18">
        <v>3</v>
      </c>
    </row>
    <row r="43" spans="1:10" x14ac:dyDescent="0.75">
      <c r="A43" s="40">
        <f t="shared" si="0"/>
        <v>25</v>
      </c>
      <c r="B43" s="31">
        <v>2</v>
      </c>
      <c r="C43" s="18">
        <v>2.75</v>
      </c>
      <c r="D43" s="18">
        <v>2.75</v>
      </c>
      <c r="E43" s="31">
        <v>2.75</v>
      </c>
      <c r="F43" s="37">
        <v>3</v>
      </c>
      <c r="G43" s="18">
        <v>2</v>
      </c>
      <c r="H43" s="31">
        <v>2</v>
      </c>
      <c r="I43" s="18">
        <v>2</v>
      </c>
      <c r="J43" s="18">
        <v>2</v>
      </c>
    </row>
    <row r="44" spans="1:10" x14ac:dyDescent="0.75">
      <c r="A44" s="41">
        <f t="shared" si="0"/>
        <v>26</v>
      </c>
      <c r="B44" s="32">
        <v>2.75</v>
      </c>
      <c r="C44" s="19">
        <v>3</v>
      </c>
      <c r="D44" s="19">
        <v>2.5</v>
      </c>
      <c r="E44" s="32">
        <v>3</v>
      </c>
      <c r="F44" s="38">
        <v>3</v>
      </c>
      <c r="G44" s="19">
        <v>3</v>
      </c>
      <c r="H44" s="32">
        <v>3</v>
      </c>
      <c r="I44" s="19">
        <v>2</v>
      </c>
      <c r="J44" s="19">
        <v>2</v>
      </c>
    </row>
    <row r="45" spans="1:10" x14ac:dyDescent="0.75">
      <c r="A45" s="40">
        <f t="shared" si="0"/>
        <v>27</v>
      </c>
      <c r="B45" s="31">
        <v>2.5</v>
      </c>
      <c r="C45" s="18">
        <v>2</v>
      </c>
      <c r="D45" s="18">
        <v>2</v>
      </c>
      <c r="E45" s="31">
        <v>3</v>
      </c>
      <c r="F45" s="37">
        <v>3</v>
      </c>
      <c r="G45" s="18">
        <v>2</v>
      </c>
      <c r="H45" s="31">
        <v>2</v>
      </c>
      <c r="I45" s="18">
        <v>2</v>
      </c>
      <c r="J45" s="18">
        <v>2</v>
      </c>
    </row>
    <row r="46" spans="1:10" x14ac:dyDescent="0.75">
      <c r="A46" s="40">
        <f t="shared" si="0"/>
        <v>28</v>
      </c>
      <c r="B46" s="31">
        <v>2.5</v>
      </c>
      <c r="C46" s="18">
        <v>3</v>
      </c>
      <c r="D46" s="18">
        <v>2.5</v>
      </c>
      <c r="E46" s="31">
        <v>3</v>
      </c>
      <c r="F46" s="37">
        <v>3</v>
      </c>
      <c r="G46" s="18">
        <v>3</v>
      </c>
      <c r="H46" s="31">
        <v>3</v>
      </c>
      <c r="I46" s="18">
        <v>3</v>
      </c>
      <c r="J46" s="18">
        <v>3</v>
      </c>
    </row>
    <row r="47" spans="1:10" x14ac:dyDescent="0.75">
      <c r="A47" s="40">
        <f t="shared" si="0"/>
        <v>29</v>
      </c>
      <c r="B47" s="31">
        <v>3</v>
      </c>
      <c r="C47" s="18">
        <v>3</v>
      </c>
      <c r="D47" s="18">
        <v>2</v>
      </c>
      <c r="E47" s="31">
        <v>3</v>
      </c>
      <c r="F47" s="37">
        <v>3</v>
      </c>
      <c r="G47" s="18">
        <v>3</v>
      </c>
      <c r="H47" s="31">
        <v>3</v>
      </c>
      <c r="I47" s="18">
        <v>3</v>
      </c>
      <c r="J47" s="18">
        <v>3</v>
      </c>
    </row>
    <row r="48" spans="1:10" x14ac:dyDescent="0.75">
      <c r="A48" s="40">
        <f t="shared" si="0"/>
        <v>30</v>
      </c>
      <c r="B48" s="31">
        <v>2.5</v>
      </c>
      <c r="C48" s="18">
        <v>3</v>
      </c>
      <c r="D48" s="18">
        <v>2</v>
      </c>
      <c r="E48" s="31">
        <v>3</v>
      </c>
      <c r="F48" s="37">
        <v>2</v>
      </c>
      <c r="G48" s="18">
        <v>3</v>
      </c>
      <c r="H48" s="31">
        <v>3</v>
      </c>
      <c r="I48" s="18">
        <v>2.5</v>
      </c>
      <c r="J48" s="18">
        <v>2.5</v>
      </c>
    </row>
    <row r="49" spans="1:10" x14ac:dyDescent="0.75">
      <c r="A49" s="41">
        <f t="shared" si="0"/>
        <v>31</v>
      </c>
      <c r="B49" s="32">
        <v>3</v>
      </c>
      <c r="C49" s="19">
        <v>3</v>
      </c>
      <c r="D49" s="19">
        <v>2</v>
      </c>
      <c r="E49" s="32">
        <v>3</v>
      </c>
      <c r="F49" s="38">
        <v>3</v>
      </c>
      <c r="G49" s="19">
        <v>3</v>
      </c>
      <c r="H49" s="32">
        <v>3</v>
      </c>
      <c r="I49" s="19">
        <v>2.75</v>
      </c>
      <c r="J49" s="19">
        <v>2.75</v>
      </c>
    </row>
    <row r="50" spans="1:10" x14ac:dyDescent="0.75">
      <c r="A50" s="40">
        <f t="shared" si="0"/>
        <v>32</v>
      </c>
      <c r="B50" s="31">
        <v>3</v>
      </c>
      <c r="C50" s="18">
        <v>3</v>
      </c>
      <c r="D50" s="18">
        <v>3</v>
      </c>
      <c r="E50" s="31">
        <v>3</v>
      </c>
      <c r="F50" s="37">
        <v>3</v>
      </c>
      <c r="G50" s="18">
        <v>3</v>
      </c>
      <c r="H50" s="31">
        <v>3</v>
      </c>
      <c r="I50" s="18">
        <v>2</v>
      </c>
      <c r="J50" s="18">
        <v>2</v>
      </c>
    </row>
    <row r="51" spans="1:10" x14ac:dyDescent="0.75">
      <c r="A51" s="40">
        <f t="shared" si="0"/>
        <v>33</v>
      </c>
      <c r="B51" s="31">
        <v>2.5</v>
      </c>
      <c r="C51" s="18">
        <v>2.75</v>
      </c>
      <c r="D51" s="18">
        <v>3</v>
      </c>
      <c r="E51" s="31">
        <v>3</v>
      </c>
      <c r="F51" s="37">
        <v>3</v>
      </c>
      <c r="G51" s="18">
        <v>3</v>
      </c>
      <c r="H51" s="31">
        <v>3</v>
      </c>
      <c r="I51" s="18">
        <v>2.75</v>
      </c>
      <c r="J51" s="18">
        <v>2.75</v>
      </c>
    </row>
    <row r="52" spans="1:10" x14ac:dyDescent="0.75">
      <c r="A52" s="40">
        <f t="shared" si="0"/>
        <v>34</v>
      </c>
      <c r="B52" s="31">
        <v>2.5</v>
      </c>
      <c r="C52" s="18">
        <v>2.75</v>
      </c>
      <c r="D52" s="18">
        <v>2.5</v>
      </c>
      <c r="E52" s="31">
        <v>3</v>
      </c>
      <c r="F52" s="37">
        <v>1</v>
      </c>
      <c r="G52" s="18">
        <v>3</v>
      </c>
      <c r="H52" s="31">
        <v>3</v>
      </c>
      <c r="I52" s="18">
        <v>3</v>
      </c>
      <c r="J52" s="18">
        <v>3</v>
      </c>
    </row>
    <row r="53" spans="1:10" x14ac:dyDescent="0.75">
      <c r="A53" s="40">
        <f t="shared" si="0"/>
        <v>35</v>
      </c>
      <c r="B53" s="31">
        <v>2.75</v>
      </c>
      <c r="C53" s="18">
        <v>3</v>
      </c>
      <c r="D53" s="18">
        <v>2</v>
      </c>
      <c r="E53" s="31">
        <v>3</v>
      </c>
      <c r="F53" s="37">
        <v>3</v>
      </c>
      <c r="G53" s="18">
        <v>2.75</v>
      </c>
      <c r="H53" s="31">
        <v>2.75</v>
      </c>
      <c r="I53" s="18">
        <v>2.5</v>
      </c>
      <c r="J53" s="18">
        <v>2.5</v>
      </c>
    </row>
    <row r="54" spans="1:10" x14ac:dyDescent="0.75">
      <c r="A54" s="41">
        <f t="shared" si="0"/>
        <v>36</v>
      </c>
      <c r="B54" s="32">
        <v>3</v>
      </c>
      <c r="C54" s="19">
        <v>2</v>
      </c>
      <c r="D54" s="19">
        <v>2</v>
      </c>
      <c r="E54" s="32">
        <v>2</v>
      </c>
      <c r="F54" s="38">
        <v>3</v>
      </c>
      <c r="G54" s="19">
        <v>3</v>
      </c>
      <c r="H54" s="32">
        <v>3</v>
      </c>
      <c r="I54" s="19">
        <v>2.75</v>
      </c>
      <c r="J54" s="19">
        <v>2.75</v>
      </c>
    </row>
    <row r="55" spans="1:10" x14ac:dyDescent="0.75">
      <c r="A55" s="40">
        <f t="shared" si="0"/>
        <v>37</v>
      </c>
      <c r="B55" s="31">
        <v>2</v>
      </c>
      <c r="C55" s="18">
        <v>3</v>
      </c>
      <c r="D55" s="18">
        <v>3</v>
      </c>
      <c r="E55" s="31">
        <v>3</v>
      </c>
      <c r="F55" s="37">
        <v>3</v>
      </c>
      <c r="G55" s="18">
        <v>3</v>
      </c>
      <c r="H55" s="31">
        <v>3</v>
      </c>
      <c r="I55" s="18">
        <v>3</v>
      </c>
      <c r="J55" s="18">
        <v>3</v>
      </c>
    </row>
    <row r="56" spans="1:10" x14ac:dyDescent="0.75">
      <c r="A56" s="40">
        <f t="shared" si="0"/>
        <v>38</v>
      </c>
      <c r="B56" s="31">
        <v>2</v>
      </c>
      <c r="C56" s="18">
        <v>3</v>
      </c>
      <c r="D56" s="18">
        <v>3</v>
      </c>
      <c r="E56" s="31">
        <v>3</v>
      </c>
      <c r="F56" s="37">
        <v>3</v>
      </c>
      <c r="G56" s="18">
        <v>3</v>
      </c>
      <c r="H56" s="31">
        <v>3</v>
      </c>
      <c r="I56" s="18">
        <v>3</v>
      </c>
      <c r="J56" s="18">
        <v>3</v>
      </c>
    </row>
    <row r="57" spans="1:10" x14ac:dyDescent="0.75">
      <c r="A57" s="40">
        <f t="shared" si="0"/>
        <v>39</v>
      </c>
      <c r="B57" s="31">
        <v>2.75</v>
      </c>
      <c r="C57" s="18">
        <v>3</v>
      </c>
      <c r="D57" s="18">
        <v>3</v>
      </c>
      <c r="E57" s="31">
        <v>3</v>
      </c>
      <c r="F57" s="37">
        <v>3</v>
      </c>
      <c r="G57" s="18">
        <v>3</v>
      </c>
      <c r="H57" s="31">
        <v>3</v>
      </c>
      <c r="I57" s="18">
        <v>2.75</v>
      </c>
      <c r="J57" s="18">
        <v>2.75</v>
      </c>
    </row>
    <row r="58" spans="1:10" x14ac:dyDescent="0.75">
      <c r="A58" s="40">
        <f t="shared" si="0"/>
        <v>40</v>
      </c>
      <c r="B58" s="31">
        <v>2</v>
      </c>
      <c r="C58" s="18">
        <v>3</v>
      </c>
      <c r="D58" s="18">
        <v>3</v>
      </c>
      <c r="E58" s="31">
        <v>3</v>
      </c>
      <c r="F58" s="37">
        <v>3</v>
      </c>
      <c r="G58" s="18">
        <v>3</v>
      </c>
      <c r="H58" s="31">
        <v>3</v>
      </c>
      <c r="I58" s="18">
        <v>2.75</v>
      </c>
      <c r="J58" s="18">
        <v>2.75</v>
      </c>
    </row>
    <row r="59" spans="1:10" x14ac:dyDescent="0.75">
      <c r="A59" s="41">
        <f t="shared" si="0"/>
        <v>41</v>
      </c>
      <c r="B59" s="32">
        <v>3</v>
      </c>
      <c r="C59" s="19">
        <v>3</v>
      </c>
      <c r="D59" s="19">
        <v>3</v>
      </c>
      <c r="E59" s="32">
        <v>3</v>
      </c>
      <c r="F59" s="38">
        <v>3</v>
      </c>
      <c r="G59" s="19">
        <v>3</v>
      </c>
      <c r="H59" s="32">
        <v>3</v>
      </c>
      <c r="I59" s="19">
        <v>3</v>
      </c>
      <c r="J59" s="19">
        <v>3</v>
      </c>
    </row>
    <row r="60" spans="1:10" x14ac:dyDescent="0.75">
      <c r="A60" s="40">
        <f t="shared" si="0"/>
        <v>42</v>
      </c>
      <c r="B60" s="31">
        <v>3</v>
      </c>
      <c r="C60" s="18">
        <v>3</v>
      </c>
      <c r="D60" s="18">
        <v>2</v>
      </c>
      <c r="E60" s="31">
        <v>3</v>
      </c>
      <c r="F60" s="37">
        <v>3</v>
      </c>
      <c r="G60" s="18">
        <v>3</v>
      </c>
      <c r="H60" s="31">
        <v>3</v>
      </c>
      <c r="I60" s="18">
        <v>2.5</v>
      </c>
      <c r="J60" s="18">
        <v>2.5</v>
      </c>
    </row>
    <row r="61" spans="1:10" x14ac:dyDescent="0.75">
      <c r="A61" s="40">
        <f t="shared" si="0"/>
        <v>43</v>
      </c>
      <c r="B61" s="31">
        <v>3</v>
      </c>
      <c r="C61" s="18">
        <v>3</v>
      </c>
      <c r="D61" s="18">
        <v>3</v>
      </c>
      <c r="E61" s="31">
        <v>3</v>
      </c>
      <c r="F61" s="37">
        <v>3</v>
      </c>
      <c r="G61" s="18">
        <v>2</v>
      </c>
      <c r="H61" s="31">
        <v>2</v>
      </c>
      <c r="I61" s="18">
        <v>2.75</v>
      </c>
      <c r="J61" s="18">
        <v>2.75</v>
      </c>
    </row>
    <row r="62" spans="1:10" x14ac:dyDescent="0.75">
      <c r="A62" s="40">
        <f t="shared" si="0"/>
        <v>44</v>
      </c>
      <c r="B62" s="31">
        <v>2</v>
      </c>
      <c r="C62" s="18">
        <v>3</v>
      </c>
      <c r="D62" s="18">
        <v>2</v>
      </c>
      <c r="E62" s="31">
        <v>2</v>
      </c>
      <c r="F62" s="37">
        <v>3</v>
      </c>
      <c r="G62" s="18">
        <v>3</v>
      </c>
      <c r="H62" s="31">
        <v>3</v>
      </c>
      <c r="I62" s="18">
        <v>2</v>
      </c>
      <c r="J62" s="18">
        <v>2</v>
      </c>
    </row>
    <row r="63" spans="1:10" x14ac:dyDescent="0.75">
      <c r="A63" s="40">
        <f t="shared" si="0"/>
        <v>45</v>
      </c>
      <c r="B63" s="31">
        <v>2</v>
      </c>
      <c r="C63" s="18">
        <v>3</v>
      </c>
      <c r="D63" s="18">
        <v>3</v>
      </c>
      <c r="E63" s="31">
        <v>2</v>
      </c>
      <c r="F63" s="37">
        <v>3</v>
      </c>
      <c r="G63" s="18">
        <v>3</v>
      </c>
      <c r="H63" s="31">
        <v>3</v>
      </c>
      <c r="I63" s="18">
        <v>3</v>
      </c>
      <c r="J63" s="18">
        <v>3</v>
      </c>
    </row>
    <row r="64" spans="1:10" x14ac:dyDescent="0.75">
      <c r="A64" s="40">
        <v>46</v>
      </c>
      <c r="B64" s="31">
        <v>2.75</v>
      </c>
      <c r="C64" s="18">
        <v>3</v>
      </c>
      <c r="D64" s="18">
        <v>2.75</v>
      </c>
      <c r="E64" s="31">
        <v>3</v>
      </c>
      <c r="F64" s="37">
        <v>3</v>
      </c>
      <c r="G64" s="18">
        <v>2.75</v>
      </c>
      <c r="H64" s="31">
        <v>3</v>
      </c>
      <c r="I64" s="18">
        <v>2.5</v>
      </c>
      <c r="J64" s="18">
        <v>2.5</v>
      </c>
    </row>
    <row r="65" spans="1:10" x14ac:dyDescent="0.75">
      <c r="A65" s="40">
        <v>47</v>
      </c>
      <c r="B65" s="31">
        <v>2.75</v>
      </c>
      <c r="C65" s="18">
        <v>2.75</v>
      </c>
      <c r="D65" s="18">
        <v>2.75</v>
      </c>
      <c r="E65" s="31">
        <v>3</v>
      </c>
      <c r="F65" s="37">
        <v>3</v>
      </c>
      <c r="G65" s="18">
        <v>3</v>
      </c>
      <c r="H65" s="31">
        <v>3</v>
      </c>
      <c r="I65" s="18">
        <v>3</v>
      </c>
      <c r="J65" s="18">
        <v>3</v>
      </c>
    </row>
    <row r="66" spans="1:10" x14ac:dyDescent="0.75">
      <c r="A66" s="40">
        <v>48</v>
      </c>
      <c r="B66" s="31">
        <v>3</v>
      </c>
      <c r="C66" s="18">
        <v>3</v>
      </c>
      <c r="D66" s="18">
        <v>3</v>
      </c>
      <c r="E66" s="31">
        <v>3</v>
      </c>
      <c r="F66" s="37">
        <v>3</v>
      </c>
      <c r="G66" s="18">
        <v>3</v>
      </c>
      <c r="H66" s="31">
        <v>3</v>
      </c>
      <c r="I66" s="18">
        <v>2</v>
      </c>
      <c r="J66" s="18">
        <v>2</v>
      </c>
    </row>
    <row r="67" spans="1:10" x14ac:dyDescent="0.75">
      <c r="A67" s="40">
        <v>49</v>
      </c>
      <c r="B67" s="31">
        <v>3</v>
      </c>
      <c r="C67" s="18">
        <v>3</v>
      </c>
      <c r="D67" s="18">
        <v>2</v>
      </c>
      <c r="E67" s="31">
        <v>3</v>
      </c>
      <c r="F67" s="37">
        <v>3</v>
      </c>
      <c r="G67" s="18">
        <v>2</v>
      </c>
      <c r="H67" s="31">
        <v>3</v>
      </c>
      <c r="I67" s="18">
        <v>2</v>
      </c>
      <c r="J67" s="18">
        <v>3</v>
      </c>
    </row>
    <row r="68" spans="1:10" x14ac:dyDescent="0.75">
      <c r="A68" s="40">
        <v>50</v>
      </c>
      <c r="B68" s="31">
        <v>3</v>
      </c>
      <c r="C68" s="18">
        <v>2</v>
      </c>
      <c r="D68" s="18">
        <v>2</v>
      </c>
      <c r="E68" s="31">
        <v>2</v>
      </c>
      <c r="F68" s="37">
        <v>3</v>
      </c>
      <c r="G68" s="18">
        <v>2</v>
      </c>
      <c r="H68" s="31">
        <v>3</v>
      </c>
      <c r="I68" s="18">
        <v>2.5</v>
      </c>
      <c r="J68" s="18">
        <v>3</v>
      </c>
    </row>
    <row r="69" spans="1:10" x14ac:dyDescent="0.75">
      <c r="A69" s="40">
        <v>51</v>
      </c>
      <c r="B69" s="31">
        <v>3</v>
      </c>
      <c r="C69" s="18">
        <v>3</v>
      </c>
      <c r="D69" s="18">
        <v>3</v>
      </c>
      <c r="E69" s="31">
        <v>3</v>
      </c>
      <c r="F69" s="37">
        <v>3</v>
      </c>
      <c r="G69" s="18">
        <v>3</v>
      </c>
      <c r="H69" s="31">
        <v>3</v>
      </c>
      <c r="I69" s="18">
        <v>2.75</v>
      </c>
      <c r="J69" s="18">
        <v>3</v>
      </c>
    </row>
    <row r="70" spans="1:10" x14ac:dyDescent="0.75">
      <c r="A70" s="40">
        <v>51</v>
      </c>
      <c r="B70" s="31">
        <v>3</v>
      </c>
      <c r="C70" s="18">
        <v>3</v>
      </c>
      <c r="D70" s="18">
        <v>3</v>
      </c>
      <c r="E70" s="31">
        <v>3</v>
      </c>
      <c r="F70" s="37">
        <v>3</v>
      </c>
      <c r="G70" s="18">
        <v>3</v>
      </c>
      <c r="H70" s="31">
        <v>3</v>
      </c>
      <c r="I70" s="18">
        <v>3</v>
      </c>
      <c r="J70" s="18">
        <v>3</v>
      </c>
    </row>
    <row r="71" spans="1:10" x14ac:dyDescent="0.75">
      <c r="A71" s="40">
        <v>53</v>
      </c>
      <c r="B71" s="31">
        <v>3</v>
      </c>
      <c r="C71" s="18">
        <v>3</v>
      </c>
      <c r="D71" s="18">
        <v>3</v>
      </c>
      <c r="E71" s="31">
        <v>3</v>
      </c>
      <c r="F71" s="37">
        <v>3</v>
      </c>
      <c r="G71" s="18">
        <v>3</v>
      </c>
      <c r="H71" s="31">
        <v>3</v>
      </c>
      <c r="I71" s="18">
        <v>2</v>
      </c>
      <c r="J71" s="18">
        <v>2</v>
      </c>
    </row>
    <row r="72" spans="1:10" x14ac:dyDescent="0.75">
      <c r="A72" s="40">
        <v>54</v>
      </c>
      <c r="B72" s="31">
        <v>2</v>
      </c>
      <c r="C72" s="18">
        <v>2</v>
      </c>
      <c r="D72" s="18">
        <v>2</v>
      </c>
      <c r="E72" s="31">
        <v>2</v>
      </c>
      <c r="F72" s="37">
        <v>3</v>
      </c>
      <c r="G72" s="18">
        <v>3</v>
      </c>
      <c r="H72" s="31">
        <v>3</v>
      </c>
      <c r="I72" s="18">
        <v>2</v>
      </c>
      <c r="J72" s="18">
        <v>2</v>
      </c>
    </row>
    <row r="73" spans="1:10" x14ac:dyDescent="0.75">
      <c r="A73" s="40">
        <v>55</v>
      </c>
      <c r="B73" s="31">
        <v>2.75</v>
      </c>
      <c r="C73" s="18">
        <v>2</v>
      </c>
      <c r="D73" s="18">
        <v>3</v>
      </c>
      <c r="E73" s="31">
        <v>3</v>
      </c>
      <c r="F73" s="37">
        <v>3</v>
      </c>
      <c r="G73" s="18">
        <v>3</v>
      </c>
      <c r="H73" s="31">
        <v>2</v>
      </c>
      <c r="I73" s="18">
        <v>3</v>
      </c>
      <c r="J73" s="18">
        <v>3</v>
      </c>
    </row>
    <row r="74" spans="1:10" x14ac:dyDescent="0.75">
      <c r="A74" s="40">
        <v>56</v>
      </c>
      <c r="B74" s="31">
        <v>2.75</v>
      </c>
      <c r="C74" s="18">
        <v>2</v>
      </c>
      <c r="D74" s="18">
        <v>3</v>
      </c>
      <c r="E74" s="31">
        <v>3</v>
      </c>
      <c r="F74" s="37">
        <v>3</v>
      </c>
      <c r="G74" s="18">
        <v>3</v>
      </c>
      <c r="H74" s="31">
        <v>3</v>
      </c>
      <c r="I74" s="18">
        <v>3</v>
      </c>
      <c r="J74" s="18">
        <v>3</v>
      </c>
    </row>
    <row r="75" spans="1:10" x14ac:dyDescent="0.75">
      <c r="A75" s="40">
        <v>57</v>
      </c>
      <c r="B75" s="31">
        <v>3</v>
      </c>
      <c r="C75" s="18">
        <v>3</v>
      </c>
      <c r="D75" s="18">
        <v>3</v>
      </c>
      <c r="E75" s="31">
        <v>3</v>
      </c>
      <c r="F75" s="37">
        <v>2</v>
      </c>
      <c r="G75" s="18">
        <v>3</v>
      </c>
      <c r="H75" s="31">
        <v>3</v>
      </c>
      <c r="I75" s="18">
        <v>3</v>
      </c>
      <c r="J75" s="18">
        <v>3</v>
      </c>
    </row>
    <row r="76" spans="1:10" x14ac:dyDescent="0.75">
      <c r="A76" s="40">
        <v>58</v>
      </c>
      <c r="B76" s="31">
        <v>3</v>
      </c>
      <c r="C76" s="18">
        <v>3</v>
      </c>
      <c r="D76" s="18">
        <v>3</v>
      </c>
      <c r="E76" s="31">
        <v>3</v>
      </c>
      <c r="F76" s="37">
        <v>3</v>
      </c>
      <c r="G76" s="18">
        <v>3</v>
      </c>
      <c r="H76" s="31">
        <v>3</v>
      </c>
      <c r="I76" s="18">
        <v>2.75</v>
      </c>
      <c r="J76" s="18">
        <v>2.75</v>
      </c>
    </row>
    <row r="77" spans="1:10" x14ac:dyDescent="0.75">
      <c r="A77" s="40">
        <v>59</v>
      </c>
      <c r="B77" s="31">
        <v>3</v>
      </c>
      <c r="C77" s="18">
        <v>3</v>
      </c>
      <c r="D77" s="18">
        <v>3</v>
      </c>
      <c r="E77" s="31">
        <v>3</v>
      </c>
      <c r="F77" s="37">
        <v>3</v>
      </c>
      <c r="G77" s="18">
        <v>2</v>
      </c>
      <c r="H77" s="31">
        <v>3</v>
      </c>
      <c r="I77" s="18">
        <v>2</v>
      </c>
      <c r="J77" s="18">
        <v>2</v>
      </c>
    </row>
    <row r="78" spans="1:10" x14ac:dyDescent="0.75">
      <c r="A78" s="40">
        <v>60</v>
      </c>
      <c r="B78" s="31">
        <v>2</v>
      </c>
      <c r="C78" s="18">
        <v>3</v>
      </c>
      <c r="D78" s="18">
        <v>3</v>
      </c>
      <c r="E78" s="31">
        <v>3</v>
      </c>
      <c r="F78" s="37">
        <v>3</v>
      </c>
      <c r="G78" s="18">
        <v>3</v>
      </c>
      <c r="H78" s="31">
        <v>3</v>
      </c>
      <c r="I78" s="18">
        <v>1</v>
      </c>
      <c r="J78" s="18">
        <v>1</v>
      </c>
    </row>
    <row r="79" spans="1:10" x14ac:dyDescent="0.75">
      <c r="A79" s="40">
        <v>61</v>
      </c>
      <c r="B79" s="31">
        <v>3</v>
      </c>
      <c r="C79" s="18">
        <v>3</v>
      </c>
      <c r="D79" s="18">
        <v>3</v>
      </c>
      <c r="E79" s="31">
        <v>2</v>
      </c>
      <c r="F79" s="37">
        <v>3</v>
      </c>
      <c r="G79" s="18">
        <v>3</v>
      </c>
      <c r="H79" s="31">
        <v>3</v>
      </c>
      <c r="I79" s="18">
        <v>3</v>
      </c>
      <c r="J79" s="18">
        <v>3</v>
      </c>
    </row>
    <row r="80" spans="1:10" x14ac:dyDescent="0.75">
      <c r="A80" s="40">
        <v>62</v>
      </c>
      <c r="B80" s="31">
        <v>2</v>
      </c>
      <c r="C80" s="18">
        <v>2</v>
      </c>
      <c r="D80" s="18">
        <v>2</v>
      </c>
      <c r="E80" s="31">
        <v>3</v>
      </c>
      <c r="F80" s="37">
        <v>3</v>
      </c>
      <c r="G80" s="18">
        <v>3</v>
      </c>
      <c r="H80" s="31">
        <v>2</v>
      </c>
      <c r="I80" s="18">
        <v>3</v>
      </c>
      <c r="J80" s="18">
        <v>3</v>
      </c>
    </row>
    <row r="81" spans="1:10" x14ac:dyDescent="0.75">
      <c r="A81" s="40">
        <v>63</v>
      </c>
      <c r="B81" s="31">
        <v>3</v>
      </c>
      <c r="C81" s="18">
        <v>3</v>
      </c>
      <c r="D81" s="18">
        <v>3</v>
      </c>
      <c r="E81" s="31">
        <v>3</v>
      </c>
      <c r="F81" s="37">
        <v>3</v>
      </c>
      <c r="G81" s="18">
        <v>3</v>
      </c>
      <c r="H81" s="31">
        <v>3</v>
      </c>
      <c r="I81" s="18">
        <v>2</v>
      </c>
      <c r="J81" s="18">
        <v>2</v>
      </c>
    </row>
    <row r="82" spans="1:10" x14ac:dyDescent="0.75">
      <c r="A82" s="40">
        <v>64</v>
      </c>
      <c r="B82" s="31">
        <v>3</v>
      </c>
      <c r="C82" s="18">
        <v>3</v>
      </c>
      <c r="D82" s="18">
        <v>2</v>
      </c>
      <c r="E82" s="31">
        <v>3</v>
      </c>
      <c r="F82" s="37">
        <v>3</v>
      </c>
      <c r="G82" s="18">
        <v>3</v>
      </c>
      <c r="H82" s="31">
        <v>3</v>
      </c>
      <c r="I82" s="18">
        <v>2</v>
      </c>
      <c r="J82" s="18">
        <v>2</v>
      </c>
    </row>
    <row r="83" spans="1:10" x14ac:dyDescent="0.75">
      <c r="A83" s="40">
        <v>65</v>
      </c>
      <c r="B83" s="31">
        <v>3</v>
      </c>
      <c r="C83" s="18">
        <v>3</v>
      </c>
      <c r="D83" s="18">
        <v>2</v>
      </c>
      <c r="E83" s="31">
        <v>3</v>
      </c>
      <c r="F83" s="37">
        <v>3</v>
      </c>
      <c r="G83" s="18">
        <v>3</v>
      </c>
      <c r="H83" s="31">
        <v>3</v>
      </c>
      <c r="I83" s="18">
        <v>2.75</v>
      </c>
      <c r="J83" s="18">
        <v>2.75</v>
      </c>
    </row>
    <row r="84" spans="1:10" x14ac:dyDescent="0.75">
      <c r="A84" s="40">
        <v>66</v>
      </c>
      <c r="B84" s="31">
        <v>3</v>
      </c>
      <c r="C84" s="18">
        <v>2</v>
      </c>
      <c r="D84" s="18">
        <v>2</v>
      </c>
      <c r="E84" s="31">
        <v>3</v>
      </c>
      <c r="F84" s="37">
        <v>2</v>
      </c>
      <c r="G84" s="18">
        <v>3</v>
      </c>
      <c r="H84" s="31">
        <v>2</v>
      </c>
      <c r="I84" s="18">
        <v>2.5</v>
      </c>
      <c r="J84" s="18">
        <v>2.5</v>
      </c>
    </row>
    <row r="85" spans="1:10" x14ac:dyDescent="0.75">
      <c r="A85" s="40">
        <v>67</v>
      </c>
      <c r="B85" s="31">
        <v>3</v>
      </c>
      <c r="C85" s="18">
        <v>3</v>
      </c>
      <c r="D85" s="18">
        <v>2</v>
      </c>
      <c r="E85" s="31">
        <v>3</v>
      </c>
      <c r="F85" s="37">
        <v>3</v>
      </c>
      <c r="G85" s="18">
        <v>3</v>
      </c>
      <c r="H85" s="31">
        <v>3</v>
      </c>
      <c r="I85" s="18">
        <v>3</v>
      </c>
      <c r="J85" s="18">
        <v>3</v>
      </c>
    </row>
    <row r="86" spans="1:10" x14ac:dyDescent="0.75">
      <c r="A86" s="40">
        <v>68</v>
      </c>
      <c r="B86" s="31">
        <v>2</v>
      </c>
      <c r="C86" s="18">
        <v>2</v>
      </c>
      <c r="D86" s="18">
        <v>2</v>
      </c>
      <c r="E86" s="31">
        <v>2</v>
      </c>
      <c r="F86" s="37">
        <v>2</v>
      </c>
      <c r="G86" s="18">
        <v>3</v>
      </c>
      <c r="H86" s="31">
        <v>3</v>
      </c>
      <c r="I86" s="18">
        <v>2</v>
      </c>
      <c r="J86" s="18">
        <v>2</v>
      </c>
    </row>
    <row r="87" spans="1:10" x14ac:dyDescent="0.75">
      <c r="A87" s="41">
        <v>69</v>
      </c>
      <c r="B87" s="32">
        <v>3</v>
      </c>
      <c r="C87" s="19">
        <v>3</v>
      </c>
      <c r="D87" s="19">
        <v>3</v>
      </c>
      <c r="E87" s="32">
        <v>3</v>
      </c>
      <c r="F87" s="38">
        <v>3</v>
      </c>
      <c r="G87" s="19">
        <v>3</v>
      </c>
      <c r="H87" s="32">
        <v>3</v>
      </c>
      <c r="I87" s="19">
        <v>3</v>
      </c>
      <c r="J87" s="19">
        <v>3</v>
      </c>
    </row>
    <row r="88" spans="1:10" x14ac:dyDescent="0.75">
      <c r="A88" s="15"/>
    </row>
    <row r="90" spans="1:10" x14ac:dyDescent="0.75">
      <c r="A90" s="11" t="s">
        <v>54</v>
      </c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75">
      <c r="A91" s="12" t="s">
        <v>13</v>
      </c>
      <c r="B91" s="20">
        <v>1</v>
      </c>
      <c r="C91" s="20">
        <v>2</v>
      </c>
      <c r="D91" s="20">
        <v>3</v>
      </c>
      <c r="E91" s="20">
        <v>4</v>
      </c>
      <c r="F91" s="20">
        <v>5</v>
      </c>
      <c r="G91" s="20">
        <v>6</v>
      </c>
      <c r="H91" s="20">
        <v>7</v>
      </c>
      <c r="I91" s="20">
        <v>8</v>
      </c>
      <c r="J91" s="20">
        <v>9</v>
      </c>
    </row>
    <row r="92" spans="1:10" x14ac:dyDescent="0.75">
      <c r="A92" s="13" t="s">
        <v>10</v>
      </c>
      <c r="B92" s="20">
        <v>7</v>
      </c>
      <c r="C92" s="20">
        <v>4</v>
      </c>
      <c r="D92" s="20">
        <v>4</v>
      </c>
      <c r="E92" s="20">
        <v>4</v>
      </c>
      <c r="F92" s="20">
        <v>5</v>
      </c>
      <c r="G92" s="20" t="s">
        <v>16</v>
      </c>
      <c r="H92" s="20">
        <v>1</v>
      </c>
      <c r="I92" s="20" t="s">
        <v>17</v>
      </c>
      <c r="J92" s="20">
        <v>1</v>
      </c>
    </row>
    <row r="93" spans="1:10" x14ac:dyDescent="0.75">
      <c r="A93" s="14" t="s">
        <v>3</v>
      </c>
      <c r="B93" s="21">
        <f t="shared" ref="B93:J93" si="1">AVERAGE(B19:B87)</f>
        <v>2.75</v>
      </c>
      <c r="C93" s="21">
        <f t="shared" si="1"/>
        <v>2.7934782608695654</v>
      </c>
      <c r="D93" s="21">
        <f t="shared" si="1"/>
        <v>2.6702898550724639</v>
      </c>
      <c r="E93" s="21">
        <f t="shared" si="1"/>
        <v>2.8115942028985508</v>
      </c>
      <c r="F93" s="21">
        <f t="shared" si="1"/>
        <v>2.8949275362318843</v>
      </c>
      <c r="G93" s="21">
        <f t="shared" si="1"/>
        <v>2.8369565217391304</v>
      </c>
      <c r="H93" s="21">
        <f t="shared" si="1"/>
        <v>2.8079710144927534</v>
      </c>
      <c r="I93" s="21">
        <f t="shared" si="1"/>
        <v>2.5724637681159419</v>
      </c>
      <c r="J93" s="21">
        <f t="shared" si="1"/>
        <v>2.6014492753623188</v>
      </c>
    </row>
    <row r="94" spans="1:10" x14ac:dyDescent="0.75">
      <c r="A94" s="13" t="s">
        <v>4</v>
      </c>
      <c r="B94" s="22">
        <f t="shared" ref="B94:J94" si="2">STDEV(B19:B87)</f>
        <v>0.36380343755449945</v>
      </c>
      <c r="C94" s="22">
        <f t="shared" si="2"/>
        <v>0.36871328765186628</v>
      </c>
      <c r="D94" s="22">
        <f t="shared" si="2"/>
        <v>0.43616972888494576</v>
      </c>
      <c r="E94" s="22">
        <f t="shared" si="2"/>
        <v>0.36983153234795996</v>
      </c>
      <c r="F94" s="22">
        <f t="shared" si="2"/>
        <v>0.34938443005649084</v>
      </c>
      <c r="G94" s="22">
        <f t="shared" si="2"/>
        <v>0.35569445061666188</v>
      </c>
      <c r="H94" s="22">
        <f t="shared" si="2"/>
        <v>0.35392995198512256</v>
      </c>
      <c r="I94" s="22">
        <f t="shared" si="2"/>
        <v>0.54080116438783654</v>
      </c>
      <c r="J94" s="22">
        <f t="shared" si="2"/>
        <v>0.54117050526754107</v>
      </c>
    </row>
    <row r="95" spans="1:10" x14ac:dyDescent="0.75">
      <c r="A95" s="14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75">
      <c r="A96" s="14" t="s">
        <v>19</v>
      </c>
      <c r="B96" s="5">
        <f>AVERAGE(B93:J93)</f>
        <v>2.7487922705314012</v>
      </c>
      <c r="C96" s="3"/>
      <c r="D96" s="3"/>
      <c r="E96" s="3"/>
      <c r="F96" s="3"/>
      <c r="G96" s="3"/>
      <c r="H96" s="3"/>
      <c r="I96" s="3"/>
      <c r="J96" s="3"/>
    </row>
    <row r="97" spans="1:10" x14ac:dyDescent="0.75">
      <c r="A97" s="13"/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75">
      <c r="A98" s="14"/>
      <c r="B98" s="3"/>
      <c r="C98" s="3"/>
      <c r="D98" s="3"/>
      <c r="E98" s="3"/>
      <c r="F98" s="3"/>
      <c r="G98" s="3"/>
      <c r="H98" s="3"/>
      <c r="I98" s="3"/>
      <c r="J98" s="3"/>
    </row>
    <row r="100" spans="1:10" x14ac:dyDescent="0.75">
      <c r="A100" s="6" t="s">
        <v>12</v>
      </c>
      <c r="B100" s="4"/>
      <c r="C100" s="4"/>
      <c r="D100" s="4"/>
      <c r="E100" s="4"/>
      <c r="F100" s="4"/>
      <c r="G100" s="9"/>
    </row>
    <row r="101" spans="1:10" x14ac:dyDescent="0.75">
      <c r="A101" s="6"/>
      <c r="B101" s="24">
        <v>1</v>
      </c>
      <c r="C101" s="24">
        <v>2</v>
      </c>
      <c r="D101" s="24">
        <v>4</v>
      </c>
      <c r="E101" s="24">
        <v>5</v>
      </c>
      <c r="F101" s="17">
        <v>6</v>
      </c>
      <c r="G101" s="17">
        <v>7</v>
      </c>
    </row>
    <row r="102" spans="1:10" x14ac:dyDescent="0.75">
      <c r="A102" s="4" t="s">
        <v>6</v>
      </c>
      <c r="B102" s="25">
        <f>AVERAGE(G93,H93,I93,J93)</f>
        <v>2.7047101449275361</v>
      </c>
      <c r="C102" s="25">
        <f>AVERAGE(G93)</f>
        <v>2.8369565217391304</v>
      </c>
      <c r="D102" s="25">
        <f>AVERAGE(C93,D93,E93)</f>
        <v>2.7584541062801935</v>
      </c>
      <c r="E102" s="25">
        <f>AVERAGE(F93)</f>
        <v>2.8949275362318843</v>
      </c>
      <c r="F102" s="25">
        <f>AVERAGE(I93)</f>
        <v>2.5724637681159419</v>
      </c>
      <c r="G102" s="25">
        <f>AVERAGE(B93)</f>
        <v>2.75</v>
      </c>
      <c r="I102" s="23"/>
    </row>
    <row r="103" spans="1:10" x14ac:dyDescent="0.75">
      <c r="A103" s="4" t="s">
        <v>7</v>
      </c>
      <c r="B103" s="25">
        <f>STDEV(G93,H93,I93,J93)</f>
        <v>0.13699613464902088</v>
      </c>
      <c r="C103" s="25" t="s">
        <v>18</v>
      </c>
      <c r="D103" s="25">
        <f>STDEV(C93,D93,E93)</f>
        <v>7.6887893924623224E-2</v>
      </c>
      <c r="E103" s="25" t="s">
        <v>18</v>
      </c>
      <c r="F103" s="26" t="s">
        <v>18</v>
      </c>
      <c r="G103" s="26" t="s">
        <v>18</v>
      </c>
      <c r="I103" s="23"/>
    </row>
    <row r="105" spans="1:10" x14ac:dyDescent="0.75">
      <c r="B105" s="23"/>
    </row>
    <row r="159" spans="8:10" x14ac:dyDescent="0.75">
      <c r="H159" s="7"/>
      <c r="I159" s="7"/>
      <c r="J159" s="7"/>
    </row>
    <row r="181" spans="1:2" x14ac:dyDescent="0.75">
      <c r="B181" s="8"/>
    </row>
    <row r="182" spans="1:2" x14ac:dyDescent="0.75">
      <c r="B182" s="8"/>
    </row>
    <row r="183" spans="1:2" x14ac:dyDescent="0.75">
      <c r="B183" s="8"/>
    </row>
    <row r="184" spans="1:2" x14ac:dyDescent="0.75">
      <c r="B184" s="8"/>
    </row>
    <row r="186" spans="1:2" x14ac:dyDescent="0.75">
      <c r="A186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Fall 2025</vt:lpstr>
      <vt:lpstr>Fall 2024</vt:lpstr>
      <vt:lpstr>Fall 2023</vt:lpstr>
      <vt:lpstr>Fall 2022</vt:lpstr>
      <vt:lpstr>Fall 2021</vt:lpstr>
      <vt:lpstr>Fall 2020</vt:lpstr>
      <vt:lpstr>'Fall 2020'!Print_Area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2026-02-23T22:20:00Z</cp:lastPrinted>
  <dcterms:created xsi:type="dcterms:W3CDTF">2013-01-15T05:38:26Z</dcterms:created>
  <dcterms:modified xsi:type="dcterms:W3CDTF">2026-03-02T02:54:27Z</dcterms:modified>
</cp:coreProperties>
</file>