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nb\Desktop\"/>
    </mc:Choice>
  </mc:AlternateContent>
  <xr:revisionPtr revIDLastSave="0" documentId="13_ncr:1_{0C5D9980-6EBB-471F-A860-204EF1014AE8}" xr6:coauthVersionLast="47" xr6:coauthVersionMax="47" xr10:uidLastSave="{00000000-0000-0000-0000-000000000000}"/>
  <bookViews>
    <workbookView xWindow="-110" yWindow="-110" windowWidth="19420" windowHeight="11500" activeTab="2" xr2:uid="{E86BC6CD-742C-478F-B85A-AC155D91ED05}"/>
  </bookViews>
  <sheets>
    <sheet name="4.5a" sheetId="2" r:id="rId1"/>
    <sheet name="4.5b" sheetId="1" r:id="rId2"/>
    <sheet name="4.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" l="1"/>
  <c r="J14" i="2"/>
  <c r="C5" i="2"/>
  <c r="B5" i="2"/>
  <c r="D50" i="3"/>
  <c r="D51" i="3"/>
  <c r="D52" i="3"/>
  <c r="D53" i="3"/>
  <c r="D39" i="3"/>
  <c r="D40" i="3"/>
  <c r="D49" i="3"/>
  <c r="D48" i="3"/>
  <c r="D47" i="3"/>
  <c r="D46" i="3"/>
  <c r="D45" i="3"/>
  <c r="D44" i="3"/>
  <c r="D43" i="3"/>
  <c r="D42" i="3"/>
  <c r="D41" i="3"/>
  <c r="A40" i="3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E35" i="3"/>
  <c r="H9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J21" i="2" s="1"/>
  <c r="H22" i="2"/>
  <c r="J22" i="2" s="1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7" i="2"/>
  <c r="H98" i="2"/>
  <c r="H99" i="2"/>
  <c r="H100" i="2"/>
  <c r="H101" i="2"/>
  <c r="H102" i="2"/>
  <c r="H103" i="2"/>
  <c r="H104" i="2"/>
  <c r="H6" i="2"/>
  <c r="H105" i="2"/>
  <c r="C15" i="2"/>
  <c r="H5" i="2"/>
  <c r="J11" i="2"/>
  <c r="J15" i="2"/>
  <c r="J16" i="2"/>
  <c r="J17" i="2"/>
  <c r="J18" i="2"/>
  <c r="J19" i="2"/>
  <c r="J20" i="2"/>
  <c r="C7" i="2"/>
  <c r="C8" i="2"/>
  <c r="C9" i="2"/>
  <c r="C10" i="2"/>
  <c r="C11" i="2"/>
  <c r="C12" i="2"/>
  <c r="C13" i="2"/>
  <c r="C14" i="2"/>
  <c r="C6" i="2"/>
  <c r="E6" i="2" s="1"/>
  <c r="C4" i="3"/>
  <c r="C3" i="3"/>
  <c r="C5" i="3"/>
  <c r="C6" i="3"/>
  <c r="C7" i="3"/>
  <c r="C8" i="3"/>
  <c r="C9" i="3"/>
  <c r="C10" i="3"/>
  <c r="C11" i="3"/>
  <c r="C12" i="3"/>
  <c r="C13" i="3"/>
  <c r="C14" i="3"/>
  <c r="C15" i="3"/>
  <c r="C16" i="3"/>
  <c r="A22" i="3"/>
  <c r="A23" i="3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C7" i="1"/>
  <c r="C8" i="1"/>
  <c r="C9" i="1"/>
  <c r="C10" i="1"/>
  <c r="C11" i="1"/>
  <c r="C12" i="1"/>
  <c r="C13" i="1"/>
  <c r="C14" i="1"/>
  <c r="C15" i="1"/>
  <c r="C6" i="1"/>
  <c r="H6" i="1"/>
  <c r="A17" i="3"/>
  <c r="A16" i="3"/>
  <c r="A6" i="3"/>
  <c r="A7" i="3" s="1"/>
  <c r="A8" i="3" s="1"/>
  <c r="A9" i="3" s="1"/>
  <c r="A10" i="3" s="1"/>
  <c r="A11" i="3" s="1"/>
  <c r="A12" i="3" s="1"/>
  <c r="A13" i="3" s="1"/>
  <c r="A14" i="3" s="1"/>
  <c r="A15" i="3" s="1"/>
  <c r="A5" i="3"/>
  <c r="A4" i="3"/>
  <c r="F27" i="1"/>
  <c r="G27" i="1" s="1"/>
  <c r="H27" i="1" s="1"/>
  <c r="F28" i="1"/>
  <c r="G28" i="1"/>
  <c r="H28" i="1"/>
  <c r="J28" i="1" s="1"/>
  <c r="I28" i="1"/>
  <c r="F29" i="1"/>
  <c r="G29" i="1"/>
  <c r="H29" i="1"/>
  <c r="I29" i="1"/>
  <c r="J29" i="1"/>
  <c r="F30" i="1"/>
  <c r="F31" i="1"/>
  <c r="I31" i="1"/>
  <c r="F17" i="1"/>
  <c r="G17" i="1"/>
  <c r="H17" i="1"/>
  <c r="I17" i="1"/>
  <c r="J17" i="1"/>
  <c r="F18" i="1"/>
  <c r="G18" i="1"/>
  <c r="H18" i="1"/>
  <c r="I18" i="1"/>
  <c r="J18" i="1"/>
  <c r="F19" i="1"/>
  <c r="G19" i="1"/>
  <c r="H19" i="1"/>
  <c r="I19" i="1"/>
  <c r="J19" i="1"/>
  <c r="F20" i="1"/>
  <c r="G20" i="1" s="1"/>
  <c r="H7" i="1"/>
  <c r="H8" i="1" s="1"/>
  <c r="H9" i="1" s="1"/>
  <c r="H10" i="1" s="1"/>
  <c r="H11" i="1" s="1"/>
  <c r="H12" i="1" s="1"/>
  <c r="H13" i="1" s="1"/>
  <c r="H14" i="1" s="1"/>
  <c r="H15" i="1" s="1"/>
  <c r="H16" i="1" s="1"/>
  <c r="I7" i="1"/>
  <c r="I5" i="1"/>
  <c r="I6" i="1"/>
  <c r="I8" i="1"/>
  <c r="I9" i="1"/>
  <c r="I10" i="1"/>
  <c r="I11" i="1"/>
  <c r="I12" i="1"/>
  <c r="I13" i="1"/>
  <c r="I14" i="1"/>
  <c r="I15" i="1"/>
  <c r="I16" i="1"/>
  <c r="D5" i="1"/>
  <c r="D6" i="1"/>
  <c r="D7" i="1"/>
  <c r="D8" i="1"/>
  <c r="D9" i="1"/>
  <c r="D10" i="1"/>
  <c r="D11" i="1"/>
  <c r="D12" i="1"/>
  <c r="D13" i="1"/>
  <c r="D14" i="1"/>
  <c r="D15" i="1"/>
  <c r="B5" i="1"/>
  <c r="B6" i="1"/>
  <c r="B7" i="1"/>
  <c r="E6" i="1" s="1"/>
  <c r="B8" i="1"/>
  <c r="E7" i="1" s="1"/>
  <c r="B9" i="1"/>
  <c r="E8" i="1" s="1"/>
  <c r="B10" i="1"/>
  <c r="B11" i="1"/>
  <c r="B12" i="1"/>
  <c r="B13" i="1"/>
  <c r="B14" i="1"/>
  <c r="B15" i="1"/>
  <c r="F8" i="1"/>
  <c r="F9" i="1" s="1"/>
  <c r="F7" i="1"/>
  <c r="A7" i="1"/>
  <c r="A8" i="1" s="1"/>
  <c r="F6" i="1"/>
  <c r="A6" i="1"/>
  <c r="G5" i="1"/>
  <c r="J7" i="2"/>
  <c r="J8" i="2"/>
  <c r="J9" i="2"/>
  <c r="J10" i="2"/>
  <c r="J12" i="2"/>
  <c r="J13" i="2"/>
  <c r="J23" i="2"/>
  <c r="J6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5" i="2"/>
  <c r="D5" i="2"/>
  <c r="F23" i="2"/>
  <c r="G23" i="2"/>
  <c r="F24" i="2"/>
  <c r="G24" i="2" s="1"/>
  <c r="A6" i="2"/>
  <c r="D6" i="2" s="1"/>
  <c r="D17" i="3" l="1"/>
  <c r="E14" i="1"/>
  <c r="E13" i="1"/>
  <c r="E12" i="1"/>
  <c r="E11" i="1"/>
  <c r="E9" i="1"/>
  <c r="E10" i="1"/>
  <c r="G31" i="1"/>
  <c r="F32" i="1"/>
  <c r="G30" i="1"/>
  <c r="I30" i="1"/>
  <c r="I27" i="1"/>
  <c r="J27" i="1" s="1"/>
  <c r="F21" i="1"/>
  <c r="I20" i="1"/>
  <c r="H20" i="1"/>
  <c r="E15" i="1"/>
  <c r="A9" i="1"/>
  <c r="G9" i="1"/>
  <c r="F10" i="1"/>
  <c r="G7" i="1"/>
  <c r="G6" i="1"/>
  <c r="G8" i="1"/>
  <c r="J7" i="1" s="1"/>
  <c r="F25" i="2"/>
  <c r="J24" i="2"/>
  <c r="J25" i="2"/>
  <c r="F19" i="2"/>
  <c r="G19" i="2"/>
  <c r="F20" i="2"/>
  <c r="G20" i="2"/>
  <c r="F21" i="2"/>
  <c r="G21" i="2"/>
  <c r="F22" i="2"/>
  <c r="G22" i="2"/>
  <c r="H30" i="1" l="1"/>
  <c r="H31" i="1" s="1"/>
  <c r="I32" i="1"/>
  <c r="G32" i="1"/>
  <c r="F33" i="1"/>
  <c r="J20" i="1"/>
  <c r="F22" i="1"/>
  <c r="G21" i="1"/>
  <c r="H21" i="1" s="1"/>
  <c r="I21" i="1"/>
  <c r="J6" i="1"/>
  <c r="J8" i="1"/>
  <c r="A10" i="1"/>
  <c r="F11" i="1"/>
  <c r="G10" i="1"/>
  <c r="J9" i="1" s="1"/>
  <c r="G25" i="2"/>
  <c r="F26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5" i="2"/>
  <c r="B6" i="2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6" i="2"/>
  <c r="A7" i="2"/>
  <c r="D7" i="2" s="1"/>
  <c r="A8" i="2"/>
  <c r="D8" i="2" s="1"/>
  <c r="A9" i="2"/>
  <c r="D9" i="2" s="1"/>
  <c r="A10" i="2"/>
  <c r="D10" i="2" s="1"/>
  <c r="J31" i="1" l="1"/>
  <c r="H32" i="1"/>
  <c r="J32" i="1"/>
  <c r="I33" i="1"/>
  <c r="F34" i="1"/>
  <c r="G33" i="1"/>
  <c r="H33" i="1" s="1"/>
  <c r="J30" i="1"/>
  <c r="F23" i="1"/>
  <c r="G22" i="1"/>
  <c r="H22" i="1" s="1"/>
  <c r="I22" i="1"/>
  <c r="J21" i="1"/>
  <c r="G11" i="1"/>
  <c r="J10" i="1" s="1"/>
  <c r="F12" i="1"/>
  <c r="A11" i="1"/>
  <c r="B10" i="2"/>
  <c r="B9" i="2"/>
  <c r="B8" i="2"/>
  <c r="B7" i="2"/>
  <c r="A11" i="2"/>
  <c r="G26" i="2"/>
  <c r="F27" i="2"/>
  <c r="J26" i="2"/>
  <c r="J27" i="2"/>
  <c r="I34" i="1" l="1"/>
  <c r="F35" i="1"/>
  <c r="G34" i="1"/>
  <c r="H34" i="1" s="1"/>
  <c r="J33" i="1"/>
  <c r="J22" i="1"/>
  <c r="F24" i="1"/>
  <c r="I23" i="1"/>
  <c r="G23" i="1"/>
  <c r="H23" i="1" s="1"/>
  <c r="A12" i="1"/>
  <c r="G12" i="1"/>
  <c r="J11" i="1" s="1"/>
  <c r="F13" i="1"/>
  <c r="D11" i="2"/>
  <c r="A12" i="2"/>
  <c r="B11" i="2"/>
  <c r="E10" i="2" s="1"/>
  <c r="E7" i="2"/>
  <c r="E8" i="2"/>
  <c r="E9" i="2"/>
  <c r="G27" i="2"/>
  <c r="F28" i="2"/>
  <c r="J28" i="2"/>
  <c r="J34" i="1" l="1"/>
  <c r="F36" i="1"/>
  <c r="G35" i="1"/>
  <c r="H35" i="1"/>
  <c r="I35" i="1"/>
  <c r="J35" i="1" s="1"/>
  <c r="J23" i="1"/>
  <c r="G24" i="1"/>
  <c r="F25" i="1"/>
  <c r="H24" i="1"/>
  <c r="I24" i="1"/>
  <c r="J24" i="1" s="1"/>
  <c r="F14" i="1"/>
  <c r="G13" i="1"/>
  <c r="J12" i="1"/>
  <c r="A13" i="1"/>
  <c r="D12" i="2"/>
  <c r="A13" i="2"/>
  <c r="B12" i="2"/>
  <c r="E11" i="2" s="1"/>
  <c r="F29" i="2"/>
  <c r="J29" i="2" s="1"/>
  <c r="G28" i="2"/>
  <c r="I36" i="1" l="1"/>
  <c r="F37" i="1"/>
  <c r="G36" i="1"/>
  <c r="H36" i="1"/>
  <c r="F26" i="1"/>
  <c r="G25" i="1"/>
  <c r="H25" i="1" s="1"/>
  <c r="I25" i="1"/>
  <c r="A14" i="1"/>
  <c r="G14" i="1"/>
  <c r="J13" i="1" s="1"/>
  <c r="F15" i="1"/>
  <c r="E12" i="2"/>
  <c r="D13" i="2"/>
  <c r="A14" i="2"/>
  <c r="B13" i="2"/>
  <c r="F30" i="2"/>
  <c r="G29" i="2"/>
  <c r="G37" i="1" l="1"/>
  <c r="I37" i="1"/>
  <c r="H37" i="1"/>
  <c r="F38" i="1"/>
  <c r="J36" i="1"/>
  <c r="J25" i="1"/>
  <c r="I26" i="1"/>
  <c r="G26" i="1"/>
  <c r="H26" i="1"/>
  <c r="F16" i="1"/>
  <c r="G15" i="1"/>
  <c r="J14" i="1"/>
  <c r="A15" i="1"/>
  <c r="D14" i="2"/>
  <c r="A15" i="2"/>
  <c r="B14" i="2"/>
  <c r="E13" i="2" s="1"/>
  <c r="F31" i="2"/>
  <c r="G30" i="2"/>
  <c r="J30" i="2"/>
  <c r="J31" i="2"/>
  <c r="G38" i="1" l="1"/>
  <c r="H38" i="1"/>
  <c r="F39" i="1"/>
  <c r="I38" i="1"/>
  <c r="J38" i="1" s="1"/>
  <c r="J37" i="1"/>
  <c r="J26" i="1"/>
  <c r="G16" i="1"/>
  <c r="D15" i="2"/>
  <c r="B15" i="2"/>
  <c r="G31" i="2"/>
  <c r="F32" i="2"/>
  <c r="J32" i="2"/>
  <c r="F40" i="1" l="1"/>
  <c r="G39" i="1"/>
  <c r="I39" i="1"/>
  <c r="H39" i="1"/>
  <c r="J15" i="1"/>
  <c r="J16" i="1"/>
  <c r="E15" i="2"/>
  <c r="E14" i="2"/>
  <c r="G32" i="2"/>
  <c r="F33" i="2"/>
  <c r="J33" i="2"/>
  <c r="J39" i="1" l="1"/>
  <c r="G40" i="1"/>
  <c r="H40" i="1"/>
  <c r="F41" i="1"/>
  <c r="I40" i="1"/>
  <c r="J40" i="1" s="1"/>
  <c r="G33" i="2"/>
  <c r="F34" i="2"/>
  <c r="G34" i="2" s="1"/>
  <c r="J34" i="2"/>
  <c r="F35" i="2"/>
  <c r="G41" i="1" l="1"/>
  <c r="F42" i="1"/>
  <c r="H41" i="1"/>
  <c r="I41" i="1"/>
  <c r="J41" i="1" s="1"/>
  <c r="J35" i="2"/>
  <c r="F36" i="2"/>
  <c r="G35" i="2"/>
  <c r="F43" i="1" l="1"/>
  <c r="G42" i="1"/>
  <c r="H42" i="1"/>
  <c r="I42" i="1"/>
  <c r="J42" i="1" s="1"/>
  <c r="J36" i="2"/>
  <c r="F37" i="2"/>
  <c r="G36" i="2"/>
  <c r="G43" i="1" l="1"/>
  <c r="H43" i="1"/>
  <c r="I43" i="1"/>
  <c r="J43" i="1" s="1"/>
  <c r="F44" i="1"/>
  <c r="J37" i="2"/>
  <c r="F38" i="2"/>
  <c r="G37" i="2"/>
  <c r="G44" i="1" l="1"/>
  <c r="F45" i="1"/>
  <c r="H44" i="1"/>
  <c r="I44" i="1"/>
  <c r="J44" i="1" s="1"/>
  <c r="J38" i="2"/>
  <c r="G38" i="2"/>
  <c r="F39" i="2"/>
  <c r="F46" i="1" l="1"/>
  <c r="I45" i="1"/>
  <c r="G45" i="1"/>
  <c r="H45" i="1" s="1"/>
  <c r="J39" i="2"/>
  <c r="G39" i="2"/>
  <c r="F40" i="2"/>
  <c r="J45" i="1" l="1"/>
  <c r="G46" i="1"/>
  <c r="H46" i="1"/>
  <c r="I46" i="1"/>
  <c r="J46" i="1" s="1"/>
  <c r="F47" i="1"/>
  <c r="J40" i="2"/>
  <c r="G40" i="2"/>
  <c r="F41" i="2"/>
  <c r="G47" i="1" l="1"/>
  <c r="H47" i="1"/>
  <c r="I47" i="1"/>
  <c r="J47" i="1" s="1"/>
  <c r="F48" i="1"/>
  <c r="J41" i="2"/>
  <c r="F42" i="2"/>
  <c r="G41" i="2"/>
  <c r="F49" i="1" l="1"/>
  <c r="G48" i="1"/>
  <c r="I48" i="1"/>
  <c r="H48" i="1"/>
  <c r="J42" i="2"/>
  <c r="F43" i="2"/>
  <c r="G42" i="2"/>
  <c r="J48" i="1" l="1"/>
  <c r="I49" i="1"/>
  <c r="F50" i="1"/>
  <c r="G49" i="1"/>
  <c r="H49" i="1" s="1"/>
  <c r="J43" i="2"/>
  <c r="G43" i="2"/>
  <c r="F44" i="2"/>
  <c r="I50" i="1" l="1"/>
  <c r="F51" i="1"/>
  <c r="G50" i="1"/>
  <c r="H50" i="1" s="1"/>
  <c r="J49" i="1"/>
  <c r="J44" i="2"/>
  <c r="G44" i="2"/>
  <c r="F45" i="2"/>
  <c r="G51" i="1" l="1"/>
  <c r="H51" i="1" s="1"/>
  <c r="I51" i="1"/>
  <c r="F52" i="1"/>
  <c r="J50" i="1"/>
  <c r="J45" i="2"/>
  <c r="G45" i="2"/>
  <c r="F46" i="2"/>
  <c r="I52" i="1" l="1"/>
  <c r="F53" i="1"/>
  <c r="G52" i="1"/>
  <c r="H52" i="1"/>
  <c r="J51" i="1"/>
  <c r="J46" i="2"/>
  <c r="G46" i="2"/>
  <c r="F47" i="2"/>
  <c r="G53" i="1" l="1"/>
  <c r="I53" i="1"/>
  <c r="H53" i="1"/>
  <c r="F54" i="1"/>
  <c r="J52" i="1"/>
  <c r="J47" i="2"/>
  <c r="G47" i="2"/>
  <c r="F48" i="2"/>
  <c r="F55" i="1" l="1"/>
  <c r="G54" i="1"/>
  <c r="I54" i="1"/>
  <c r="H54" i="1"/>
  <c r="J53" i="1"/>
  <c r="J48" i="2"/>
  <c r="G48" i="2"/>
  <c r="F49" i="2"/>
  <c r="J54" i="1" l="1"/>
  <c r="F56" i="1"/>
  <c r="I55" i="1"/>
  <c r="G55" i="1"/>
  <c r="H55" i="1" s="1"/>
  <c r="J49" i="2"/>
  <c r="G49" i="2"/>
  <c r="F50" i="2"/>
  <c r="J55" i="1" l="1"/>
  <c r="G56" i="1"/>
  <c r="H56" i="1"/>
  <c r="I56" i="1"/>
  <c r="J56" i="1" s="1"/>
  <c r="F57" i="1"/>
  <c r="J50" i="2"/>
  <c r="F51" i="2"/>
  <c r="G50" i="2"/>
  <c r="F58" i="1" l="1"/>
  <c r="G57" i="1"/>
  <c r="I57" i="1"/>
  <c r="H57" i="1"/>
  <c r="J51" i="2"/>
  <c r="G51" i="2"/>
  <c r="F52" i="2"/>
  <c r="J57" i="1" l="1"/>
  <c r="F59" i="1"/>
  <c r="I58" i="1"/>
  <c r="G58" i="1"/>
  <c r="H58" i="1"/>
  <c r="J52" i="2"/>
  <c r="G52" i="2"/>
  <c r="F53" i="2"/>
  <c r="J58" i="1" l="1"/>
  <c r="G59" i="1"/>
  <c r="H59" i="1"/>
  <c r="I59" i="1"/>
  <c r="J59" i="1" s="1"/>
  <c r="F60" i="1"/>
  <c r="J53" i="2"/>
  <c r="G53" i="2"/>
  <c r="F54" i="2"/>
  <c r="I60" i="1" l="1"/>
  <c r="G60" i="1"/>
  <c r="H60" i="1"/>
  <c r="F61" i="1"/>
  <c r="J54" i="2"/>
  <c r="G54" i="2"/>
  <c r="F55" i="2"/>
  <c r="G61" i="1" l="1"/>
  <c r="H61" i="1" s="1"/>
  <c r="F62" i="1"/>
  <c r="I61" i="1"/>
  <c r="J60" i="1"/>
  <c r="J55" i="2"/>
  <c r="G55" i="2"/>
  <c r="F56" i="2"/>
  <c r="J61" i="1" l="1"/>
  <c r="G62" i="1"/>
  <c r="H62" i="1"/>
  <c r="I62" i="1"/>
  <c r="J62" i="1" s="1"/>
  <c r="F63" i="1"/>
  <c r="J56" i="2"/>
  <c r="G56" i="2"/>
  <c r="F57" i="2"/>
  <c r="G63" i="1" l="1"/>
  <c r="I63" i="1"/>
  <c r="H63" i="1"/>
  <c r="F64" i="1"/>
  <c r="J57" i="2"/>
  <c r="G57" i="2"/>
  <c r="F58" i="2"/>
  <c r="G64" i="1" l="1"/>
  <c r="F65" i="1"/>
  <c r="H64" i="1"/>
  <c r="I64" i="1"/>
  <c r="J64" i="1" s="1"/>
  <c r="J63" i="1"/>
  <c r="J58" i="2"/>
  <c r="F59" i="2"/>
  <c r="G58" i="2"/>
  <c r="I65" i="1" l="1"/>
  <c r="F66" i="1"/>
  <c r="G65" i="1"/>
  <c r="H65" i="1" s="1"/>
  <c r="J59" i="2"/>
  <c r="G59" i="2"/>
  <c r="F60" i="2"/>
  <c r="G66" i="1" l="1"/>
  <c r="H66" i="1" s="1"/>
  <c r="F67" i="1"/>
  <c r="I66" i="1"/>
  <c r="J65" i="1"/>
  <c r="J60" i="2"/>
  <c r="G60" i="2"/>
  <c r="F61" i="2"/>
  <c r="G67" i="1" l="1"/>
  <c r="I67" i="1"/>
  <c r="H67" i="1"/>
  <c r="F68" i="1"/>
  <c r="J66" i="1"/>
  <c r="J61" i="2"/>
  <c r="G61" i="2"/>
  <c r="F62" i="2"/>
  <c r="I68" i="1" l="1"/>
  <c r="F69" i="1"/>
  <c r="G68" i="1"/>
  <c r="H68" i="1" s="1"/>
  <c r="J67" i="1"/>
  <c r="J62" i="2"/>
  <c r="G62" i="2"/>
  <c r="F63" i="2"/>
  <c r="G69" i="1" l="1"/>
  <c r="I69" i="1"/>
  <c r="F70" i="1"/>
  <c r="H69" i="1"/>
  <c r="J68" i="1"/>
  <c r="J63" i="2"/>
  <c r="F64" i="2"/>
  <c r="G63" i="2"/>
  <c r="G70" i="1" l="1"/>
  <c r="H70" i="1"/>
  <c r="I70" i="1"/>
  <c r="J70" i="1" s="1"/>
  <c r="F71" i="1"/>
  <c r="J69" i="1"/>
  <c r="J64" i="2"/>
  <c r="F65" i="2"/>
  <c r="G64" i="2"/>
  <c r="F72" i="1" l="1"/>
  <c r="G71" i="1"/>
  <c r="H71" i="1"/>
  <c r="I71" i="1"/>
  <c r="J71" i="1" s="1"/>
  <c r="J65" i="2"/>
  <c r="F66" i="2"/>
  <c r="G65" i="2"/>
  <c r="G72" i="1" l="1"/>
  <c r="H72" i="1"/>
  <c r="I72" i="1"/>
  <c r="J72" i="1" s="1"/>
  <c r="F73" i="1"/>
  <c r="J66" i="2"/>
  <c r="F67" i="2"/>
  <c r="G66" i="2"/>
  <c r="I73" i="1" l="1"/>
  <c r="F74" i="1"/>
  <c r="G73" i="1"/>
  <c r="H73" i="1"/>
  <c r="J67" i="2"/>
  <c r="G67" i="2"/>
  <c r="F68" i="2"/>
  <c r="F75" i="1" l="1"/>
  <c r="G74" i="1"/>
  <c r="H74" i="1"/>
  <c r="I74" i="1"/>
  <c r="J74" i="1" s="1"/>
  <c r="J73" i="1"/>
  <c r="J68" i="2"/>
  <c r="F69" i="2"/>
  <c r="G68" i="2"/>
  <c r="G75" i="1" l="1"/>
  <c r="H75" i="1"/>
  <c r="I75" i="1"/>
  <c r="J75" i="1" s="1"/>
  <c r="F76" i="1"/>
  <c r="J69" i="2"/>
  <c r="G69" i="2"/>
  <c r="F70" i="2"/>
  <c r="I76" i="1" l="1"/>
  <c r="G76" i="1"/>
  <c r="H76" i="1"/>
  <c r="F77" i="1"/>
  <c r="J70" i="2"/>
  <c r="G70" i="2"/>
  <c r="F71" i="2"/>
  <c r="F78" i="1" l="1"/>
  <c r="I77" i="1"/>
  <c r="G77" i="1"/>
  <c r="H77" i="1" s="1"/>
  <c r="J76" i="1"/>
  <c r="J71" i="2"/>
  <c r="G71" i="2"/>
  <c r="F72" i="2"/>
  <c r="J77" i="1" l="1"/>
  <c r="G78" i="1"/>
  <c r="H78" i="1"/>
  <c r="I78" i="1"/>
  <c r="J78" i="1" s="1"/>
  <c r="F79" i="1"/>
  <c r="J72" i="2"/>
  <c r="G72" i="2"/>
  <c r="F73" i="2"/>
  <c r="G79" i="1" l="1"/>
  <c r="H79" i="1"/>
  <c r="F80" i="1"/>
  <c r="I79" i="1"/>
  <c r="J79" i="1" s="1"/>
  <c r="J73" i="2"/>
  <c r="G73" i="2"/>
  <c r="F74" i="2"/>
  <c r="I80" i="1" l="1"/>
  <c r="G80" i="1"/>
  <c r="H80" i="1"/>
  <c r="F81" i="1"/>
  <c r="J74" i="2"/>
  <c r="G74" i="2"/>
  <c r="F75" i="2"/>
  <c r="I81" i="1" l="1"/>
  <c r="F82" i="1"/>
  <c r="G81" i="1"/>
  <c r="H81" i="1" s="1"/>
  <c r="J80" i="1"/>
  <c r="J75" i="2"/>
  <c r="F76" i="2"/>
  <c r="G75" i="2"/>
  <c r="F83" i="1" l="1"/>
  <c r="G82" i="1"/>
  <c r="H82" i="1" s="1"/>
  <c r="I82" i="1"/>
  <c r="J81" i="1"/>
  <c r="J76" i="2"/>
  <c r="G76" i="2"/>
  <c r="F77" i="2"/>
  <c r="J82" i="1" l="1"/>
  <c r="I83" i="1"/>
  <c r="G83" i="1"/>
  <c r="H83" i="1" s="1"/>
  <c r="F84" i="1"/>
  <c r="J77" i="2"/>
  <c r="F78" i="2"/>
  <c r="G77" i="2"/>
  <c r="I84" i="1" l="1"/>
  <c r="F85" i="1"/>
  <c r="G84" i="1"/>
  <c r="H84" i="1"/>
  <c r="J83" i="1"/>
  <c r="J78" i="2"/>
  <c r="G78" i="2"/>
  <c r="F79" i="2"/>
  <c r="G85" i="1" l="1"/>
  <c r="I85" i="1"/>
  <c r="H85" i="1"/>
  <c r="F86" i="1"/>
  <c r="J84" i="1"/>
  <c r="J79" i="2"/>
  <c r="G79" i="2"/>
  <c r="F80" i="2"/>
  <c r="G86" i="1" l="1"/>
  <c r="H86" i="1" s="1"/>
  <c r="F87" i="1"/>
  <c r="I86" i="1"/>
  <c r="J85" i="1"/>
  <c r="J80" i="2"/>
  <c r="G80" i="2"/>
  <c r="F81" i="2"/>
  <c r="J86" i="1" l="1"/>
  <c r="F88" i="1"/>
  <c r="G87" i="1"/>
  <c r="H87" i="1"/>
  <c r="I87" i="1"/>
  <c r="J87" i="1" s="1"/>
  <c r="J81" i="2"/>
  <c r="G81" i="2"/>
  <c r="F82" i="2"/>
  <c r="G88" i="1" l="1"/>
  <c r="H88" i="1"/>
  <c r="I88" i="1"/>
  <c r="J88" i="1" s="1"/>
  <c r="F89" i="1"/>
  <c r="J82" i="2"/>
  <c r="F83" i="2"/>
  <c r="G82" i="2"/>
  <c r="G89" i="1" l="1"/>
  <c r="H89" i="1"/>
  <c r="I89" i="1"/>
  <c r="J89" i="1" s="1"/>
  <c r="F90" i="1"/>
  <c r="J83" i="2"/>
  <c r="F84" i="2"/>
  <c r="G83" i="2"/>
  <c r="F91" i="1" l="1"/>
  <c r="G90" i="1"/>
  <c r="H90" i="1"/>
  <c r="I90" i="1"/>
  <c r="J90" i="1" s="1"/>
  <c r="J84" i="2"/>
  <c r="G84" i="2"/>
  <c r="F85" i="2"/>
  <c r="G91" i="1" l="1"/>
  <c r="H91" i="1"/>
  <c r="I91" i="1"/>
  <c r="J91" i="1" s="1"/>
  <c r="F92" i="1"/>
  <c r="J85" i="2"/>
  <c r="G85" i="2"/>
  <c r="F86" i="2"/>
  <c r="F93" i="1" l="1"/>
  <c r="I92" i="1"/>
  <c r="G92" i="1"/>
  <c r="H92" i="1" s="1"/>
  <c r="J86" i="2"/>
  <c r="G86" i="2"/>
  <c r="F87" i="2"/>
  <c r="J92" i="1" l="1"/>
  <c r="I93" i="1"/>
  <c r="F94" i="1"/>
  <c r="G93" i="1"/>
  <c r="H93" i="1" s="1"/>
  <c r="J87" i="2"/>
  <c r="F88" i="2"/>
  <c r="G87" i="2"/>
  <c r="G94" i="1" l="1"/>
  <c r="H94" i="1"/>
  <c r="I94" i="1"/>
  <c r="J94" i="1" s="1"/>
  <c r="F95" i="1"/>
  <c r="J93" i="1"/>
  <c r="J88" i="2"/>
  <c r="G88" i="2"/>
  <c r="F89" i="2"/>
  <c r="G95" i="1" l="1"/>
  <c r="H95" i="1"/>
  <c r="I95" i="1"/>
  <c r="J95" i="1" s="1"/>
  <c r="F96" i="1"/>
  <c r="J89" i="2"/>
  <c r="G89" i="2"/>
  <c r="F90" i="2"/>
  <c r="I96" i="1" l="1"/>
  <c r="F97" i="1"/>
  <c r="G96" i="1"/>
  <c r="H96" i="1" s="1"/>
  <c r="J90" i="2"/>
  <c r="F91" i="2"/>
  <c r="G90" i="2"/>
  <c r="J96" i="1" l="1"/>
  <c r="I97" i="1"/>
  <c r="F98" i="1"/>
  <c r="G97" i="1"/>
  <c r="H97" i="1" s="1"/>
  <c r="J91" i="2"/>
  <c r="G91" i="2"/>
  <c r="F92" i="2"/>
  <c r="I98" i="1" l="1"/>
  <c r="G98" i="1"/>
  <c r="H98" i="1" s="1"/>
  <c r="F99" i="1"/>
  <c r="J97" i="1"/>
  <c r="J92" i="2"/>
  <c r="F93" i="2"/>
  <c r="G92" i="2"/>
  <c r="I99" i="1" l="1"/>
  <c r="G99" i="1"/>
  <c r="H99" i="1" s="1"/>
  <c r="F100" i="1"/>
  <c r="J98" i="1"/>
  <c r="J93" i="2"/>
  <c r="G93" i="2"/>
  <c r="F94" i="2"/>
  <c r="I100" i="1" l="1"/>
  <c r="F101" i="1"/>
  <c r="G100" i="1"/>
  <c r="H100" i="1"/>
  <c r="J99" i="1"/>
  <c r="J94" i="2"/>
  <c r="F95" i="2"/>
  <c r="G94" i="2"/>
  <c r="G101" i="1" l="1"/>
  <c r="I101" i="1"/>
  <c r="F102" i="1"/>
  <c r="H101" i="1"/>
  <c r="J100" i="1"/>
  <c r="J95" i="2"/>
  <c r="F96" i="2"/>
  <c r="G95" i="2"/>
  <c r="G102" i="1" l="1"/>
  <c r="H102" i="1" s="1"/>
  <c r="F103" i="1"/>
  <c r="I102" i="1"/>
  <c r="J101" i="1"/>
  <c r="J96" i="2"/>
  <c r="F97" i="2"/>
  <c r="G96" i="2"/>
  <c r="J102" i="1" l="1"/>
  <c r="F104" i="1"/>
  <c r="G103" i="1"/>
  <c r="H103" i="1" s="1"/>
  <c r="I103" i="1"/>
  <c r="J97" i="2"/>
  <c r="G97" i="2"/>
  <c r="F98" i="2"/>
  <c r="J103" i="1" l="1"/>
  <c r="G104" i="1"/>
  <c r="H104" i="1"/>
  <c r="I104" i="1"/>
  <c r="J104" i="1" s="1"/>
  <c r="F105" i="1"/>
  <c r="J98" i="2"/>
  <c r="F99" i="2"/>
  <c r="G98" i="2"/>
  <c r="G105" i="1" l="1"/>
  <c r="H105" i="1"/>
  <c r="I105" i="1"/>
  <c r="J105" i="1" s="1"/>
  <c r="J99" i="2"/>
  <c r="G99" i="2"/>
  <c r="F100" i="2"/>
  <c r="J100" i="2" l="1"/>
  <c r="G100" i="2"/>
  <c r="F101" i="2"/>
  <c r="J101" i="2" l="1"/>
  <c r="G101" i="2"/>
  <c r="F102" i="2"/>
  <c r="J102" i="2" l="1"/>
  <c r="G102" i="2"/>
  <c r="F103" i="2"/>
  <c r="J103" i="2" l="1"/>
  <c r="G103" i="2"/>
  <c r="F104" i="2"/>
  <c r="J104" i="2" l="1"/>
  <c r="G104" i="2"/>
  <c r="F105" i="2"/>
  <c r="J105" i="2" l="1"/>
  <c r="G105" i="2"/>
</calcChain>
</file>

<file path=xl/sharedStrings.xml><?xml version="1.0" encoding="utf-8"?>
<sst xmlns="http://schemas.openxmlformats.org/spreadsheetml/2006/main" count="45" uniqueCount="19">
  <si>
    <t xml:space="preserve">y=x^2*cos(x)  </t>
  </si>
  <si>
    <t>0 ≤ x ≤ 1</t>
  </si>
  <si>
    <t>Part a:</t>
  </si>
  <si>
    <t>Δx =</t>
  </si>
  <si>
    <t>x</t>
  </si>
  <si>
    <t xml:space="preserve"> Numerical Derivative</t>
  </si>
  <si>
    <t>% Error</t>
  </si>
  <si>
    <t>f(x)</t>
  </si>
  <si>
    <t>Exact</t>
  </si>
  <si>
    <t>Part b:</t>
  </si>
  <si>
    <t>Δh =</t>
  </si>
  <si>
    <t xml:space="preserve"> Numerical integral</t>
  </si>
  <si>
    <t>H(T) (J/mol)</t>
  </si>
  <si>
    <t>T(°C)</t>
  </si>
  <si>
    <t>Anlytical differentiation</t>
  </si>
  <si>
    <t>average heat capacity</t>
  </si>
  <si>
    <t>Comparing with Part a:</t>
  </si>
  <si>
    <t>Part c:</t>
  </si>
  <si>
    <t xml:space="preserve"> Cp (J/mol*K) (exact)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</si>
</sst>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Enthalpy vs. Temperature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0132983377077866E-2"/>
                  <c:y val="0.2613841498979294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50.415x + 19122</a:t>
                    </a:r>
                    <a:endParaRPr lang="en-US" sz="12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'4.1'!$A$3:$A$17</c:f>
              <c:numCache>
                <c:formatCode>General</c:formatCode>
                <c:ptCount val="1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</c:numCache>
            </c:numRef>
          </c:xVal>
          <c:yVal>
            <c:numRef>
              <c:f>'4.1'!$B$3:$B$17</c:f>
              <c:numCache>
                <c:formatCode>0.000</c:formatCode>
                <c:ptCount val="15"/>
                <c:pt idx="0">
                  <c:v>25186</c:v>
                </c:pt>
                <c:pt idx="1">
                  <c:v>27254</c:v>
                </c:pt>
                <c:pt idx="2">
                  <c:v>29408</c:v>
                </c:pt>
                <c:pt idx="3">
                  <c:v>31640</c:v>
                </c:pt>
                <c:pt idx="4">
                  <c:v>33942</c:v>
                </c:pt>
                <c:pt idx="5">
                  <c:v>36307</c:v>
                </c:pt>
                <c:pt idx="6">
                  <c:v>38732</c:v>
                </c:pt>
                <c:pt idx="7">
                  <c:v>41209</c:v>
                </c:pt>
                <c:pt idx="8">
                  <c:v>43736</c:v>
                </c:pt>
                <c:pt idx="9">
                  <c:v>46307</c:v>
                </c:pt>
                <c:pt idx="10">
                  <c:v>48919</c:v>
                </c:pt>
                <c:pt idx="11">
                  <c:v>51568</c:v>
                </c:pt>
                <c:pt idx="12">
                  <c:v>54252</c:v>
                </c:pt>
                <c:pt idx="13">
                  <c:v>58966</c:v>
                </c:pt>
                <c:pt idx="14">
                  <c:v>59710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77-4A9B-8ADB-CAC52DAF6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14575"/>
        <c:axId val="70703535"/>
      </c:scatterChart>
      <c:valAx>
        <c:axId val="7071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3535"/>
        <c:crosses val="autoZero"/>
        <c:crossBetween val="midCat"/>
      </c:valAx>
      <c:valAx>
        <c:axId val="7070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enthalpy (J/mol)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1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327268</xdr:colOff>
      <xdr:row>3</xdr:row>
      <xdr:rowOff>110066</xdr:rowOff>
    </xdr:from>
    <xdr:to>
      <xdr:col>14</xdr:col>
      <xdr:colOff>36362</xdr:colOff>
      <xdr:row>18</xdr:row>
      <xdr:rowOff>85318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A0166F-517F-7ACD-C26F-DA8BC503F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26FF-B5FB-4EAF-B399-C1C56A4D64BA}">
  <dimension ref="A1:J147"/>
  <sheetViews>
    <sheetView topLeftCell="A80" zoomScale="80" zoomScaleNormal="105" workbookViewId="0">
      <selection activeCell="H107" sqref="H107"/>
    </sheetView>
  </sheetViews>
  <sheetFormatPr defaultRowHeight="14.5" x14ac:dyDescent="0.35"/>
  <cols>
    <col min="1" max="1" width="14.54296875" customWidth="1"/>
    <col min="2" max="2" width="20.453125" customWidth="1"/>
    <col min="3" max="3" width="18.36328125" customWidth="1"/>
    <col min="4" max="4" width="17.26953125" customWidth="1"/>
    <col min="5" max="5" width="13.81640625" customWidth="1"/>
    <col min="6" max="6" width="13.90625" bestFit="1" customWidth="1"/>
    <col min="7" max="7" width="18.26953125" customWidth="1"/>
    <col min="8" max="8" width="19.54296875" customWidth="1"/>
    <col min="9" max="9" width="16.453125" customWidth="1"/>
    <col min="10" max="10" width="16.36328125" bestFit="1" customWidth="1"/>
  </cols>
  <sheetData>
    <row r="1" spans="1:10" x14ac:dyDescent="0.35">
      <c r="A1" t="s">
        <v>0</v>
      </c>
      <c r="B1" t="s">
        <v>1</v>
      </c>
      <c r="C1" t="s">
        <v>10</v>
      </c>
      <c r="D1">
        <v>0.1</v>
      </c>
      <c r="F1" t="s">
        <v>10</v>
      </c>
      <c r="G1">
        <v>0.01</v>
      </c>
    </row>
    <row r="3" spans="1:10" x14ac:dyDescent="0.35">
      <c r="A3" t="s">
        <v>2</v>
      </c>
    </row>
    <row r="4" spans="1:10" x14ac:dyDescent="0.35">
      <c r="A4" t="s">
        <v>4</v>
      </c>
      <c r="B4" t="s">
        <v>7</v>
      </c>
      <c r="C4" t="s">
        <v>5</v>
      </c>
      <c r="D4" t="s">
        <v>8</v>
      </c>
      <c r="E4" t="s">
        <v>6</v>
      </c>
      <c r="F4" t="s">
        <v>4</v>
      </c>
      <c r="G4" t="s">
        <v>7</v>
      </c>
      <c r="H4" t="s">
        <v>5</v>
      </c>
      <c r="I4" t="s">
        <v>8</v>
      </c>
      <c r="J4" t="s">
        <v>6</v>
      </c>
    </row>
    <row r="5" spans="1:10" x14ac:dyDescent="0.35">
      <c r="A5" s="1">
        <v>0</v>
      </c>
      <c r="B5" s="1">
        <f>A5^2*COS(A5)</f>
        <v>0</v>
      </c>
      <c r="C5" s="1">
        <f>((-3*B5)+(4*B6)-(B7))/(0.1*2)</f>
        <v>2.9875174873568444E-3</v>
      </c>
      <c r="D5" s="1">
        <f>2*A5*COS(A5)-(A5^2)*SIN(A5)</f>
        <v>0</v>
      </c>
      <c r="E5" s="1"/>
      <c r="F5" s="1">
        <v>0</v>
      </c>
      <c r="G5" s="1">
        <f>F5^2*COS(F5)</f>
        <v>0</v>
      </c>
      <c r="H5" s="1">
        <f>((-3*G5)+(4*G6)-(G7))/(0.01*2)</f>
        <v>2.9998750017499326E-6</v>
      </c>
      <c r="I5" s="1">
        <f>2*F5*COS(F5)-(F5^2)*SIN(F5)</f>
        <v>0</v>
      </c>
      <c r="J5" s="1"/>
    </row>
    <row r="6" spans="1:10" x14ac:dyDescent="0.35">
      <c r="A6" s="1">
        <f>$D$1+A5</f>
        <v>0.1</v>
      </c>
      <c r="B6" s="1">
        <f t="shared" ref="B6:B15" si="0">A6^2*COS(A6)</f>
        <v>9.9500416527802601E-3</v>
      </c>
      <c r="C6" s="1">
        <f>(B7-B5)/(0.1*2)</f>
        <v>0.19601331556824836</v>
      </c>
      <c r="D6" s="1">
        <f t="shared" ref="D6:D15" si="1">2*A6*COS(A6)-(A6^2)*SIN(A6)</f>
        <v>0.1980024988891369</v>
      </c>
      <c r="E6" s="1">
        <f>ABS(D6-C6)/D6*100</f>
        <v>1.0046253618255101</v>
      </c>
      <c r="F6" s="1">
        <f>$G$1+F5</f>
        <v>0.01</v>
      </c>
      <c r="G6" s="1">
        <f t="shared" ref="G6:G69" si="2">F6^2*COS(F6)</f>
        <v>9.9995000041666534E-5</v>
      </c>
      <c r="H6" s="1">
        <f>(G7-G5)/(0.01*2)</f>
        <v>1.9996000133331557E-2</v>
      </c>
      <c r="I6" s="1">
        <f t="shared" ref="I6:I69" si="3">2*F6*COS(F6)-(F6^2)*SIN(F6)</f>
        <v>1.9998000024999889E-2</v>
      </c>
      <c r="J6" s="1">
        <f>ABS(I6-H6)/I6*100</f>
        <v>1.0000458374996865E-2</v>
      </c>
    </row>
    <row r="7" spans="1:10" x14ac:dyDescent="0.35">
      <c r="A7" s="1">
        <f t="shared" ref="A7:A27" si="4">$D$1+A6</f>
        <v>0.2</v>
      </c>
      <c r="B7" s="1">
        <f t="shared" si="0"/>
        <v>3.9202663113649672E-2</v>
      </c>
      <c r="C7" s="1">
        <f t="shared" ref="C7:C14" si="5">(B8-B6)/(0.1*2)</f>
        <v>0.38015121184262146</v>
      </c>
      <c r="D7" s="1">
        <f t="shared" si="1"/>
        <v>0.38407985790469423</v>
      </c>
      <c r="E7" s="1">
        <f>ABS(D7-C7)/D7*100</f>
        <v>1.0228721921282391</v>
      </c>
      <c r="F7" s="1">
        <f t="shared" ref="F7:F18" si="6">$G$1+F6</f>
        <v>0.02</v>
      </c>
      <c r="G7" s="1">
        <f t="shared" si="2"/>
        <v>3.9992000266663114E-4</v>
      </c>
      <c r="H7" s="1">
        <f t="shared" ref="H7:H70" si="7">(G8-G6)/(0.01*2)</f>
        <v>3.9980001516621115E-2</v>
      </c>
      <c r="I7" s="1">
        <f t="shared" si="3"/>
        <v>3.9984000799985778E-2</v>
      </c>
      <c r="J7" s="1">
        <f t="shared" ref="J7:J23" si="8">ABS(I7-H7)/I7*100</f>
        <v>1.000220909525411E-2</v>
      </c>
    </row>
    <row r="8" spans="1:10" x14ac:dyDescent="0.35">
      <c r="A8" s="1">
        <f t="shared" si="4"/>
        <v>0.30000000000000004</v>
      </c>
      <c r="B8" s="1">
        <f t="shared" si="0"/>
        <v>8.5980284021304559E-2</v>
      </c>
      <c r="C8" s="1">
        <f t="shared" si="5"/>
        <v>0.54083547963405987</v>
      </c>
      <c r="D8" s="1">
        <f t="shared" si="1"/>
        <v>0.54660507487584309</v>
      </c>
      <c r="E8" s="1">
        <f t="shared" ref="E7:E15" si="9">ABS(D8-C8)/D8*100</f>
        <v>1.0555326884028176</v>
      </c>
      <c r="F8" s="1">
        <f t="shared" si="6"/>
        <v>0.03</v>
      </c>
      <c r="G8" s="1">
        <f t="shared" si="2"/>
        <v>8.9959503037408876E-4</v>
      </c>
      <c r="H8" s="1">
        <f t="shared" si="7"/>
        <v>5.9940008399546676E-2</v>
      </c>
      <c r="I8" s="1">
        <f t="shared" si="3"/>
        <v>5.9946006074757002E-2</v>
      </c>
      <c r="J8" s="1">
        <f t="shared" si="8"/>
        <v>1.0005128953622463E-2</v>
      </c>
    </row>
    <row r="9" spans="1:10" x14ac:dyDescent="0.35">
      <c r="A9" s="1">
        <f t="shared" si="4"/>
        <v>0.4</v>
      </c>
      <c r="B9" s="1">
        <f t="shared" si="0"/>
        <v>0.14736975904046165</v>
      </c>
      <c r="C9" s="1">
        <f t="shared" si="5"/>
        <v>0.66707678225644307</v>
      </c>
      <c r="D9" s="1">
        <f t="shared" si="1"/>
        <v>0.67454186043292408</v>
      </c>
      <c r="E9" s="1">
        <f t="shared" si="9"/>
        <v>1.1066886451924405</v>
      </c>
      <c r="F9" s="1">
        <f t="shared" si="6"/>
        <v>0.04</v>
      </c>
      <c r="G9" s="1">
        <f t="shared" si="2"/>
        <v>1.5987201706575648E-3</v>
      </c>
      <c r="H9" s="1">
        <f t="shared" si="7"/>
        <v>7.9864031030666374E-2</v>
      </c>
      <c r="I9" s="1">
        <f t="shared" si="3"/>
        <v>7.9872025598179616E-2</v>
      </c>
      <c r="J9" s="1">
        <f t="shared" si="8"/>
        <v>1.0009220942337312E-2</v>
      </c>
    </row>
    <row r="10" spans="1:10" x14ac:dyDescent="0.35">
      <c r="A10" s="1">
        <f t="shared" si="4"/>
        <v>0.5</v>
      </c>
      <c r="B10" s="1">
        <f t="shared" si="0"/>
        <v>0.21939564047259319</v>
      </c>
      <c r="C10" s="1">
        <f t="shared" si="5"/>
        <v>0.74875531163511266</v>
      </c>
      <c r="D10" s="1">
        <f t="shared" si="1"/>
        <v>0.75772617723932201</v>
      </c>
      <c r="E10" s="1">
        <f t="shared" si="9"/>
        <v>1.1839191879174005</v>
      </c>
      <c r="F10" s="1">
        <f t="shared" si="6"/>
        <v>0.05</v>
      </c>
      <c r="G10" s="1">
        <f t="shared" si="2"/>
        <v>2.4968756509874163E-3</v>
      </c>
      <c r="H10" s="1">
        <f t="shared" si="7"/>
        <v>9.9740088655458567E-2</v>
      </c>
      <c r="I10" s="1">
        <f t="shared" si="3"/>
        <v>9.9750078116319932E-2</v>
      </c>
      <c r="J10" s="1">
        <f t="shared" si="8"/>
        <v>1.0014489261568324E-2</v>
      </c>
    </row>
    <row r="11" spans="1:10" x14ac:dyDescent="0.35">
      <c r="A11" s="1">
        <f t="shared" si="4"/>
        <v>0.6</v>
      </c>
      <c r="B11" s="1">
        <f t="shared" si="0"/>
        <v>0.29712082136748419</v>
      </c>
      <c r="C11" s="1">
        <f t="shared" si="5"/>
        <v>0.77688515648403067</v>
      </c>
      <c r="D11" s="1">
        <f t="shared" si="1"/>
        <v>0.78713144746940122</v>
      </c>
      <c r="E11" s="1">
        <f t="shared" si="9"/>
        <v>1.3017255273324428</v>
      </c>
      <c r="F11" s="1">
        <f t="shared" si="6"/>
        <v>6.0000000000000005E-2</v>
      </c>
      <c r="G11" s="1">
        <f t="shared" si="2"/>
        <v>3.5935219437667359E-3</v>
      </c>
      <c r="H11" s="1">
        <f t="shared" si="7"/>
        <v>0.11955621251268274</v>
      </c>
      <c r="I11" s="1">
        <f t="shared" si="3"/>
        <v>0.11956819436889851</v>
      </c>
      <c r="J11" s="1">
        <f t="shared" si="8"/>
        <v>1.002093933007467E-2</v>
      </c>
    </row>
    <row r="12" spans="1:10" x14ac:dyDescent="0.35">
      <c r="A12" s="1">
        <f t="shared" si="4"/>
        <v>0.7</v>
      </c>
      <c r="B12" s="1">
        <f t="shared" si="0"/>
        <v>0.37477267176939932</v>
      </c>
      <c r="C12" s="1">
        <f t="shared" si="5"/>
        <v>0.74385736307350814</v>
      </c>
      <c r="D12" s="1">
        <f t="shared" si="1"/>
        <v>0.7551123954518153</v>
      </c>
      <c r="E12" s="1">
        <f t="shared" si="9"/>
        <v>1.4905108757449022</v>
      </c>
      <c r="F12" s="1">
        <f t="shared" si="6"/>
        <v>7.0000000000000007E-2</v>
      </c>
      <c r="G12" s="1">
        <f t="shared" si="2"/>
        <v>4.887999901241071E-3</v>
      </c>
      <c r="H12" s="1">
        <f t="shared" si="7"/>
        <v>0.13930044882850143</v>
      </c>
      <c r="I12" s="1">
        <f t="shared" si="3"/>
        <v>0.13931442008350522</v>
      </c>
      <c r="J12" s="1">
        <f t="shared" si="8"/>
        <v>1.0028577799357008E-2</v>
      </c>
    </row>
    <row r="13" spans="1:10" x14ac:dyDescent="0.35">
      <c r="A13" s="1">
        <f t="shared" si="4"/>
        <v>0.79999999999999993</v>
      </c>
      <c r="B13" s="1">
        <f t="shared" si="0"/>
        <v>0.44589229398218583</v>
      </c>
      <c r="C13" s="1">
        <f t="shared" si="5"/>
        <v>0.64365701264919417</v>
      </c>
      <c r="D13" s="1">
        <f t="shared" si="1"/>
        <v>0.65562283677977029</v>
      </c>
      <c r="E13" s="1">
        <f t="shared" si="9"/>
        <v>1.8251078911998835</v>
      </c>
      <c r="F13" s="1">
        <f t="shared" si="6"/>
        <v>0.08</v>
      </c>
      <c r="G13" s="1">
        <f t="shared" si="2"/>
        <v>6.3795309203367647E-3</v>
      </c>
      <c r="H13" s="1">
        <f t="shared" si="7"/>
        <v>0.15896086180780408</v>
      </c>
      <c r="I13" s="1">
        <f t="shared" si="3"/>
        <v>0.1589768189670164</v>
      </c>
      <c r="J13" s="1">
        <f t="shared" si="8"/>
        <v>1.0037412571219947E-2</v>
      </c>
    </row>
    <row r="14" spans="1:10" x14ac:dyDescent="0.35">
      <c r="A14" s="1">
        <f t="shared" si="4"/>
        <v>0.89999999999999991</v>
      </c>
      <c r="B14" s="1">
        <f t="shared" si="0"/>
        <v>0.50350407429923816</v>
      </c>
      <c r="C14" s="1">
        <f t="shared" si="5"/>
        <v>0.47205005942976913</v>
      </c>
      <c r="D14" s="1">
        <f t="shared" si="1"/>
        <v>0.48440314608893453</v>
      </c>
      <c r="E14" s="1">
        <f t="shared" si="9"/>
        <v>2.5501664799050303</v>
      </c>
      <c r="F14" s="1">
        <f t="shared" si="6"/>
        <v>0.09</v>
      </c>
      <c r="G14" s="1">
        <f t="shared" si="2"/>
        <v>8.0672171373971525E-3</v>
      </c>
      <c r="H14" s="1">
        <f t="shared" si="7"/>
        <v>0.1785255366221746</v>
      </c>
      <c r="I14" s="1">
        <f t="shared" si="3"/>
        <v>0.17854347569365508</v>
      </c>
      <c r="J14" s="1">
        <f>ABS(I14-H14)/I14*100</f>
        <v>1.0047452818305528E-2</v>
      </c>
    </row>
    <row r="15" spans="1:10" x14ac:dyDescent="0.35">
      <c r="A15" s="1">
        <f t="shared" si="4"/>
        <v>0.99999999999999989</v>
      </c>
      <c r="B15" s="1">
        <f t="shared" si="0"/>
        <v>0.54030230586813965</v>
      </c>
      <c r="C15" s="1">
        <f>((3*B15)-(4*B14)+(B13))/(0.1*2)</f>
        <v>0.26391457194826023</v>
      </c>
      <c r="D15" s="1">
        <f t="shared" si="1"/>
        <v>0.23913362692838314</v>
      </c>
      <c r="E15" s="1">
        <f t="shared" si="9"/>
        <v>10.362802311905138</v>
      </c>
      <c r="F15" s="1">
        <f t="shared" si="6"/>
        <v>9.9999999999999992E-2</v>
      </c>
      <c r="G15" s="1">
        <f t="shared" si="2"/>
        <v>9.9500416527802567E-3</v>
      </c>
      <c r="H15" s="1">
        <f t="shared" si="7"/>
        <v>0.19798258239394384</v>
      </c>
      <c r="I15" s="1">
        <f t="shared" si="3"/>
        <v>0.19800249888913687</v>
      </c>
      <c r="J15" s="1">
        <f t="shared" si="8"/>
        <v>1.0058709008609824E-2</v>
      </c>
    </row>
    <row r="16" spans="1:10" x14ac:dyDescent="0.35">
      <c r="A16" s="1"/>
      <c r="B16" s="1"/>
      <c r="C16" s="1"/>
      <c r="D16" s="1"/>
      <c r="E16" s="1"/>
      <c r="F16" s="1">
        <f t="shared" si="6"/>
        <v>0.10999999999999999</v>
      </c>
      <c r="G16" s="1">
        <f t="shared" si="2"/>
        <v>1.202686878527603E-2</v>
      </c>
      <c r="H16" s="1">
        <f t="shared" si="7"/>
        <v>0.21732013517577067</v>
      </c>
      <c r="I16" s="1">
        <f t="shared" si="3"/>
        <v>0.21734202411034345</v>
      </c>
      <c r="J16" s="1">
        <f t="shared" si="8"/>
        <v>1.0071192933063447E-2</v>
      </c>
    </row>
    <row r="17" spans="1:10" x14ac:dyDescent="0.35">
      <c r="A17" s="1"/>
      <c r="B17" s="1"/>
      <c r="C17" s="1"/>
      <c r="D17" s="1"/>
      <c r="E17" s="1"/>
      <c r="F17" s="1">
        <f t="shared" si="6"/>
        <v>0.11999999999999998</v>
      </c>
      <c r="G17" s="1">
        <f t="shared" si="2"/>
        <v>1.429644435629567E-2</v>
      </c>
      <c r="H17" s="1">
        <f t="shared" si="7"/>
        <v>0.23652636092519425</v>
      </c>
      <c r="I17" s="1">
        <f t="shared" si="3"/>
        <v>0.23655021681996743</v>
      </c>
      <c r="J17" s="1">
        <f t="shared" si="8"/>
        <v>1.0084917737084729E-2</v>
      </c>
    </row>
    <row r="18" spans="1:10" x14ac:dyDescent="0.35">
      <c r="A18" s="1"/>
      <c r="B18" s="1"/>
      <c r="C18" s="1"/>
      <c r="D18" s="1"/>
      <c r="E18" s="1"/>
      <c r="F18" s="1">
        <f t="shared" si="6"/>
        <v>0.12999999999999998</v>
      </c>
      <c r="G18" s="1">
        <f t="shared" si="2"/>
        <v>1.6757396003779915E-2</v>
      </c>
      <c r="H18" s="1">
        <f t="shared" si="7"/>
        <v>0.25558945847360082</v>
      </c>
      <c r="I18" s="1">
        <f t="shared" si="3"/>
        <v>0.25561527535557199</v>
      </c>
      <c r="J18" s="1">
        <f t="shared" si="8"/>
        <v>1.009989795612261E-2</v>
      </c>
    </row>
    <row r="19" spans="1:10" x14ac:dyDescent="0.35">
      <c r="A19" s="1"/>
      <c r="B19" s="1"/>
      <c r="C19" s="1"/>
      <c r="D19" s="1"/>
      <c r="E19" s="1"/>
      <c r="F19" s="1">
        <f t="shared" ref="F19:F82" si="10">$G$1+F18</f>
        <v>0.13999999999999999</v>
      </c>
      <c r="G19" s="1">
        <f t="shared" si="2"/>
        <v>1.9408233525767687E-2</v>
      </c>
      <c r="H19" s="1">
        <f t="shared" si="7"/>
        <v>0.27449766248905172</v>
      </c>
      <c r="I19" s="1">
        <f t="shared" si="3"/>
        <v>0.27452543389251133</v>
      </c>
      <c r="J19" s="1">
        <f t="shared" si="8"/>
        <v>1.0116149555192959E-2</v>
      </c>
    </row>
    <row r="20" spans="1:10" x14ac:dyDescent="0.35">
      <c r="A20" s="1"/>
      <c r="B20" s="1"/>
      <c r="C20" s="1"/>
      <c r="D20" s="1"/>
      <c r="E20" s="1"/>
      <c r="F20" s="1">
        <f t="shared" si="10"/>
        <v>0.15</v>
      </c>
      <c r="G20" s="1">
        <f t="shared" si="2"/>
        <v>2.224734925356095E-2</v>
      </c>
      <c r="H20" s="1">
        <f t="shared" si="7"/>
        <v>0.29323924643241822</v>
      </c>
      <c r="I20" s="1">
        <f t="shared" si="3"/>
        <v>0.29326896540015668</v>
      </c>
      <c r="J20" s="1">
        <f t="shared" si="8"/>
        <v>1.0133689972243124E-2</v>
      </c>
    </row>
    <row r="21" spans="1:10" x14ac:dyDescent="0.35">
      <c r="A21" s="1"/>
      <c r="B21" s="1"/>
      <c r="C21" s="1"/>
      <c r="D21" s="1"/>
      <c r="E21" s="1"/>
      <c r="F21" s="1">
        <f t="shared" si="10"/>
        <v>0.16</v>
      </c>
      <c r="G21" s="1">
        <f t="shared" si="2"/>
        <v>2.5273018454416051E-2</v>
      </c>
      <c r="H21" s="1">
        <f t="shared" si="7"/>
        <v>0.31180252550626808</v>
      </c>
      <c r="I21" s="1">
        <f t="shared" si="3"/>
        <v>0.31183418459087597</v>
      </c>
      <c r="J21" s="1">
        <f t="shared" si="8"/>
        <v>1.0152538166856188E-2</v>
      </c>
    </row>
    <row r="22" spans="1:10" x14ac:dyDescent="0.35">
      <c r="A22" s="1"/>
      <c r="B22" s="1"/>
      <c r="C22" s="1"/>
      <c r="D22" s="1"/>
      <c r="E22" s="1"/>
      <c r="F22" s="1">
        <f t="shared" si="10"/>
        <v>0.17</v>
      </c>
      <c r="G22" s="1">
        <f t="shared" si="2"/>
        <v>2.8483399763686312E-2</v>
      </c>
      <c r="H22" s="1">
        <f t="shared" si="7"/>
        <v>0.33017585959595458</v>
      </c>
      <c r="I22" s="1">
        <f t="shared" si="3"/>
        <v>0.3302094508612145</v>
      </c>
      <c r="J22" s="1">
        <f t="shared" si="8"/>
        <v>1.0172714673161451E-2</v>
      </c>
    </row>
    <row r="23" spans="1:10" x14ac:dyDescent="0.35">
      <c r="A23" s="1"/>
      <c r="B23" s="1"/>
      <c r="C23" s="1"/>
      <c r="D23" s="1"/>
      <c r="E23" s="1"/>
      <c r="F23" s="1">
        <f t="shared" si="10"/>
        <v>0.18000000000000002</v>
      </c>
      <c r="G23" s="1">
        <f t="shared" si="2"/>
        <v>3.1876535646335143E-2</v>
      </c>
      <c r="H23" s="1">
        <f t="shared" si="7"/>
        <v>0.34834765620235814</v>
      </c>
      <c r="I23" s="1">
        <f t="shared" si="3"/>
        <v>0.34838317122472706</v>
      </c>
      <c r="J23" s="1">
        <f t="shared" si="8"/>
        <v>1.0194241657561809E-2</v>
      </c>
    </row>
    <row r="24" spans="1:10" x14ac:dyDescent="0.35">
      <c r="A24" s="1"/>
      <c r="B24" s="1"/>
      <c r="C24" s="1"/>
      <c r="D24" s="1"/>
      <c r="E24" s="1"/>
      <c r="F24" s="1">
        <f t="shared" si="10"/>
        <v>0.19000000000000003</v>
      </c>
      <c r="G24" s="1">
        <f t="shared" si="2"/>
        <v>3.5450352887733474E-2</v>
      </c>
      <c r="H24" s="1">
        <f t="shared" si="7"/>
        <v>0.3663063733657268</v>
      </c>
      <c r="I24" s="1">
        <f t="shared" si="3"/>
        <v>0.36634380323591109</v>
      </c>
      <c r="J24" s="1">
        <f t="shared" ref="J7:J70" si="11">ABS(I24-H24)/I24*100</f>
        <v>1.0217142982540872E-2</v>
      </c>
    </row>
    <row r="25" spans="1:10" x14ac:dyDescent="0.35">
      <c r="A25" s="1"/>
      <c r="B25" s="1"/>
      <c r="C25" s="1"/>
      <c r="D25" s="1"/>
      <c r="E25" s="1"/>
      <c r="F25" s="1">
        <f t="shared" si="10"/>
        <v>0.20000000000000004</v>
      </c>
      <c r="G25" s="1">
        <f t="shared" si="2"/>
        <v>3.9202663113649679E-2</v>
      </c>
      <c r="H25" s="1">
        <f t="shared" si="7"/>
        <v>0.3840405225800741</v>
      </c>
      <c r="I25" s="1">
        <f t="shared" si="3"/>
        <v>0.38407985790469429</v>
      </c>
      <c r="J25" s="1">
        <f t="shared" si="11"/>
        <v>1.0241444275360561E-2</v>
      </c>
    </row>
    <row r="26" spans="1:10" x14ac:dyDescent="0.35">
      <c r="A26" s="1"/>
      <c r="B26" s="1"/>
      <c r="C26" s="1"/>
      <c r="D26" s="1"/>
      <c r="E26" s="1"/>
      <c r="F26" s="1">
        <f t="shared" si="10"/>
        <v>0.21000000000000005</v>
      </c>
      <c r="G26" s="1">
        <f t="shared" si="2"/>
        <v>4.3131163339334956E-2</v>
      </c>
      <c r="H26" s="1">
        <f t="shared" si="7"/>
        <v>0.40153867169758284</v>
      </c>
      <c r="I26" s="1">
        <f t="shared" si="3"/>
        <v>0.40157990260092935</v>
      </c>
      <c r="J26" s="1">
        <f t="shared" si="11"/>
        <v>1.0267173003297724E-2</v>
      </c>
    </row>
    <row r="27" spans="1:10" x14ac:dyDescent="0.35">
      <c r="A27" s="1"/>
      <c r="B27" s="1"/>
      <c r="C27" s="1"/>
      <c r="D27" s="1"/>
      <c r="E27" s="1"/>
      <c r="F27" s="1">
        <f t="shared" si="10"/>
        <v>0.22000000000000006</v>
      </c>
      <c r="G27" s="1">
        <f t="shared" si="2"/>
        <v>4.7233436547601336E-2</v>
      </c>
      <c r="H27" s="1">
        <f t="shared" si="7"/>
        <v>0.41878944782247002</v>
      </c>
      <c r="I27" s="1">
        <f t="shared" si="3"/>
        <v>0.41883256394835244</v>
      </c>
      <c r="J27" s="1">
        <f t="shared" si="11"/>
        <v>1.0294358556070174E-2</v>
      </c>
    </row>
    <row r="28" spans="1:10" x14ac:dyDescent="0.35">
      <c r="A28" s="1"/>
      <c r="B28" s="1"/>
      <c r="C28" s="1"/>
      <c r="D28" s="1"/>
      <c r="E28" s="1"/>
      <c r="F28" s="1">
        <f t="shared" si="10"/>
        <v>0.23000000000000007</v>
      </c>
      <c r="G28" s="1">
        <f t="shared" si="2"/>
        <v>5.1506952295784357E-2</v>
      </c>
      <c r="H28" s="1">
        <f t="shared" si="7"/>
        <v>0.43578154019378001</v>
      </c>
      <c r="I28" s="1">
        <f t="shared" si="3"/>
        <v>0.43582653070746102</v>
      </c>
      <c r="J28" s="1">
        <f t="shared" si="11"/>
        <v>1.0323032333065571E-2</v>
      </c>
    </row>
    <row r="29" spans="1:10" x14ac:dyDescent="0.35">
      <c r="A29" s="1"/>
      <c r="B29" s="1"/>
      <c r="C29" s="1"/>
      <c r="D29" s="1"/>
      <c r="E29" s="1"/>
      <c r="F29" s="1">
        <f t="shared" si="10"/>
        <v>0.24000000000000007</v>
      </c>
      <c r="G29" s="1">
        <f t="shared" si="2"/>
        <v>5.5949067351476936E-2</v>
      </c>
      <c r="H29" s="1">
        <f t="shared" si="7"/>
        <v>0.4525037030565483</v>
      </c>
      <c r="I29" s="1">
        <f t="shared" si="3"/>
        <v>0.45255055664677141</v>
      </c>
      <c r="J29" s="1">
        <f t="shared" si="11"/>
        <v>1.0353227840503252E-2</v>
      </c>
    </row>
    <row r="30" spans="1:10" x14ac:dyDescent="0.35">
      <c r="A30" s="1"/>
      <c r="B30" s="1"/>
      <c r="C30" s="1"/>
      <c r="D30" s="1"/>
      <c r="E30" s="1"/>
      <c r="F30" s="1">
        <f t="shared" si="10"/>
        <v>0.25000000000000006</v>
      </c>
      <c r="G30" s="1">
        <f t="shared" si="2"/>
        <v>6.0557026356915324E-2</v>
      </c>
      <c r="H30" s="1">
        <f t="shared" si="7"/>
        <v>0.46894475852080963</v>
      </c>
      <c r="I30" s="1">
        <f t="shared" si="3"/>
        <v>0.46899346340191478</v>
      </c>
      <c r="J30" s="1">
        <f t="shared" si="11"/>
        <v>1.03849807952238E-2</v>
      </c>
    </row>
    <row r="31" spans="1:10" x14ac:dyDescent="0.35">
      <c r="A31" s="1"/>
      <c r="B31" s="1"/>
      <c r="C31" s="1"/>
      <c r="D31" s="1"/>
      <c r="E31" s="1"/>
      <c r="F31" s="1">
        <f t="shared" si="10"/>
        <v>0.26000000000000006</v>
      </c>
      <c r="G31" s="1">
        <f t="shared" si="2"/>
        <v>6.5327962521893129E-2</v>
      </c>
      <c r="H31" s="1">
        <f t="shared" si="7"/>
        <v>0.48509359940790664</v>
      </c>
      <c r="I31" s="1">
        <f t="shared" si="3"/>
        <v>0.48514414332203731</v>
      </c>
      <c r="J31" s="1">
        <f t="shared" si="11"/>
        <v>1.0418329238105043E-2</v>
      </c>
    </row>
    <row r="32" spans="1:10" x14ac:dyDescent="0.35">
      <c r="A32" s="1"/>
      <c r="B32" s="1"/>
      <c r="C32" s="1"/>
      <c r="D32" s="1"/>
      <c r="E32" s="1"/>
      <c r="F32" s="1">
        <f t="shared" si="10"/>
        <v>0.27000000000000007</v>
      </c>
      <c r="G32" s="1">
        <f t="shared" si="2"/>
        <v>7.0258898345073456E-2</v>
      </c>
      <c r="H32" s="1">
        <f t="shared" si="7"/>
        <v>0.5009391920835673</v>
      </c>
      <c r="I32" s="1">
        <f t="shared" si="3"/>
        <v>0.50099156230296527</v>
      </c>
      <c r="J32" s="1">
        <f t="shared" si="11"/>
        <v>1.0453313656068748E-2</v>
      </c>
    </row>
    <row r="33" spans="1:10" x14ac:dyDescent="0.35">
      <c r="A33" s="1"/>
      <c r="B33" s="1"/>
      <c r="C33" s="1"/>
      <c r="D33" s="1"/>
      <c r="E33" s="1"/>
      <c r="F33" s="1">
        <f t="shared" si="10"/>
        <v>0.28000000000000008</v>
      </c>
      <c r="G33" s="1">
        <f t="shared" si="2"/>
        <v>7.5346746363564476E-2</v>
      </c>
      <c r="H33" s="1">
        <f t="shared" si="7"/>
        <v>0.5164705792772214</v>
      </c>
      <c r="I33" s="1">
        <f t="shared" si="3"/>
        <v>0.51652476260660529</v>
      </c>
      <c r="J33" s="1">
        <f t="shared" si="11"/>
        <v>1.0489977113674508E-2</v>
      </c>
    </row>
    <row r="34" spans="1:10" x14ac:dyDescent="0.35">
      <c r="A34" s="1"/>
      <c r="B34" s="1"/>
      <c r="C34" s="1"/>
      <c r="D34" s="1"/>
      <c r="E34" s="1"/>
      <c r="F34" s="1">
        <f t="shared" si="10"/>
        <v>0.29000000000000009</v>
      </c>
      <c r="G34" s="1">
        <f t="shared" si="2"/>
        <v>8.0588309930617885E-2</v>
      </c>
      <c r="H34" s="1">
        <f t="shared" si="7"/>
        <v>0.53167688288700621</v>
      </c>
      <c r="I34" s="1">
        <f t="shared" si="3"/>
        <v>0.53173286566604783</v>
      </c>
      <c r="J34" s="1">
        <f t="shared" si="11"/>
        <v>1.0528365398571897E-2</v>
      </c>
    </row>
    <row r="35" spans="1:10" x14ac:dyDescent="0.35">
      <c r="A35" s="1"/>
      <c r="B35" s="1"/>
      <c r="C35" s="1"/>
      <c r="D35" s="1"/>
      <c r="E35" s="1"/>
      <c r="F35" s="1">
        <f t="shared" si="10"/>
        <v>0.3000000000000001</v>
      </c>
      <c r="G35" s="1">
        <f t="shared" si="2"/>
        <v>8.5980284021304601E-2</v>
      </c>
      <c r="H35" s="1">
        <f t="shared" si="7"/>
        <v>0.54654730676996222</v>
      </c>
      <c r="I35" s="1">
        <f t="shared" si="3"/>
        <v>0.5466050748758432</v>
      </c>
      <c r="J35" s="1">
        <f t="shared" si="11"/>
        <v>1.0568527175512557E-2</v>
      </c>
    </row>
    <row r="36" spans="1:10" x14ac:dyDescent="0.35">
      <c r="A36" s="1"/>
      <c r="B36" s="1"/>
      <c r="C36" s="1"/>
      <c r="D36" s="1"/>
      <c r="E36" s="1"/>
      <c r="F36" s="1">
        <f t="shared" si="10"/>
        <v>0.31000000000000011</v>
      </c>
      <c r="G36" s="1">
        <f t="shared" si="2"/>
        <v>9.1519256066017129E-2</v>
      </c>
      <c r="H36" s="1">
        <f t="shared" si="7"/>
        <v>0.56107113951687071</v>
      </c>
      <c r="I36" s="1">
        <f t="shared" si="3"/>
        <v>0.56113067836692754</v>
      </c>
      <c r="J36" s="1">
        <f t="shared" si="11"/>
        <v>1.0610514155117261E-2</v>
      </c>
    </row>
    <row r="37" spans="1:10" x14ac:dyDescent="0.35">
      <c r="A37" s="1"/>
      <c r="B37" s="1"/>
      <c r="C37" s="1"/>
      <c r="D37" s="1"/>
      <c r="E37" s="1"/>
      <c r="F37" s="1">
        <f t="shared" si="10"/>
        <v>0.32000000000000012</v>
      </c>
      <c r="G37" s="1">
        <f t="shared" si="2"/>
        <v>9.7201706811642016E-2</v>
      </c>
      <c r="H37" s="1">
        <f t="shared" si="7"/>
        <v>0.57523775721121384</v>
      </c>
      <c r="I37" s="1">
        <f t="shared" si="3"/>
        <v>0.57529905176567186</v>
      </c>
      <c r="J37" s="1">
        <f t="shared" si="11"/>
        <v>1.0654381276990315E-2</v>
      </c>
    </row>
    <row r="38" spans="1:10" x14ac:dyDescent="0.35">
      <c r="A38" s="1"/>
      <c r="B38" s="1"/>
      <c r="C38" s="1"/>
      <c r="D38" s="1"/>
      <c r="E38" s="1"/>
      <c r="F38" s="1">
        <f t="shared" si="10"/>
        <v>0.33000000000000013</v>
      </c>
      <c r="G38" s="1">
        <f t="shared" si="2"/>
        <v>0.10302401121024141</v>
      </c>
      <c r="H38" s="1">
        <f t="shared" si="7"/>
        <v>0.58903662617174468</v>
      </c>
      <c r="I38" s="1">
        <f t="shared" si="3"/>
        <v>0.58909966093653432</v>
      </c>
      <c r="J38" s="1">
        <f t="shared" si="11"/>
        <v>1.0700186907157093E-2</v>
      </c>
    </row>
    <row r="39" spans="1:10" x14ac:dyDescent="0.35">
      <c r="A39" s="1"/>
      <c r="B39" s="1"/>
      <c r="C39" s="1"/>
      <c r="D39" s="1"/>
      <c r="E39" s="1"/>
      <c r="F39" s="1">
        <f t="shared" si="10"/>
        <v>0.34000000000000014</v>
      </c>
      <c r="G39" s="1">
        <f t="shared" si="2"/>
        <v>0.10898243933507691</v>
      </c>
      <c r="H39" s="1">
        <f t="shared" si="7"/>
        <v>0.60245730567813005</v>
      </c>
      <c r="I39" s="1">
        <f t="shared" si="3"/>
        <v>0.60252206470779746</v>
      </c>
      <c r="J39" s="1">
        <f t="shared" si="11"/>
        <v>1.0747993054629609E-2</v>
      </c>
    </row>
    <row r="40" spans="1:10" x14ac:dyDescent="0.35">
      <c r="A40" s="1"/>
      <c r="B40" s="1"/>
      <c r="C40" s="1"/>
      <c r="D40" s="1"/>
      <c r="E40" s="1"/>
      <c r="F40" s="1">
        <f t="shared" si="10"/>
        <v>0.35000000000000014</v>
      </c>
      <c r="G40" s="1">
        <f t="shared" si="2"/>
        <v>0.11507315732380401</v>
      </c>
      <c r="H40" s="1">
        <f t="shared" si="7"/>
        <v>0.61548945067917693</v>
      </c>
      <c r="I40" s="1">
        <f t="shared" si="3"/>
        <v>0.6155559175798726</v>
      </c>
      <c r="J40" s="1">
        <f t="shared" si="11"/>
        <v>1.0797865603663444E-2</v>
      </c>
    </row>
    <row r="41" spans="1:10" x14ac:dyDescent="0.35">
      <c r="A41" s="1"/>
      <c r="B41" s="1"/>
      <c r="C41" s="1"/>
      <c r="D41" s="1"/>
      <c r="E41" s="1"/>
      <c r="F41" s="1">
        <f t="shared" si="10"/>
        <v>0.36000000000000015</v>
      </c>
      <c r="G41" s="1">
        <f t="shared" si="2"/>
        <v>0.12129222834866045</v>
      </c>
      <c r="H41" s="1">
        <f t="shared" si="7"/>
        <v>0.62812281448311125</v>
      </c>
      <c r="I41" s="1">
        <f t="shared" si="3"/>
        <v>0.62819097241566169</v>
      </c>
      <c r="J41" s="1">
        <f t="shared" si="11"/>
        <v>1.0849874567337801E-2</v>
      </c>
    </row>
    <row r="42" spans="1:10" x14ac:dyDescent="0.35">
      <c r="A42" s="1"/>
      <c r="B42" s="1"/>
      <c r="C42" s="1"/>
      <c r="D42" s="1"/>
      <c r="E42" s="1"/>
      <c r="F42" s="1">
        <f t="shared" si="10"/>
        <v>0.37000000000000016</v>
      </c>
      <c r="G42" s="1">
        <f t="shared" si="2"/>
        <v>0.12763561361346623</v>
      </c>
      <c r="H42" s="1">
        <f t="shared" si="7"/>
        <v>0.6403472514293872</v>
      </c>
      <c r="I42" s="1">
        <f t="shared" si="3"/>
        <v>0.64041708311246237</v>
      </c>
      <c r="J42" s="1">
        <f t="shared" si="11"/>
        <v>1.0904094365469819E-2</v>
      </c>
    </row>
    <row r="43" spans="1:10" x14ac:dyDescent="0.35">
      <c r="A43" s="1"/>
      <c r="B43" s="1"/>
      <c r="C43" s="1"/>
      <c r="D43" s="1"/>
      <c r="E43" s="1"/>
      <c r="F43" s="1">
        <f t="shared" si="10"/>
        <v>0.38000000000000017</v>
      </c>
      <c r="G43" s="1">
        <f t="shared" si="2"/>
        <v>0.13409917337724819</v>
      </c>
      <c r="H43" s="1">
        <f t="shared" si="7"/>
        <v>0.65215271954155996</v>
      </c>
      <c r="I43" s="1">
        <f t="shared" si="3"/>
        <v>0.65222420725491326</v>
      </c>
      <c r="J43" s="1">
        <f t="shared" si="11"/>
        <v>1.0960604123263096E-2</v>
      </c>
    </row>
    <row r="44" spans="1:10" x14ac:dyDescent="0.35">
      <c r="A44" s="1"/>
      <c r="B44" s="1"/>
      <c r="C44" s="1"/>
      <c r="D44" s="1"/>
      <c r="E44" s="1"/>
      <c r="F44" s="1">
        <f t="shared" si="10"/>
        <v>0.39000000000000018</v>
      </c>
      <c r="G44" s="1">
        <f t="shared" si="2"/>
        <v>0.14067866800429743</v>
      </c>
      <c r="H44" s="1">
        <f t="shared" si="7"/>
        <v>0.66352928316067705</v>
      </c>
      <c r="I44" s="1">
        <f t="shared" si="3"/>
        <v>0.66360240874847154</v>
      </c>
      <c r="J44" s="1">
        <f t="shared" si="11"/>
        <v>1.1019487999207085E-2</v>
      </c>
    </row>
    <row r="45" spans="1:10" x14ac:dyDescent="0.35">
      <c r="A45" s="1"/>
      <c r="B45" s="1"/>
      <c r="C45" s="1"/>
      <c r="D45" s="1"/>
      <c r="E45" s="1"/>
      <c r="F45" s="1">
        <f t="shared" si="10"/>
        <v>0.40000000000000019</v>
      </c>
      <c r="G45" s="1">
        <f t="shared" si="2"/>
        <v>0.14736975904046173</v>
      </c>
      <c r="H45" s="1">
        <f t="shared" si="7"/>
        <v>0.67446711555870087</v>
      </c>
      <c r="I45" s="1">
        <f t="shared" si="3"/>
        <v>0.67454186043292419</v>
      </c>
      <c r="J45" s="1">
        <f t="shared" si="11"/>
        <v>1.1080835543008214E-2</v>
      </c>
    </row>
    <row r="46" spans="1:10" x14ac:dyDescent="0.35">
      <c r="A46" s="1"/>
      <c r="B46" s="1"/>
      <c r="C46" s="1"/>
      <c r="D46" s="1"/>
      <c r="E46" s="1"/>
      <c r="F46" s="1">
        <f t="shared" si="10"/>
        <v>0.4100000000000002</v>
      </c>
      <c r="G46" s="1">
        <f t="shared" si="2"/>
        <v>0.15416801031547145</v>
      </c>
      <c r="H46" s="1">
        <f t="shared" si="7"/>
        <v>0.68495650153147924</v>
      </c>
      <c r="I46" s="1">
        <f t="shared" si="3"/>
        <v>0.68503284667543496</v>
      </c>
      <c r="J46" s="1">
        <f t="shared" si="11"/>
        <v>1.1144742084445746E-2</v>
      </c>
    </row>
    <row r="47" spans="1:10" x14ac:dyDescent="0.35">
      <c r="A47" s="1"/>
      <c r="B47" s="1"/>
      <c r="C47" s="1"/>
      <c r="D47" s="1"/>
      <c r="E47" s="1"/>
      <c r="F47" s="1">
        <f t="shared" si="10"/>
        <v>0.42000000000000021</v>
      </c>
      <c r="G47" s="1">
        <f t="shared" si="2"/>
        <v>0.16106888907109132</v>
      </c>
      <c r="H47" s="1">
        <f t="shared" si="7"/>
        <v>0.6949878399707482</v>
      </c>
      <c r="I47" s="1">
        <f t="shared" si="3"/>
        <v>0.69506576594263092</v>
      </c>
      <c r="J47" s="1">
        <f t="shared" si="11"/>
        <v>1.1211309159650294E-2</v>
      </c>
    </row>
    <row r="48" spans="1:10" x14ac:dyDescent="0.35">
      <c r="A48" s="1"/>
      <c r="B48" s="1"/>
      <c r="C48" s="1"/>
      <c r="D48" s="1"/>
      <c r="E48" s="1"/>
      <c r="F48" s="1">
        <f t="shared" si="10"/>
        <v>0.43000000000000022</v>
      </c>
      <c r="G48" s="1">
        <f t="shared" si="2"/>
        <v>0.16806776711488641</v>
      </c>
      <c r="H48" s="1">
        <f t="shared" si="7"/>
        <v>0.70455164641468748</v>
      </c>
      <c r="I48" s="1">
        <f t="shared" si="3"/>
        <v>0.70463113335124039</v>
      </c>
      <c r="J48" s="1">
        <f t="shared" si="11"/>
        <v>1.128064497730419E-2</v>
      </c>
    </row>
    <row r="49" spans="1:10" x14ac:dyDescent="0.35">
      <c r="A49" s="1"/>
      <c r="B49" s="1"/>
      <c r="C49" s="1"/>
      <c r="D49" s="1"/>
      <c r="E49" s="1"/>
      <c r="F49" s="1">
        <f t="shared" si="10"/>
        <v>0.44000000000000022</v>
      </c>
      <c r="G49" s="1">
        <f t="shared" si="2"/>
        <v>0.17515992199938507</v>
      </c>
      <c r="H49" s="1">
        <f t="shared" si="7"/>
        <v>0.71363855557654143</v>
      </c>
      <c r="I49" s="1">
        <f t="shared" si="3"/>
        <v>0.71371958319679052</v>
      </c>
      <c r="J49" s="1">
        <f t="shared" si="11"/>
        <v>1.1352864928570168E-2</v>
      </c>
    </row>
    <row r="50" spans="1:10" x14ac:dyDescent="0.35">
      <c r="A50" s="1"/>
      <c r="B50" s="1"/>
      <c r="C50" s="1"/>
      <c r="D50" s="1"/>
      <c r="E50" s="1"/>
      <c r="F50" s="1">
        <f t="shared" si="10"/>
        <v>0.45000000000000023</v>
      </c>
      <c r="G50" s="1">
        <f t="shared" si="2"/>
        <v>0.18234053822641724</v>
      </c>
      <c r="H50" s="1">
        <f t="shared" si="7"/>
        <v>0.72223932385081369</v>
      </c>
      <c r="I50" s="1">
        <f t="shared" si="3"/>
        <v>0.72232187145988525</v>
      </c>
      <c r="J50" s="1">
        <f t="shared" si="11"/>
        <v>1.1428092147441459E-2</v>
      </c>
    </row>
    <row r="51" spans="1:10" x14ac:dyDescent="0.35">
      <c r="A51" s="1"/>
      <c r="B51" s="1"/>
      <c r="C51" s="1"/>
      <c r="D51" s="1"/>
      <c r="E51" s="1"/>
      <c r="F51" s="1">
        <f t="shared" si="10"/>
        <v>0.46000000000000024</v>
      </c>
      <c r="G51" s="1">
        <f t="shared" si="2"/>
        <v>0.18960470847640135</v>
      </c>
      <c r="H51" s="1">
        <f t="shared" si="7"/>
        <v>0.73034483179655607</v>
      </c>
      <c r="I51" s="1">
        <f t="shared" si="3"/>
        <v>0.73042887828957948</v>
      </c>
      <c r="J51" s="1">
        <f t="shared" si="11"/>
        <v>1.1506458126383637E-2</v>
      </c>
    </row>
    <row r="52" spans="1:10" x14ac:dyDescent="0.35">
      <c r="A52" s="1"/>
      <c r="B52" s="1"/>
      <c r="C52" s="1"/>
      <c r="D52" s="1"/>
      <c r="E52" s="1"/>
      <c r="F52" s="1">
        <f t="shared" si="10"/>
        <v>0.47000000000000025</v>
      </c>
      <c r="G52" s="1">
        <f t="shared" si="2"/>
        <v>0.19694743486234836</v>
      </c>
      <c r="H52" s="1">
        <f t="shared" si="7"/>
        <v>0.73794608659729499</v>
      </c>
      <c r="I52" s="1">
        <f t="shared" si="3"/>
        <v>0.73803161046337329</v>
      </c>
      <c r="J52" s="1">
        <f t="shared" si="11"/>
        <v>1.158810339093745E-2</v>
      </c>
    </row>
    <row r="53" spans="1:10" x14ac:dyDescent="0.35">
      <c r="A53" s="1"/>
      <c r="B53" s="1"/>
      <c r="C53" s="1"/>
      <c r="D53" s="1"/>
      <c r="E53" s="1"/>
      <c r="F53" s="1">
        <f t="shared" si="10"/>
        <v>0.48000000000000026</v>
      </c>
      <c r="G53" s="1">
        <f t="shared" si="2"/>
        <v>0.20436363020834725</v>
      </c>
      <c r="H53" s="1">
        <f t="shared" si="7"/>
        <v>0.74503422449709999</v>
      </c>
      <c r="I53" s="1">
        <f t="shared" si="3"/>
        <v>0.74512120382335534</v>
      </c>
      <c r="J53" s="1">
        <f t="shared" si="11"/>
        <v>1.1673178243893211E-2</v>
      </c>
    </row>
    <row r="54" spans="1:10" x14ac:dyDescent="0.35">
      <c r="A54" s="1"/>
      <c r="B54" s="1"/>
      <c r="C54" s="1"/>
      <c r="D54" s="1"/>
      <c r="E54" s="1"/>
      <c r="F54" s="1">
        <f t="shared" si="10"/>
        <v>0.49000000000000027</v>
      </c>
      <c r="G54" s="1">
        <f t="shared" si="2"/>
        <v>0.21184811935229036</v>
      </c>
      <c r="H54" s="1">
        <f t="shared" si="7"/>
        <v>0.75160051321230548</v>
      </c>
      <c r="I54" s="1">
        <f t="shared" si="3"/>
        <v>0.75168892568802415</v>
      </c>
      <c r="J54" s="1">
        <f t="shared" si="11"/>
        <v>1.1761843589453511E-2</v>
      </c>
    </row>
    <row r="55" spans="1:10" x14ac:dyDescent="0.35">
      <c r="A55" s="1"/>
      <c r="B55" s="1"/>
      <c r="C55" s="1"/>
      <c r="D55" s="1"/>
      <c r="E55" s="1"/>
      <c r="F55" s="1">
        <f t="shared" si="10"/>
        <v>0.50000000000000022</v>
      </c>
      <c r="G55" s="1">
        <f t="shared" si="2"/>
        <v>0.21939564047259336</v>
      </c>
      <c r="H55" s="1">
        <f t="shared" si="7"/>
        <v>0.75763635431848608</v>
      </c>
      <c r="I55" s="1">
        <f t="shared" si="3"/>
        <v>0.75772617723932223</v>
      </c>
      <c r="J55" s="1">
        <f t="shared" si="11"/>
        <v>1.1854271837803597E-2</v>
      </c>
    </row>
    <row r="56" spans="1:10" x14ac:dyDescent="0.35">
      <c r="A56" s="1"/>
      <c r="B56" s="1"/>
      <c r="C56" s="1"/>
      <c r="D56" s="1"/>
      <c r="E56" s="1"/>
      <c r="F56" s="1">
        <f t="shared" si="10"/>
        <v>0.51000000000000023</v>
      </c>
      <c r="G56" s="1">
        <f t="shared" si="2"/>
        <v>0.22700084643866009</v>
      </c>
      <c r="H56" s="1">
        <f t="shared" si="7"/>
        <v>0.76313328561216776</v>
      </c>
      <c r="I56" s="1">
        <f t="shared" si="3"/>
        <v>0.7632244958844222</v>
      </c>
      <c r="J56" s="1">
        <f t="shared" si="11"/>
        <v>1.1950647908484024E-2</v>
      </c>
    </row>
    <row r="57" spans="1:10" x14ac:dyDescent="0.35">
      <c r="A57" s="1"/>
      <c r="B57" s="1"/>
      <c r="C57" s="1"/>
      <c r="D57" s="1"/>
      <c r="E57" s="1"/>
      <c r="F57" s="1">
        <f t="shared" si="10"/>
        <v>0.52000000000000024</v>
      </c>
      <c r="G57" s="1">
        <f t="shared" si="2"/>
        <v>0.23465830618483671</v>
      </c>
      <c r="H57" s="1">
        <f t="shared" si="7"/>
        <v>0.76808298344682446</v>
      </c>
      <c r="I57" s="1">
        <f t="shared" si="3"/>
        <v>0.76817555759180955</v>
      </c>
      <c r="J57" s="1">
        <f t="shared" si="11"/>
        <v>1.2051170343834756E-2</v>
      </c>
    </row>
    <row r="58" spans="1:10" x14ac:dyDescent="0.35">
      <c r="A58" s="1"/>
      <c r="B58" s="1"/>
      <c r="C58" s="1"/>
      <c r="D58" s="1"/>
      <c r="E58" s="1"/>
      <c r="F58" s="1">
        <f t="shared" si="10"/>
        <v>0.53000000000000025</v>
      </c>
      <c r="G58" s="1">
        <f t="shared" si="2"/>
        <v>0.24236250610759658</v>
      </c>
      <c r="H58" s="1">
        <f t="shared" si="7"/>
        <v>0.77247726504273273</v>
      </c>
      <c r="I58" s="1">
        <f t="shared" si="3"/>
        <v>0.77257117920120533</v>
      </c>
      <c r="J58" s="1">
        <f t="shared" si="11"/>
        <v>1.2156052542588834E-2</v>
      </c>
    </row>
    <row r="59" spans="1:10" x14ac:dyDescent="0.35">
      <c r="A59" s="1"/>
      <c r="B59" s="1"/>
      <c r="C59" s="1"/>
      <c r="D59" s="1"/>
      <c r="E59" s="1"/>
      <c r="F59" s="1">
        <f t="shared" si="10"/>
        <v>0.54000000000000026</v>
      </c>
      <c r="G59" s="1">
        <f t="shared" si="2"/>
        <v>0.25010785148569137</v>
      </c>
      <c r="H59" s="1">
        <f t="shared" si="7"/>
        <v>0.77630809077020579</v>
      </c>
      <c r="I59" s="1">
        <f t="shared" si="3"/>
        <v>0.77640332070688234</v>
      </c>
      <c r="J59" s="1">
        <f t="shared" si="11"/>
        <v>1.2265524133750651E-2</v>
      </c>
    </row>
    <row r="60" spans="1:10" x14ac:dyDescent="0.35">
      <c r="A60" s="1"/>
      <c r="B60" s="1"/>
      <c r="C60" s="1"/>
      <c r="D60" s="1"/>
      <c r="E60" s="1"/>
      <c r="F60" s="1">
        <f t="shared" si="10"/>
        <v>0.55000000000000027</v>
      </c>
      <c r="G60" s="1">
        <f t="shared" si="2"/>
        <v>0.25788866792300069</v>
      </c>
      <c r="H60" s="1">
        <f t="shared" si="7"/>
        <v>0.77956756640580882</v>
      </c>
      <c r="I60" s="1">
        <f t="shared" si="3"/>
        <v>0.77966408751393201</v>
      </c>
      <c r="J60" s="1">
        <f t="shared" si="11"/>
        <v>1.2379832503375165E-2</v>
      </c>
    </row>
    <row r="61" spans="1:10" x14ac:dyDescent="0.35">
      <c r="A61" s="1"/>
      <c r="B61" s="1"/>
      <c r="C61" s="1"/>
      <c r="D61" s="1"/>
      <c r="E61" s="1"/>
      <c r="F61" s="1">
        <f t="shared" si="10"/>
        <v>0.56000000000000028</v>
      </c>
      <c r="G61" s="1">
        <f t="shared" si="2"/>
        <v>0.26569920281380754</v>
      </c>
      <c r="H61" s="1">
        <f t="shared" si="7"/>
        <v>0.78224794536103093</v>
      </c>
      <c r="I61" s="1">
        <f t="shared" si="3"/>
        <v>0.78234573266703711</v>
      </c>
      <c r="J61" s="1">
        <f t="shared" si="11"/>
        <v>1.2499244505727819E-2</v>
      </c>
    </row>
    <row r="62" spans="1:10" x14ac:dyDescent="0.35">
      <c r="A62" s="1"/>
      <c r="B62" s="1"/>
      <c r="C62" s="1"/>
      <c r="D62" s="1"/>
      <c r="E62" s="1"/>
      <c r="F62" s="1">
        <f t="shared" si="10"/>
        <v>0.57000000000000028</v>
      </c>
      <c r="G62" s="1">
        <f t="shared" si="2"/>
        <v>0.27353362683022131</v>
      </c>
      <c r="H62" s="1">
        <f t="shared" si="7"/>
        <v>0.7843416308830814</v>
      </c>
      <c r="I62" s="1">
        <f t="shared" si="3"/>
        <v>0.78444065905131977</v>
      </c>
      <c r="J62" s="1">
        <f t="shared" si="11"/>
        <v>1.262404837073725E-2</v>
      </c>
    </row>
    <row r="63" spans="1:10" x14ac:dyDescent="0.35">
      <c r="A63" s="1"/>
      <c r="B63" s="1"/>
      <c r="C63" s="1"/>
      <c r="D63" s="1"/>
      <c r="E63" s="1"/>
      <c r="F63" s="1">
        <f t="shared" si="10"/>
        <v>0.58000000000000029</v>
      </c>
      <c r="G63" s="1">
        <f t="shared" si="2"/>
        <v>0.28138603543146917</v>
      </c>
      <c r="H63" s="1">
        <f t="shared" si="7"/>
        <v>0.78584117822729227</v>
      </c>
      <c r="I63" s="1">
        <f t="shared" si="3"/>
        <v>0.78594142156483071</v>
      </c>
      <c r="J63" s="1">
        <f t="shared" si="11"/>
        <v>1.2754555847031742E-2</v>
      </c>
    </row>
    <row r="64" spans="1:10" x14ac:dyDescent="0.35">
      <c r="A64" s="1"/>
      <c r="B64" s="1"/>
      <c r="C64" s="1"/>
      <c r="D64" s="1"/>
      <c r="E64" s="1"/>
      <c r="F64" s="1">
        <f t="shared" si="10"/>
        <v>0.5900000000000003</v>
      </c>
      <c r="G64" s="1">
        <f t="shared" si="2"/>
        <v>0.28925045039476716</v>
      </c>
      <c r="H64" s="1">
        <f t="shared" si="7"/>
        <v>0.78673929680076193</v>
      </c>
      <c r="I64" s="1">
        <f t="shared" si="3"/>
        <v>0.7868407292622529</v>
      </c>
      <c r="J64" s="1">
        <f t="shared" si="11"/>
        <v>1.2891104605893079E-2</v>
      </c>
    </row>
    <row r="65" spans="1:10" x14ac:dyDescent="0.35">
      <c r="A65" s="1"/>
      <c r="B65" s="1"/>
      <c r="C65" s="1"/>
      <c r="D65" s="1"/>
      <c r="E65" s="1"/>
      <c r="F65" s="1">
        <f t="shared" si="10"/>
        <v>0.60000000000000031</v>
      </c>
      <c r="G65" s="1">
        <f t="shared" si="2"/>
        <v>0.29712082136748441</v>
      </c>
      <c r="H65" s="1">
        <f t="shared" si="7"/>
        <v>0.78702885227679986</v>
      </c>
      <c r="I65" s="1">
        <f t="shared" si="3"/>
        <v>0.78713144746940122</v>
      </c>
      <c r="J65" s="1">
        <f t="shared" si="11"/>
        <v>1.3034060947660292E-2</v>
      </c>
    </row>
    <row r="66" spans="1:10" x14ac:dyDescent="0.35">
      <c r="A66" s="1"/>
      <c r="B66" s="1"/>
      <c r="C66" s="1"/>
      <c r="D66" s="1"/>
      <c r="E66" s="1"/>
      <c r="F66" s="1">
        <f t="shared" si="10"/>
        <v>0.61000000000000032</v>
      </c>
      <c r="G66" s="1">
        <f t="shared" si="2"/>
        <v>0.30499102744030315</v>
      </c>
      <c r="H66" s="1">
        <f t="shared" si="7"/>
        <v>0.78670286867969508</v>
      </c>
      <c r="I66" s="1">
        <f t="shared" si="3"/>
        <v>0.78680659986809598</v>
      </c>
      <c r="J66" s="1">
        <f t="shared" si="11"/>
        <v>1.3183822862987141E-2</v>
      </c>
    </row>
    <row r="67" spans="1:10" x14ac:dyDescent="0.35">
      <c r="A67" s="1"/>
      <c r="B67" s="1"/>
      <c r="C67" s="1"/>
      <c r="D67" s="1"/>
      <c r="E67" s="1"/>
      <c r="F67" s="1">
        <f t="shared" si="10"/>
        <v>0.62000000000000033</v>
      </c>
      <c r="G67" s="1">
        <f t="shared" si="2"/>
        <v>0.31285487874107831</v>
      </c>
      <c r="H67" s="1">
        <f t="shared" si="7"/>
        <v>0.7857545304395086</v>
      </c>
      <c r="I67" s="1">
        <f t="shared" si="3"/>
        <v>0.78585937055100208</v>
      </c>
      <c r="J67" s="1">
        <f t="shared" si="11"/>
        <v>1.3340823488554681E-2</v>
      </c>
    </row>
    <row r="68" spans="1:10" x14ac:dyDescent="0.35">
      <c r="A68" s="1"/>
      <c r="B68" s="1"/>
      <c r="C68" s="1"/>
      <c r="D68" s="1"/>
      <c r="E68" s="1"/>
      <c r="F68" s="1">
        <f t="shared" si="10"/>
        <v>0.63000000000000034</v>
      </c>
      <c r="G68" s="1">
        <f t="shared" si="2"/>
        <v>0.32070611804909332</v>
      </c>
      <c r="H68" s="1">
        <f t="shared" si="7"/>
        <v>0.78417718441641249</v>
      </c>
      <c r="I68" s="1">
        <f t="shared" si="3"/>
        <v>0.78428310604602447</v>
      </c>
      <c r="J68" s="1">
        <f t="shared" si="11"/>
        <v>1.350553502879694E-2</v>
      </c>
    </row>
    <row r="69" spans="1:10" x14ac:dyDescent="0.35">
      <c r="A69" s="1"/>
      <c r="B69" s="1"/>
      <c r="C69" s="1"/>
      <c r="D69" s="1"/>
      <c r="E69" s="1"/>
      <c r="F69" s="1">
        <f t="shared" si="10"/>
        <v>0.64000000000000035</v>
      </c>
      <c r="G69" s="1">
        <f t="shared" si="2"/>
        <v>0.32853842242940656</v>
      </c>
      <c r="H69" s="1">
        <f t="shared" si="7"/>
        <v>0.78196434189415354</v>
      </c>
      <c r="I69" s="1">
        <f t="shared" si="3"/>
        <v>0.78207131730985868</v>
      </c>
      <c r="J69" s="1">
        <f t="shared" si="11"/>
        <v>1.3678473220718078E-2</v>
      </c>
    </row>
    <row r="70" spans="1:10" x14ac:dyDescent="0.35">
      <c r="A70" s="1"/>
      <c r="B70" s="1"/>
      <c r="C70" s="1"/>
      <c r="D70" s="1"/>
      <c r="E70" s="1"/>
      <c r="F70" s="1">
        <f t="shared" si="10"/>
        <v>0.65000000000000036</v>
      </c>
      <c r="G70" s="1">
        <f t="shared" ref="G70:G133" si="12">F70^2*COS(F70)</f>
        <v>0.3363454048869764</v>
      </c>
      <c r="H70" s="1">
        <f t="shared" si="7"/>
        <v>0.77910968054229757</v>
      </c>
      <c r="I70" s="1">
        <f t="shared" ref="I70:I105" si="13">2*F70*COS(F70)-(F70^2)*SIN(F70)</f>
        <v>0.7792176816902957</v>
      </c>
      <c r="J70" s="1">
        <f t="shared" si="11"/>
        <v>1.3860202423007081E-2</v>
      </c>
    </row>
    <row r="71" spans="1:10" x14ac:dyDescent="0.35">
      <c r="A71" s="1"/>
      <c r="B71" s="1"/>
      <c r="C71" s="1"/>
      <c r="D71" s="1"/>
      <c r="E71" s="1"/>
      <c r="F71" s="1">
        <f t="shared" si="10"/>
        <v>0.66000000000000036</v>
      </c>
      <c r="G71" s="1">
        <f t="shared" si="12"/>
        <v>0.34412061604025251</v>
      </c>
      <c r="H71" s="1">
        <f t="shared" ref="H71:H104" si="14">(G72-G70)/(0.01*2)</f>
        <v>0.77560704634685729</v>
      </c>
      <c r="I71" s="1">
        <f t="shared" si="13"/>
        <v>0.77571604485689405</v>
      </c>
      <c r="J71" s="1">
        <f t="shared" ref="J71:J104" si="15">ABS(I71-H71)/I71*100</f>
        <v>1.4051341436010929E-2</v>
      </c>
    </row>
    <row r="72" spans="1:10" x14ac:dyDescent="0.35">
      <c r="A72" s="1"/>
      <c r="B72" s="1"/>
      <c r="C72" s="1"/>
      <c r="D72" s="1"/>
      <c r="E72" s="1"/>
      <c r="F72" s="1">
        <f t="shared" si="10"/>
        <v>0.67000000000000037</v>
      </c>
      <c r="G72" s="1">
        <f t="shared" si="12"/>
        <v>0.35185754581391354</v>
      </c>
      <c r="H72" s="1">
        <f t="shared" si="14"/>
        <v>0.77145045550884306</v>
      </c>
      <c r="I72" s="1">
        <f t="shared" si="13"/>
        <v>0.77156042269962621</v>
      </c>
      <c r="J72" s="1">
        <f t="shared" si="15"/>
        <v>1.4252570187359988E-2</v>
      </c>
    </row>
    <row r="73" spans="1:10" x14ac:dyDescent="0.35">
      <c r="A73" s="1"/>
      <c r="B73" s="1"/>
      <c r="C73" s="1"/>
      <c r="D73" s="1"/>
      <c r="E73" s="1"/>
      <c r="F73" s="1">
        <f t="shared" si="10"/>
        <v>0.68000000000000038</v>
      </c>
      <c r="G73" s="1">
        <f t="shared" si="12"/>
        <v>0.35954962515042937</v>
      </c>
      <c r="H73" s="1">
        <f t="shared" si="14"/>
        <v>0.76663409631045898</v>
      </c>
      <c r="I73" s="1">
        <f t="shared" si="13"/>
        <v>0.76674500319512195</v>
      </c>
      <c r="J73" s="1">
        <f t="shared" si="15"/>
        <v>1.446463742193466E-2</v>
      </c>
    </row>
    <row r="74" spans="1:10" x14ac:dyDescent="0.35">
      <c r="A74" s="1"/>
      <c r="B74" s="1"/>
      <c r="C74" s="1"/>
      <c r="D74" s="1"/>
      <c r="E74" s="1"/>
      <c r="F74" s="1">
        <f t="shared" si="10"/>
        <v>0.69000000000000039</v>
      </c>
      <c r="G74" s="1">
        <f t="shared" si="12"/>
        <v>0.36719022774012272</v>
      </c>
      <c r="H74" s="1">
        <f t="shared" si="14"/>
        <v>0.76115233094851131</v>
      </c>
      <c r="I74" s="1">
        <f t="shared" si="13"/>
        <v>0.76126414824012789</v>
      </c>
      <c r="J74" s="1">
        <f t="shared" si="15"/>
        <v>1.4688369585652339E-2</v>
      </c>
    </row>
    <row r="75" spans="1:10" x14ac:dyDescent="0.35">
      <c r="A75" s="1"/>
      <c r="B75" s="1"/>
      <c r="C75" s="1"/>
      <c r="D75" s="1"/>
      <c r="E75" s="1"/>
      <c r="F75" s="1">
        <f t="shared" si="10"/>
        <v>0.7000000000000004</v>
      </c>
      <c r="G75" s="1">
        <f t="shared" si="12"/>
        <v>0.3747726717693996</v>
      </c>
      <c r="H75" s="1">
        <f t="shared" si="14"/>
        <v>0.75499969733463512</v>
      </c>
      <c r="I75" s="1">
        <f t="shared" si="13"/>
        <v>0.75511239545181486</v>
      </c>
      <c r="J75" s="1">
        <f t="shared" si="15"/>
        <v>1.4924681128072414E-2</v>
      </c>
    </row>
    <row r="76" spans="1:10" x14ac:dyDescent="0.35">
      <c r="A76" s="1"/>
      <c r="B76" s="1"/>
      <c r="C76" s="1"/>
      <c r="D76" s="1"/>
      <c r="E76" s="1"/>
      <c r="F76" s="1">
        <f t="shared" si="10"/>
        <v>0.71000000000000041</v>
      </c>
      <c r="G76" s="1">
        <f t="shared" si="12"/>
        <v>0.38229022168681542</v>
      </c>
      <c r="H76" s="1">
        <f t="shared" si="14"/>
        <v>0.7481709108620338</v>
      </c>
      <c r="I76" s="1">
        <f t="shared" si="13"/>
        <v>0.74828445993456472</v>
      </c>
      <c r="J76" s="1">
        <f t="shared" si="15"/>
        <v>1.5174586485578736E-2</v>
      </c>
    </row>
    <row r="77" spans="1:10" x14ac:dyDescent="0.35">
      <c r="A77" s="1"/>
      <c r="B77" s="1"/>
      <c r="C77" s="1"/>
      <c r="D77" s="1"/>
      <c r="E77" s="1"/>
      <c r="F77" s="1">
        <f t="shared" si="10"/>
        <v>0.72000000000000042</v>
      </c>
      <c r="G77" s="1">
        <f t="shared" si="12"/>
        <v>0.38973608998664028</v>
      </c>
      <c r="H77" s="1">
        <f t="shared" si="14"/>
        <v>0.74066086613831517</v>
      </c>
      <c r="I77" s="1">
        <f t="shared" si="13"/>
        <v>0.74077523601287676</v>
      </c>
      <c r="J77" s="1">
        <f t="shared" si="15"/>
        <v>1.5439214082961703E-2</v>
      </c>
    </row>
    <row r="78" spans="1:10" x14ac:dyDescent="0.35">
      <c r="A78" s="1"/>
      <c r="B78" s="1"/>
      <c r="C78" s="1"/>
      <c r="D78" s="1"/>
      <c r="E78" s="1"/>
      <c r="F78" s="1">
        <f t="shared" si="10"/>
        <v>0.73000000000000043</v>
      </c>
      <c r="G78" s="1">
        <f t="shared" si="12"/>
        <v>0.39710343900958173</v>
      </c>
      <c r="H78" s="1">
        <f t="shared" si="14"/>
        <v>0.73246463868411882</v>
      </c>
      <c r="I78" s="1">
        <f t="shared" si="13"/>
        <v>0.73257979893003977</v>
      </c>
      <c r="J78" s="1">
        <f t="shared" si="15"/>
        <v>1.57198227536644E-2</v>
      </c>
    </row>
    <row r="79" spans="1:10" x14ac:dyDescent="0.35">
      <c r="A79" s="1"/>
      <c r="B79" s="1"/>
      <c r="C79" s="1"/>
      <c r="D79" s="1"/>
      <c r="E79" s="1"/>
      <c r="F79" s="1">
        <f t="shared" si="10"/>
        <v>0.74000000000000044</v>
      </c>
      <c r="G79" s="1">
        <f t="shared" si="12"/>
        <v>0.40438538276032265</v>
      </c>
      <c r="H79" s="1">
        <f t="shared" si="14"/>
        <v>0.72357748659714061</v>
      </c>
      <c r="I79" s="1">
        <f t="shared" si="13"/>
        <v>0.72369340651221747</v>
      </c>
      <c r="J79" s="1">
        <f t="shared" si="15"/>
        <v>1.6017821087459434E-2</v>
      </c>
    </row>
    <row r="80" spans="1:10" x14ac:dyDescent="0.35">
      <c r="A80" s="1"/>
      <c r="B80" s="1"/>
      <c r="C80" s="1"/>
      <c r="D80" s="1"/>
      <c r="E80" s="1"/>
      <c r="F80" s="1">
        <f t="shared" si="10"/>
        <v>0.75000000000000044</v>
      </c>
      <c r="G80" s="1">
        <f t="shared" si="12"/>
        <v>0.41157498874152454</v>
      </c>
      <c r="H80" s="1">
        <f t="shared" si="14"/>
        <v>0.71399485218122394</v>
      </c>
      <c r="I80" s="1">
        <f t="shared" si="13"/>
        <v>0.71411150079760544</v>
      </c>
      <c r="J80" s="1">
        <f t="shared" si="15"/>
        <v>1.6334790330531184E-2</v>
      </c>
    </row>
    <row r="81" spans="1:10" x14ac:dyDescent="0.35">
      <c r="A81" s="1"/>
      <c r="B81" s="1"/>
      <c r="C81" s="1"/>
      <c r="D81" s="1"/>
      <c r="E81" s="1"/>
      <c r="F81" s="1">
        <f t="shared" si="10"/>
        <v>0.76000000000000045</v>
      </c>
      <c r="G81" s="1">
        <f t="shared" si="12"/>
        <v>0.41866527980394713</v>
      </c>
      <c r="H81" s="1">
        <f t="shared" si="14"/>
        <v>0.70371236354020705</v>
      </c>
      <c r="I81" s="1">
        <f t="shared" si="13"/>
        <v>0.70382970963032099</v>
      </c>
      <c r="J81" s="1">
        <f t="shared" si="15"/>
        <v>1.6672511618693854E-2</v>
      </c>
    </row>
    <row r="82" spans="1:10" x14ac:dyDescent="0.35">
      <c r="A82" s="1"/>
      <c r="B82" s="1"/>
      <c r="C82" s="1"/>
      <c r="D82" s="1"/>
      <c r="E82" s="1"/>
      <c r="F82" s="1">
        <f t="shared" si="10"/>
        <v>0.77000000000000046</v>
      </c>
      <c r="G82" s="1">
        <f t="shared" si="12"/>
        <v>0.42564923601232868</v>
      </c>
      <c r="H82" s="1">
        <f t="shared" si="14"/>
        <v>0.6927258361361377</v>
      </c>
      <c r="I82" s="1">
        <f t="shared" si="13"/>
        <v>0.69284384821869249</v>
      </c>
      <c r="J82" s="1">
        <f t="shared" si="15"/>
        <v>1.7032998540465805E-2</v>
      </c>
    </row>
    <row r="83" spans="1:10" x14ac:dyDescent="0.35">
      <c r="A83" s="1"/>
      <c r="B83" s="1"/>
      <c r="C83" s="1"/>
      <c r="D83" s="1"/>
      <c r="E83" s="1"/>
      <c r="F83" s="1">
        <f t="shared" ref="F83:F146" si="16">$G$1+F82</f>
        <v>0.78000000000000047</v>
      </c>
      <c r="G83" s="1">
        <f t="shared" si="12"/>
        <v>0.43251979652666989</v>
      </c>
      <c r="H83" s="1">
        <f t="shared" si="14"/>
        <v>0.68103127431160815</v>
      </c>
      <c r="I83" s="1">
        <f t="shared" si="13"/>
        <v>0.6811499206576227</v>
      </c>
      <c r="J83" s="1">
        <f t="shared" si="15"/>
        <v>1.7418536274657732E-2</v>
      </c>
    </row>
    <row r="84" spans="1:10" x14ac:dyDescent="0.35">
      <c r="A84" s="1"/>
      <c r="B84" s="1"/>
      <c r="C84" s="1"/>
      <c r="D84" s="1"/>
      <c r="E84" s="1"/>
      <c r="F84" s="1">
        <f t="shared" si="16"/>
        <v>0.79000000000000048</v>
      </c>
      <c r="G84" s="1">
        <f t="shared" si="12"/>
        <v>0.43926986149856084</v>
      </c>
      <c r="H84" s="1">
        <f t="shared" si="14"/>
        <v>0.66862487277581373</v>
      </c>
      <c r="I84" s="1">
        <f t="shared" si="13"/>
        <v>0.6687441214147033</v>
      </c>
      <c r="J84" s="1">
        <f t="shared" si="15"/>
        <v>1.7831728918573903E-2</v>
      </c>
    </row>
    <row r="85" spans="1:10" x14ac:dyDescent="0.35">
      <c r="A85" s="1"/>
      <c r="B85" s="1"/>
      <c r="C85" s="1"/>
      <c r="D85" s="1"/>
      <c r="E85" s="1"/>
      <c r="F85" s="1">
        <f t="shared" si="16"/>
        <v>0.80000000000000049</v>
      </c>
      <c r="G85" s="1">
        <f t="shared" si="12"/>
        <v>0.44589229398218616</v>
      </c>
      <c r="H85" s="1">
        <f t="shared" si="14"/>
        <v>0.65550301805403222</v>
      </c>
      <c r="I85" s="1">
        <f t="shared" si="13"/>
        <v>0.6556228367797694</v>
      </c>
      <c r="J85" s="1">
        <f t="shared" si="15"/>
        <v>1.827555707572686E-2</v>
      </c>
    </row>
    <row r="86" spans="1:10" x14ac:dyDescent="0.35">
      <c r="A86" s="1"/>
      <c r="B86" s="1"/>
      <c r="C86" s="1"/>
      <c r="D86" s="1"/>
      <c r="E86" s="1"/>
      <c r="F86" s="1">
        <f t="shared" si="16"/>
        <v>0.8100000000000005</v>
      </c>
      <c r="G86" s="1">
        <f t="shared" si="12"/>
        <v>0.45237992185964149</v>
      </c>
      <c r="H86" s="1">
        <f t="shared" si="14"/>
        <v>0.64166228990027163</v>
      </c>
      <c r="I86" s="1">
        <f t="shared" si="13"/>
        <v>0.64178264627757886</v>
      </c>
      <c r="J86" s="1">
        <f t="shared" si="15"/>
        <v>1.8753448384014663E-2</v>
      </c>
    </row>
    <row r="87" spans="1:10" x14ac:dyDescent="0.35">
      <c r="A87" s="1"/>
      <c r="B87" s="1"/>
      <c r="C87" s="1"/>
      <c r="D87" s="1"/>
      <c r="E87" s="1"/>
      <c r="F87" s="1">
        <f t="shared" si="16"/>
        <v>0.82000000000000051</v>
      </c>
      <c r="G87" s="1">
        <f t="shared" si="12"/>
        <v>0.45872553978019159</v>
      </c>
      <c r="H87" s="1">
        <f t="shared" si="14"/>
        <v>0.62709946267273664</v>
      </c>
      <c r="I87" s="1">
        <f t="shared" si="13"/>
        <v>0.62722032404332062</v>
      </c>
      <c r="J87" s="1">
        <f t="shared" si="15"/>
        <v>1.9269364520087272E-2</v>
      </c>
    </row>
    <row r="88" spans="1:10" x14ac:dyDescent="0.35">
      <c r="A88" s="1"/>
      <c r="B88" s="1"/>
      <c r="C88" s="1"/>
      <c r="D88" s="1"/>
      <c r="E88" s="1"/>
      <c r="F88" s="1">
        <f t="shared" si="16"/>
        <v>0.83000000000000052</v>
      </c>
      <c r="G88" s="1">
        <f t="shared" si="12"/>
        <v>0.46492191111309622</v>
      </c>
      <c r="H88" s="1">
        <f t="shared" si="14"/>
        <v>0.61181150667178885</v>
      </c>
      <c r="I88" s="1">
        <f t="shared" si="13"/>
        <v>0.61193284016064931</v>
      </c>
      <c r="J88" s="1">
        <f t="shared" si="15"/>
        <v>1.9827909354987381E-2</v>
      </c>
    </row>
    <row r="89" spans="1:10" x14ac:dyDescent="0.35">
      <c r="A89" s="1"/>
      <c r="B89" s="1"/>
      <c r="C89" s="1"/>
      <c r="D89" s="1"/>
      <c r="E89" s="1"/>
      <c r="F89" s="1">
        <f t="shared" si="16"/>
        <v>0.84000000000000052</v>
      </c>
      <c r="G89" s="1">
        <f t="shared" si="12"/>
        <v>0.47096176991362737</v>
      </c>
      <c r="H89" s="1">
        <f t="shared" si="14"/>
        <v>0.59579558944018451</v>
      </c>
      <c r="I89" s="1">
        <f t="shared" si="13"/>
        <v>0.59591736196195855</v>
      </c>
      <c r="J89" s="1">
        <f t="shared" si="15"/>
        <v>2.0434464499090466E-2</v>
      </c>
    </row>
    <row r="90" spans="1:10" x14ac:dyDescent="0.35">
      <c r="A90" s="1"/>
      <c r="B90" s="1"/>
      <c r="C90" s="1"/>
      <c r="D90" s="1"/>
      <c r="E90" s="1"/>
      <c r="F90" s="1">
        <f t="shared" si="16"/>
        <v>0.85000000000000053</v>
      </c>
      <c r="G90" s="1">
        <f t="shared" si="12"/>
        <v>0.47683782290189991</v>
      </c>
      <c r="H90" s="1">
        <f t="shared" si="14"/>
        <v>0.5790490770252843</v>
      </c>
      <c r="I90" s="1">
        <f t="shared" si="13"/>
        <v>0.57917125529060731</v>
      </c>
      <c r="J90" s="1">
        <f t="shared" si="15"/>
        <v>2.1095360691149884E-2</v>
      </c>
    </row>
    <row r="91" spans="1:10" x14ac:dyDescent="0.35">
      <c r="A91" s="1"/>
      <c r="B91" s="1"/>
      <c r="C91" s="1"/>
      <c r="D91" s="1"/>
      <c r="E91" s="1"/>
      <c r="F91" s="1">
        <f t="shared" si="16"/>
        <v>0.86000000000000054</v>
      </c>
      <c r="G91" s="1">
        <f t="shared" si="12"/>
        <v>0.48254275145413306</v>
      </c>
      <c r="H91" s="1">
        <f t="shared" si="14"/>
        <v>0.56156953520286323</v>
      </c>
      <c r="I91" s="1">
        <f t="shared" si="13"/>
        <v>0.56169208572482143</v>
      </c>
      <c r="J91" s="1">
        <f t="shared" si="15"/>
        <v>2.1818096617839237E-2</v>
      </c>
    </row>
    <row r="92" spans="1:10" x14ac:dyDescent="0.35">
      <c r="A92" s="1"/>
      <c r="B92" s="1"/>
      <c r="C92" s="1"/>
      <c r="D92" s="1"/>
      <c r="E92" s="1"/>
      <c r="F92" s="1">
        <f t="shared" si="16"/>
        <v>0.87000000000000055</v>
      </c>
      <c r="G92" s="1">
        <f t="shared" si="12"/>
        <v>0.48806921360595718</v>
      </c>
      <c r="H92" s="1">
        <f t="shared" si="14"/>
        <v>0.5433547306623876</v>
      </c>
      <c r="I92" s="1">
        <f t="shared" si="13"/>
        <v>0.54347761976299636</v>
      </c>
      <c r="J92" s="1">
        <f t="shared" si="15"/>
        <v>2.2611621185495888E-2</v>
      </c>
    </row>
    <row r="93" spans="1:10" x14ac:dyDescent="0.35">
      <c r="A93" s="1"/>
      <c r="B93" s="1"/>
      <c r="C93" s="1"/>
      <c r="D93" s="1"/>
      <c r="E93" s="1"/>
      <c r="F93" s="1">
        <f t="shared" si="16"/>
        <v>0.88000000000000056</v>
      </c>
      <c r="G93" s="1">
        <f t="shared" si="12"/>
        <v>0.49340984606738081</v>
      </c>
      <c r="H93" s="1">
        <f t="shared" si="14"/>
        <v>0.52440263215342009</v>
      </c>
      <c r="I93" s="1">
        <f t="shared" si="13"/>
        <v>0.5245258259701383</v>
      </c>
      <c r="J93" s="1">
        <f t="shared" si="15"/>
        <v>2.3486701820708448E-2</v>
      </c>
    </row>
    <row r="94" spans="1:10" x14ac:dyDescent="0.35">
      <c r="A94" s="1"/>
      <c r="B94" s="1"/>
      <c r="C94" s="1"/>
      <c r="D94" s="1"/>
      <c r="E94" s="1"/>
      <c r="F94" s="1">
        <f t="shared" si="16"/>
        <v>0.89000000000000057</v>
      </c>
      <c r="G94" s="1">
        <f t="shared" si="12"/>
        <v>0.49855726624902558</v>
      </c>
      <c r="H94" s="1">
        <f t="shared" si="14"/>
        <v>0.50471141159288413</v>
      </c>
      <c r="I94" s="1">
        <f t="shared" si="13"/>
        <v>0.50483487608518207</v>
      </c>
      <c r="J94" s="1">
        <f t="shared" si="15"/>
        <v>2.4456411025990551E-2</v>
      </c>
    </row>
    <row r="95" spans="1:10" x14ac:dyDescent="0.35">
      <c r="A95" s="1"/>
      <c r="B95" s="1"/>
      <c r="C95" s="1"/>
      <c r="D95" s="1"/>
      <c r="E95" s="1"/>
      <c r="F95" s="1">
        <f t="shared" si="16"/>
        <v>0.90000000000000058</v>
      </c>
      <c r="G95" s="1">
        <f t="shared" si="12"/>
        <v>0.50350407429923849</v>
      </c>
      <c r="H95" s="1">
        <f t="shared" si="14"/>
        <v>0.48427944513297627</v>
      </c>
      <c r="I95" s="1">
        <f t="shared" si="13"/>
        <v>0.48440314608893342</v>
      </c>
      <c r="J95" s="1">
        <f t="shared" si="15"/>
        <v>2.5536777982536146E-2</v>
      </c>
    </row>
    <row r="96" spans="1:10" x14ac:dyDescent="0.35">
      <c r="A96" s="1"/>
      <c r="B96" s="1"/>
      <c r="C96" s="1"/>
      <c r="D96" s="1"/>
      <c r="E96" s="1"/>
      <c r="F96" s="1">
        <f t="shared" si="16"/>
        <v>0.91000000000000059</v>
      </c>
      <c r="G96" s="1">
        <f t="shared" si="12"/>
        <v>0.5082428551516851</v>
      </c>
      <c r="H96" s="1">
        <f>(G97-G95)/(0.01*2)</f>
        <v>0.46310531418943257</v>
      </c>
      <c r="I96" s="1">
        <f t="shared" si="13"/>
        <v>0.46322921723238786</v>
      </c>
      <c r="J96" s="1">
        <f t="shared" si="15"/>
        <v>2.6747674444103208E-2</v>
      </c>
    </row>
    <row r="97" spans="1:10" x14ac:dyDescent="0.35">
      <c r="A97" s="1"/>
      <c r="B97" s="1"/>
      <c r="C97" s="1"/>
      <c r="D97" s="1"/>
      <c r="E97" s="1"/>
      <c r="F97" s="1">
        <f t="shared" si="16"/>
        <v>0.9200000000000006</v>
      </c>
      <c r="G97" s="1">
        <f t="shared" si="12"/>
        <v>0.51276618058302714</v>
      </c>
      <c r="H97" s="1">
        <f t="shared" si="14"/>
        <v>0.44118780642997124</v>
      </c>
      <c r="I97" s="1">
        <f t="shared" si="13"/>
        <v>0.44131187702519015</v>
      </c>
      <c r="J97" s="1">
        <f t="shared" si="15"/>
        <v>2.8114039453287561E-2</v>
      </c>
    </row>
    <row r="98" spans="1:10" x14ac:dyDescent="0.35">
      <c r="A98" s="1"/>
      <c r="B98" s="1"/>
      <c r="C98" s="1"/>
      <c r="D98" s="1"/>
      <c r="E98" s="1"/>
      <c r="F98" s="1">
        <f t="shared" si="16"/>
        <v>0.9300000000000006</v>
      </c>
      <c r="G98" s="1">
        <f t="shared" si="12"/>
        <v>0.51706661128028453</v>
      </c>
      <c r="H98" s="1">
        <f t="shared" si="14"/>
        <v>0.418525916722573</v>
      </c>
      <c r="I98" s="1">
        <f t="shared" si="13"/>
        <v>0.4186501201839945</v>
      </c>
      <c r="J98" s="1">
        <f t="shared" si="15"/>
        <v>2.9667604386907798E-2</v>
      </c>
    </row>
    <row r="99" spans="1:10" x14ac:dyDescent="0.35">
      <c r="A99" s="1"/>
      <c r="B99" s="1"/>
      <c r="C99" s="1"/>
      <c r="D99" s="1"/>
      <c r="E99" s="1"/>
      <c r="F99" s="1">
        <f t="shared" si="16"/>
        <v>0.94000000000000061</v>
      </c>
      <c r="G99" s="1">
        <f t="shared" si="12"/>
        <v>0.5211366989174786</v>
      </c>
      <c r="H99" s="1">
        <f t="shared" si="14"/>
        <v>0.3951188480435297</v>
      </c>
      <c r="I99" s="1">
        <f t="shared" si="13"/>
        <v>0.3952431495405041</v>
      </c>
      <c r="J99" s="1">
        <f t="shared" si="15"/>
        <v>3.1449374168510701E-2</v>
      </c>
    </row>
    <row r="100" spans="1:10" x14ac:dyDescent="0.35">
      <c r="A100" s="1"/>
      <c r="B100" s="1"/>
      <c r="C100" s="1"/>
      <c r="D100" s="1"/>
      <c r="E100" s="1"/>
      <c r="F100" s="1">
        <f t="shared" si="16"/>
        <v>0.95000000000000062</v>
      </c>
      <c r="G100" s="1">
        <f t="shared" si="12"/>
        <v>0.52496898824115512</v>
      </c>
      <c r="H100" s="1">
        <f t="shared" si="14"/>
        <v>0.37096601234488102</v>
      </c>
      <c r="I100" s="1">
        <f t="shared" si="13"/>
        <v>0.3710903769089674</v>
      </c>
      <c r="J100" s="1">
        <f t="shared" si="15"/>
        <v>3.3513281891673699E-2</v>
      </c>
    </row>
    <row r="101" spans="1:10" x14ac:dyDescent="0.35">
      <c r="A101" s="1"/>
      <c r="B101" s="1"/>
      <c r="C101" s="1"/>
      <c r="D101" s="1"/>
      <c r="E101" s="1"/>
      <c r="F101" s="1">
        <f t="shared" si="16"/>
        <v>0.96000000000000063</v>
      </c>
      <c r="G101" s="1">
        <f t="shared" si="12"/>
        <v>0.52855601916437622</v>
      </c>
      <c r="H101" s="1">
        <f t="shared" si="14"/>
        <v>0.34606703138112538</v>
      </c>
      <c r="I101" s="1">
        <f t="shared" si="13"/>
        <v>0.34619142391291535</v>
      </c>
      <c r="J101" s="1">
        <f t="shared" si="15"/>
        <v>3.5931719620317673E-2</v>
      </c>
    </row>
    <row r="102" spans="1:10" x14ac:dyDescent="0.35">
      <c r="A102" s="1"/>
      <c r="B102" s="1"/>
      <c r="C102" s="1"/>
      <c r="D102" s="1"/>
      <c r="E102" s="1"/>
      <c r="F102" s="1">
        <f t="shared" si="16"/>
        <v>0.97000000000000064</v>
      </c>
      <c r="G102" s="1">
        <f t="shared" si="12"/>
        <v>0.53189032886877763</v>
      </c>
      <c r="H102" s="1">
        <f t="shared" si="14"/>
        <v>0.32042173749495251</v>
      </c>
      <c r="I102" s="1">
        <f t="shared" si="13"/>
        <v>0.32054612277093808</v>
      </c>
      <c r="J102" s="1">
        <f t="shared" si="15"/>
        <v>3.88041742356241E-2</v>
      </c>
    </row>
    <row r="103" spans="1:10" x14ac:dyDescent="0.35">
      <c r="A103" s="1"/>
      <c r="B103" s="1"/>
      <c r="C103" s="1"/>
      <c r="D103" s="1"/>
      <c r="E103" s="1"/>
      <c r="F103" s="1">
        <f t="shared" si="16"/>
        <v>0.98000000000000065</v>
      </c>
      <c r="G103" s="1">
        <f t="shared" si="12"/>
        <v>0.53496445391427527</v>
      </c>
      <c r="H103" s="1">
        <f t="shared" si="14"/>
        <v>0.29403017436182566</v>
      </c>
      <c r="I103" s="1">
        <f t="shared" si="13"/>
        <v>0.29415451704129569</v>
      </c>
      <c r="J103" s="1">
        <f t="shared" si="15"/>
        <v>4.2271211987738783E-2</v>
      </c>
    </row>
    <row r="104" spans="1:10" x14ac:dyDescent="0.35">
      <c r="A104" s="1"/>
      <c r="B104" s="1"/>
      <c r="C104" s="1"/>
      <c r="D104" s="1"/>
      <c r="E104" s="1"/>
      <c r="F104" s="1">
        <f t="shared" si="16"/>
        <v>0.99000000000000066</v>
      </c>
      <c r="G104" s="1">
        <f t="shared" si="12"/>
        <v>0.53777093235601414</v>
      </c>
      <c r="H104" s="1">
        <f t="shared" si="14"/>
        <v>0.26689259769323015</v>
      </c>
      <c r="I104" s="1">
        <f t="shared" si="13"/>
        <v>0.2670168623251713</v>
      </c>
      <c r="J104" s="1">
        <f>ABS(I104-H104)/I104*100</f>
        <v>4.6538121547478335E-2</v>
      </c>
    </row>
    <row r="105" spans="1:10" x14ac:dyDescent="0.35">
      <c r="A105" s="1"/>
      <c r="B105" s="1"/>
      <c r="C105" s="1"/>
      <c r="D105" s="1"/>
      <c r="E105" s="1"/>
      <c r="F105" s="1">
        <f t="shared" si="16"/>
        <v>1.0000000000000007</v>
      </c>
      <c r="G105" s="1">
        <f t="shared" si="12"/>
        <v>0.54030230586813988</v>
      </c>
      <c r="H105" s="1">
        <f>((3*G105)-(4*G104)+(G103))/(0.01*2)</f>
        <v>0.23938210473192223</v>
      </c>
      <c r="I105" s="1">
        <f t="shared" si="13"/>
        <v>0.23913362692838114</v>
      </c>
      <c r="J105" s="1">
        <f>ABS(I105-H105)/I105*100</f>
        <v>0.10390751260403418</v>
      </c>
    </row>
    <row r="106" spans="1:10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29BA-DFA9-4FBF-8E9C-BC35DCEDE506}">
  <dimension ref="A1:K235"/>
  <sheetViews>
    <sheetView zoomScale="63" workbookViewId="0">
      <selection activeCell="D23" sqref="D23"/>
    </sheetView>
  </sheetViews>
  <sheetFormatPr defaultRowHeight="14.5" x14ac:dyDescent="0.35"/>
  <cols>
    <col min="1" max="1" width="12.90625" customWidth="1"/>
    <col min="3" max="3" width="16.453125" customWidth="1"/>
    <col min="5" max="5" width="13" customWidth="1"/>
    <col min="6" max="7" width="9.36328125" bestFit="1" customWidth="1"/>
    <col min="8" max="8" width="16.6328125" customWidth="1"/>
    <col min="9" max="9" width="17.08984375" customWidth="1"/>
    <col min="10" max="10" width="10.36328125" bestFit="1" customWidth="1"/>
  </cols>
  <sheetData>
    <row r="1" spans="1:11" x14ac:dyDescent="0.35">
      <c r="A1" t="s">
        <v>0</v>
      </c>
      <c r="B1" t="s">
        <v>1</v>
      </c>
      <c r="C1" t="s">
        <v>3</v>
      </c>
      <c r="D1">
        <v>0.1</v>
      </c>
      <c r="F1" t="s">
        <v>3</v>
      </c>
      <c r="G1">
        <v>0.01</v>
      </c>
    </row>
    <row r="3" spans="1:11" x14ac:dyDescent="0.35">
      <c r="A3" t="s">
        <v>9</v>
      </c>
    </row>
    <row r="4" spans="1:11" x14ac:dyDescent="0.35">
      <c r="A4" t="s">
        <v>4</v>
      </c>
      <c r="B4" t="s">
        <v>7</v>
      </c>
      <c r="C4" t="s">
        <v>11</v>
      </c>
      <c r="D4" t="s">
        <v>8</v>
      </c>
      <c r="E4" t="s">
        <v>6</v>
      </c>
      <c r="F4" t="s">
        <v>4</v>
      </c>
      <c r="G4" t="s">
        <v>7</v>
      </c>
      <c r="H4" t="s">
        <v>11</v>
      </c>
      <c r="I4" t="s">
        <v>8</v>
      </c>
      <c r="J4" t="s">
        <v>6</v>
      </c>
    </row>
    <row r="5" spans="1:11" x14ac:dyDescent="0.35">
      <c r="A5" s="1">
        <v>0</v>
      </c>
      <c r="B5" s="1">
        <f>A5^2*COS(A5)</f>
        <v>0</v>
      </c>
      <c r="C5" s="1">
        <v>0</v>
      </c>
      <c r="D5" s="1">
        <f>2*A5*COS(A5)+(A5^2-2)*SIN(A5)</f>
        <v>0</v>
      </c>
      <c r="E5" s="1"/>
      <c r="F5" s="2">
        <v>0</v>
      </c>
      <c r="G5" s="2">
        <f>F5^2*COS(F5)</f>
        <v>0</v>
      </c>
      <c r="H5" s="2">
        <v>0</v>
      </c>
      <c r="I5" s="2">
        <f>2*F5*COS(F5)+(F5^2-2)*SIN(F5)</f>
        <v>0</v>
      </c>
      <c r="J5" s="2"/>
      <c r="K5" s="2"/>
    </row>
    <row r="6" spans="1:11" x14ac:dyDescent="0.35">
      <c r="A6" s="1">
        <f>$D$1+A5</f>
        <v>0.1</v>
      </c>
      <c r="B6" s="1">
        <f t="shared" ref="B6:B15" si="0">A6^2*COS(A6)</f>
        <v>9.9500416527802601E-3</v>
      </c>
      <c r="C6" s="1">
        <f>(A6-A5)/2*(B5+B6)+C5</f>
        <v>4.9750208263901307E-4</v>
      </c>
      <c r="D6" s="1">
        <f>2*A6*COS(A6)+(A6^2-2)*SIN(A6)</f>
        <v>3.3233392841713894E-4</v>
      </c>
      <c r="E6" s="1">
        <f>ABS(D6-C6)/D6*100</f>
        <v>49.699455908262955</v>
      </c>
      <c r="F6" s="2">
        <f>$G$1+F5</f>
        <v>0.01</v>
      </c>
      <c r="G6" s="2">
        <f t="shared" ref="G6:G69" si="1">F6^2*COS(F6)</f>
        <v>9.9995000041666534E-5</v>
      </c>
      <c r="H6" s="2">
        <f>(F6-F5)/2*(G5+G6)+H5</f>
        <v>4.9997500020833265E-7</v>
      </c>
      <c r="I6" s="2">
        <f t="shared" ref="I6:I16" si="2">2*F6*COS(F6)+(F6^2-2)*SIN(F6)</f>
        <v>3.3332333339297637E-7</v>
      </c>
      <c r="J6" s="2">
        <f>ABS(I6-H6)/I6*100</f>
        <v>49.996999945659333</v>
      </c>
      <c r="K6" s="2"/>
    </row>
    <row r="7" spans="1:11" x14ac:dyDescent="0.35">
      <c r="A7" s="1">
        <f t="shared" ref="A7:A16" si="3">$D$1+A6</f>
        <v>0.2</v>
      </c>
      <c r="B7" s="1">
        <f t="shared" si="0"/>
        <v>3.9202663113649672E-2</v>
      </c>
      <c r="C7" s="1">
        <f t="shared" ref="C7:C15" si="4">(A7-A6)/2*(B6+B7)+C6</f>
        <v>2.9551373209605099E-3</v>
      </c>
      <c r="D7" s="1">
        <f t="shared" ref="D6:D15" si="5">2*A7*COS(A7)+(A7^2-2)*SIN(A7)</f>
        <v>2.6347427781766575E-3</v>
      </c>
      <c r="E7" s="1">
        <f>ABS(D7-C7)/D7*100</f>
        <v>12.160372748248985</v>
      </c>
      <c r="F7" s="2">
        <f t="shared" ref="F7:F16" si="6">$G$1+F6</f>
        <v>0.02</v>
      </c>
      <c r="G7" s="2">
        <f t="shared" si="1"/>
        <v>3.9992000266663114E-4</v>
      </c>
      <c r="H7" s="2">
        <f t="shared" ref="H7:H16" si="7">(F7-F6)/2*(G6+G7)+H6</f>
        <v>2.999550013749821E-6</v>
      </c>
      <c r="I7" s="2">
        <f>2*F7*COS(F7)+(F7^2-2)*SIN(F7)</f>
        <v>2.6663466742779529E-6</v>
      </c>
      <c r="J7" s="2">
        <f t="shared" ref="J7:J16" si="8">ABS(I7-H7)/I7*100</f>
        <v>12.496624789501523</v>
      </c>
      <c r="K7" s="2"/>
    </row>
    <row r="8" spans="1:11" x14ac:dyDescent="0.35">
      <c r="A8" s="1">
        <f t="shared" si="3"/>
        <v>0.30000000000000004</v>
      </c>
      <c r="B8" s="1">
        <f t="shared" si="0"/>
        <v>8.5980284021304559E-2</v>
      </c>
      <c r="C8" s="1">
        <f t="shared" si="4"/>
        <v>9.2142846777082225E-3</v>
      </c>
      <c r="D8" s="1">
        <f t="shared" si="5"/>
        <v>8.7582987522050182E-3</v>
      </c>
      <c r="E8" s="1">
        <f t="shared" ref="E8:E15" si="9">ABS(D8-C8)/D8*100</f>
        <v>5.2063298867077794</v>
      </c>
      <c r="F8" s="2">
        <f t="shared" si="6"/>
        <v>0.03</v>
      </c>
      <c r="G8" s="2">
        <f t="shared" si="1"/>
        <v>8.9959503037408876E-4</v>
      </c>
      <c r="H8" s="2">
        <f t="shared" si="7"/>
        <v>9.4971251789534192E-6</v>
      </c>
      <c r="I8" s="2">
        <f t="shared" si="2"/>
        <v>8.9975701301689415E-6</v>
      </c>
      <c r="J8" s="2">
        <f t="shared" si="8"/>
        <v>5.5521106427330276</v>
      </c>
      <c r="K8" s="2"/>
    </row>
    <row r="9" spans="1:11" x14ac:dyDescent="0.35">
      <c r="A9" s="1">
        <f t="shared" si="3"/>
        <v>0.4</v>
      </c>
      <c r="B9" s="1">
        <f t="shared" si="0"/>
        <v>0.14736975904046165</v>
      </c>
      <c r="C9" s="1">
        <f t="shared" si="4"/>
        <v>2.0881786830796528E-2</v>
      </c>
      <c r="D9" s="1">
        <f t="shared" si="5"/>
        <v>2.0319045354391219E-2</v>
      </c>
      <c r="E9" s="1">
        <f t="shared" si="9"/>
        <v>2.7695271435756386</v>
      </c>
      <c r="F9" s="2">
        <f t="shared" si="6"/>
        <v>0.04</v>
      </c>
      <c r="G9" s="2">
        <f t="shared" si="1"/>
        <v>1.5987201706575648E-3</v>
      </c>
      <c r="H9" s="2">
        <f t="shared" si="7"/>
        <v>2.1988701184111689E-5</v>
      </c>
      <c r="I9" s="2">
        <f t="shared" si="2"/>
        <v>2.1323094308522972E-5</v>
      </c>
      <c r="J9" s="2">
        <f t="shared" si="8"/>
        <v>3.1215304212328605</v>
      </c>
      <c r="K9" s="2"/>
    </row>
    <row r="10" spans="1:11" x14ac:dyDescent="0.35">
      <c r="A10" s="1">
        <f t="shared" si="3"/>
        <v>0.5</v>
      </c>
      <c r="B10" s="1">
        <f t="shared" si="0"/>
        <v>0.21939564047259319</v>
      </c>
      <c r="C10" s="1">
        <f t="shared" si="4"/>
        <v>3.9220056806449272E-2</v>
      </c>
      <c r="D10" s="1">
        <f t="shared" si="5"/>
        <v>3.8587869333017499E-2</v>
      </c>
      <c r="E10" s="1">
        <f t="shared" si="9"/>
        <v>1.638306245872053</v>
      </c>
      <c r="F10" s="2">
        <f t="shared" si="6"/>
        <v>0.05</v>
      </c>
      <c r="G10" s="2">
        <f t="shared" si="1"/>
        <v>2.4968756509874163E-3</v>
      </c>
      <c r="H10" s="2">
        <f t="shared" si="7"/>
        <v>4.2466680292336593E-5</v>
      </c>
      <c r="I10" s="2">
        <f t="shared" si="2"/>
        <v>4.1635421316660315E-5</v>
      </c>
      <c r="J10" s="2">
        <f t="shared" si="8"/>
        <v>1.9965187078427653</v>
      </c>
      <c r="K10" s="2"/>
    </row>
    <row r="11" spans="1:11" x14ac:dyDescent="0.35">
      <c r="A11" s="1">
        <f t="shared" si="3"/>
        <v>0.6</v>
      </c>
      <c r="B11" s="1">
        <f t="shared" si="0"/>
        <v>0.29712082136748419</v>
      </c>
      <c r="C11" s="1">
        <f t="shared" si="4"/>
        <v>6.5045879898453132E-2</v>
      </c>
      <c r="D11" s="1">
        <f t="shared" si="5"/>
        <v>6.4389081523755887E-2</v>
      </c>
      <c r="E11" s="1">
        <f t="shared" si="9"/>
        <v>1.0200461928548004</v>
      </c>
      <c r="F11" s="2">
        <f t="shared" si="6"/>
        <v>6.0000000000000005E-2</v>
      </c>
      <c r="G11" s="2">
        <f t="shared" si="1"/>
        <v>3.5935219437667359E-3</v>
      </c>
      <c r="H11" s="2">
        <f t="shared" si="7"/>
        <v>7.2918668266107363E-5</v>
      </c>
      <c r="I11" s="2">
        <f t="shared" si="2"/>
        <v>7.1922256661319239E-5</v>
      </c>
      <c r="J11" s="2">
        <f t="shared" si="8"/>
        <v>1.3854009190509835</v>
      </c>
      <c r="K11" s="2"/>
    </row>
    <row r="12" spans="1:11" x14ac:dyDescent="0.35">
      <c r="A12" s="1">
        <f t="shared" si="3"/>
        <v>0.7</v>
      </c>
      <c r="B12" s="1">
        <f t="shared" si="0"/>
        <v>0.37477267176939932</v>
      </c>
      <c r="C12" s="1">
        <f t="shared" si="4"/>
        <v>9.86405545552973E-2</v>
      </c>
      <c r="D12" s="1">
        <f t="shared" si="5"/>
        <v>9.8010354469370342E-2</v>
      </c>
      <c r="E12" s="1">
        <f t="shared" si="9"/>
        <v>0.64299337487234998</v>
      </c>
      <c r="F12" s="2">
        <f t="shared" si="6"/>
        <v>7.0000000000000007E-2</v>
      </c>
      <c r="G12" s="2">
        <f t="shared" si="1"/>
        <v>4.887999901241071E-3</v>
      </c>
      <c r="H12" s="2">
        <f t="shared" si="7"/>
        <v>1.1532627749114641E-4</v>
      </c>
      <c r="I12" s="2">
        <f t="shared" si="2"/>
        <v>1.1416531234750837E-4</v>
      </c>
      <c r="J12" s="2">
        <f t="shared" si="8"/>
        <v>1.0169158387656012</v>
      </c>
      <c r="K12" s="2"/>
    </row>
    <row r="13" spans="1:11" x14ac:dyDescent="0.35">
      <c r="A13" s="1">
        <f t="shared" si="3"/>
        <v>0.79999999999999993</v>
      </c>
      <c r="B13" s="1">
        <f t="shared" si="0"/>
        <v>0.44589229398218583</v>
      </c>
      <c r="C13" s="1">
        <f t="shared" si="4"/>
        <v>0.13967380284287656</v>
      </c>
      <c r="D13" s="1">
        <f t="shared" si="5"/>
        <v>0.13912645133211377</v>
      </c>
      <c r="E13" s="1">
        <f t="shared" si="9"/>
        <v>0.39342016239326921</v>
      </c>
      <c r="F13" s="2">
        <f t="shared" si="6"/>
        <v>0.08</v>
      </c>
      <c r="G13" s="2">
        <f t="shared" si="1"/>
        <v>6.3795309203367647E-3</v>
      </c>
      <c r="H13" s="2">
        <f t="shared" si="7"/>
        <v>1.7166393159903556E-4</v>
      </c>
      <c r="I13" s="2">
        <f t="shared" si="2"/>
        <v>1.7033911147643077E-4</v>
      </c>
      <c r="J13" s="2">
        <f t="shared" si="8"/>
        <v>0.77775451047136457</v>
      </c>
      <c r="K13" s="2"/>
    </row>
    <row r="14" spans="1:11" x14ac:dyDescent="0.35">
      <c r="A14" s="1">
        <f t="shared" si="3"/>
        <v>0.89999999999999991</v>
      </c>
      <c r="B14" s="1">
        <f t="shared" si="0"/>
        <v>0.50350407429923816</v>
      </c>
      <c r="C14" s="1">
        <f t="shared" si="4"/>
        <v>0.18714362125694775</v>
      </c>
      <c r="D14" s="1">
        <f t="shared" si="5"/>
        <v>0.18673892043049067</v>
      </c>
      <c r="E14" s="1">
        <f t="shared" si="9"/>
        <v>0.21672012750428102</v>
      </c>
      <c r="F14" s="2">
        <f t="shared" si="6"/>
        <v>0.09</v>
      </c>
      <c r="G14" s="2">
        <f t="shared" si="1"/>
        <v>8.0672171373971525E-3</v>
      </c>
      <c r="H14" s="2">
        <f t="shared" si="7"/>
        <v>2.4389767188770511E-4</v>
      </c>
      <c r="I14" s="2">
        <f t="shared" si="2"/>
        <v>2.4240979464076884E-4</v>
      </c>
      <c r="J14" s="2">
        <f t="shared" si="8"/>
        <v>0.61378594422770105</v>
      </c>
      <c r="K14" s="2"/>
    </row>
    <row r="15" spans="1:11" x14ac:dyDescent="0.35">
      <c r="A15" s="1">
        <f t="shared" si="3"/>
        <v>0.99999999999999989</v>
      </c>
      <c r="B15" s="1">
        <f t="shared" si="0"/>
        <v>0.54030230586813965</v>
      </c>
      <c r="C15" s="1">
        <f t="shared" si="4"/>
        <v>0.23933394026531662</v>
      </c>
      <c r="D15" s="1">
        <f t="shared" si="5"/>
        <v>0.23913362692838269</v>
      </c>
      <c r="E15" s="1">
        <f t="shared" si="9"/>
        <v>8.3766277251305962E-2</v>
      </c>
      <c r="F15" s="2">
        <f t="shared" si="6"/>
        <v>9.9999999999999992E-2</v>
      </c>
      <c r="G15" s="2">
        <f t="shared" si="1"/>
        <v>9.9500416527802567E-3</v>
      </c>
      <c r="H15" s="2">
        <f t="shared" si="7"/>
        <v>3.3398396583859209E-4</v>
      </c>
      <c r="I15" s="2">
        <f t="shared" si="2"/>
        <v>3.3233392841713894E-4</v>
      </c>
      <c r="J15" s="2">
        <f t="shared" si="8"/>
        <v>0.49649983957763777</v>
      </c>
      <c r="K15" s="2"/>
    </row>
    <row r="16" spans="1:11" x14ac:dyDescent="0.35">
      <c r="A16" s="1"/>
      <c r="B16" s="1"/>
      <c r="C16" s="1"/>
      <c r="D16" s="1"/>
      <c r="E16" s="1"/>
      <c r="F16" s="2">
        <f t="shared" si="6"/>
        <v>0.10999999999999999</v>
      </c>
      <c r="G16" s="2">
        <f t="shared" si="1"/>
        <v>1.202686878527603E-2</v>
      </c>
      <c r="H16" s="2">
        <f t="shared" si="7"/>
        <v>4.4386851802887347E-4</v>
      </c>
      <c r="I16" s="2">
        <f t="shared" si="2"/>
        <v>4.4205731625349132E-4</v>
      </c>
      <c r="J16" s="2">
        <f t="shared" si="8"/>
        <v>0.40972102684158462</v>
      </c>
      <c r="K16" s="2"/>
    </row>
    <row r="17" spans="6:11" x14ac:dyDescent="0.35">
      <c r="F17" s="2">
        <f t="shared" ref="F17:F26" si="10">$G$1+F16</f>
        <v>0.11999999999999998</v>
      </c>
      <c r="G17" s="2">
        <f t="shared" si="1"/>
        <v>1.429644435629567E-2</v>
      </c>
      <c r="H17" s="2">
        <f t="shared" ref="H17:H26" si="11">(F17-F16)/2*(G16+G17)+H16</f>
        <v>5.7548508373673189E-4</v>
      </c>
      <c r="I17" s="2">
        <f t="shared" ref="I17:I26" si="12">2*F17*COS(F17)+(F17^2-2)*SIN(F17)</f>
        <v>5.7351381204959195E-4</v>
      </c>
      <c r="J17" s="2">
        <f t="shared" ref="J17:J26" si="13">ABS(I17-H17)/I17*100</f>
        <v>0.34371825851850224</v>
      </c>
      <c r="K17" s="2"/>
    </row>
    <row r="18" spans="6:11" x14ac:dyDescent="0.35">
      <c r="F18" s="2">
        <f t="shared" si="10"/>
        <v>0.12999999999999998</v>
      </c>
      <c r="G18" s="2">
        <f t="shared" si="1"/>
        <v>1.6757396003779915E-2</v>
      </c>
      <c r="H18" s="2">
        <f t="shared" si="11"/>
        <v>7.3075428553710971E-4</v>
      </c>
      <c r="I18" s="2">
        <f t="shared" si="12"/>
        <v>7.2862413672802884E-4</v>
      </c>
      <c r="J18" s="2">
        <f t="shared" si="13"/>
        <v>0.2923522158690145</v>
      </c>
      <c r="K18" s="2"/>
    </row>
    <row r="19" spans="6:11" x14ac:dyDescent="0.35">
      <c r="F19" s="2">
        <f t="shared" si="10"/>
        <v>0.13999999999999999</v>
      </c>
      <c r="G19" s="2">
        <f t="shared" si="1"/>
        <v>1.9408233525767687E-2</v>
      </c>
      <c r="H19" s="2">
        <f t="shared" si="11"/>
        <v>9.1158243318484788E-4</v>
      </c>
      <c r="I19" s="2">
        <f t="shared" si="12"/>
        <v>9.0929469809247765E-4</v>
      </c>
      <c r="J19" s="2">
        <f t="shared" si="13"/>
        <v>0.25159446075837189</v>
      </c>
      <c r="K19" s="2"/>
    </row>
    <row r="20" spans="6:11" x14ac:dyDescent="0.35">
      <c r="F20" s="2">
        <f t="shared" si="10"/>
        <v>0.15</v>
      </c>
      <c r="G20" s="2">
        <f t="shared" si="1"/>
        <v>2.224734925356095E-2</v>
      </c>
      <c r="H20" s="2">
        <f t="shared" si="11"/>
        <v>1.1198603470814912E-3</v>
      </c>
      <c r="I20" s="2">
        <f t="shared" si="12"/>
        <v>1.1174164142702114E-3</v>
      </c>
      <c r="J20" s="2">
        <f t="shared" si="13"/>
        <v>0.21871280751464012</v>
      </c>
      <c r="K20" s="2"/>
    </row>
    <row r="21" spans="6:11" x14ac:dyDescent="0.35">
      <c r="F21" s="2">
        <f t="shared" si="10"/>
        <v>0.16</v>
      </c>
      <c r="G21" s="2">
        <f t="shared" si="1"/>
        <v>2.5273018454416051E-2</v>
      </c>
      <c r="H21" s="2">
        <f t="shared" si="11"/>
        <v>1.3574621856213764E-3</v>
      </c>
      <c r="I21" s="2">
        <f t="shared" si="12"/>
        <v>1.3548635410334242E-3</v>
      </c>
      <c r="J21" s="2">
        <f t="shared" si="13"/>
        <v>0.1918012042725753</v>
      </c>
      <c r="K21" s="2"/>
    </row>
    <row r="22" spans="6:11" x14ac:dyDescent="0.35">
      <c r="F22" s="2">
        <f t="shared" si="10"/>
        <v>0.17</v>
      </c>
      <c r="G22" s="2">
        <f t="shared" si="1"/>
        <v>2.8483399763686312E-2</v>
      </c>
      <c r="H22" s="2">
        <f t="shared" si="11"/>
        <v>1.6262442767118884E-3</v>
      </c>
      <c r="I22" s="2">
        <f t="shared" si="12"/>
        <v>1.6234925032947989E-3</v>
      </c>
      <c r="J22" s="2">
        <f t="shared" si="13"/>
        <v>0.16949714344260616</v>
      </c>
      <c r="K22" s="2"/>
    </row>
    <row r="23" spans="6:11" x14ac:dyDescent="0.35">
      <c r="F23" s="2">
        <f t="shared" si="10"/>
        <v>0.18000000000000002</v>
      </c>
      <c r="G23" s="2">
        <f t="shared" si="1"/>
        <v>3.1876535646335143E-2</v>
      </c>
      <c r="H23" s="2">
        <f t="shared" si="11"/>
        <v>1.928043953761996E-3</v>
      </c>
      <c r="I23" s="2">
        <f t="shared" si="12"/>
        <v>1.9251407310720836E-3</v>
      </c>
      <c r="J23" s="2">
        <f t="shared" si="13"/>
        <v>0.15080573814962608</v>
      </c>
      <c r="K23" s="2"/>
    </row>
    <row r="24" spans="6:11" x14ac:dyDescent="0.35">
      <c r="F24" s="2">
        <f t="shared" si="10"/>
        <v>0.19000000000000003</v>
      </c>
      <c r="G24" s="2">
        <f t="shared" si="1"/>
        <v>3.5450352887733474E-2</v>
      </c>
      <c r="H24" s="2">
        <f t="shared" si="11"/>
        <v>2.2646783964323392E-3</v>
      </c>
      <c r="I24" s="2">
        <f t="shared" si="12"/>
        <v>2.261625500213249E-3</v>
      </c>
      <c r="J24" s="2">
        <f t="shared" si="13"/>
        <v>0.13498681451912872</v>
      </c>
      <c r="K24" s="2"/>
    </row>
    <row r="25" spans="6:11" x14ac:dyDescent="0.35">
      <c r="F25" s="2">
        <f t="shared" si="10"/>
        <v>0.20000000000000004</v>
      </c>
      <c r="G25" s="2">
        <f t="shared" si="1"/>
        <v>3.9202663113649679E-2</v>
      </c>
      <c r="H25" s="2">
        <f t="shared" si="11"/>
        <v>2.6379434764392555E-3</v>
      </c>
      <c r="I25" s="2">
        <f t="shared" si="12"/>
        <v>2.634742778176713E-3</v>
      </c>
      <c r="J25" s="2">
        <f t="shared" si="13"/>
        <v>0.1214804833721727</v>
      </c>
      <c r="K25" s="2"/>
    </row>
    <row r="26" spans="6:11" x14ac:dyDescent="0.35">
      <c r="F26" s="2">
        <f t="shared" si="10"/>
        <v>0.21000000000000005</v>
      </c>
      <c r="G26" s="2">
        <f t="shared" si="1"/>
        <v>4.3131163339334956E-2</v>
      </c>
      <c r="H26" s="2">
        <f t="shared" si="11"/>
        <v>3.0496126087041792E-3</v>
      </c>
      <c r="I26" s="2">
        <f t="shared" si="12"/>
        <v>3.0462660751561788E-3</v>
      </c>
      <c r="J26" s="2">
        <f t="shared" si="13"/>
        <v>0.10985690236624862</v>
      </c>
      <c r="K26" s="2"/>
    </row>
    <row r="27" spans="6:11" x14ac:dyDescent="0.35">
      <c r="F27" s="2">
        <f t="shared" ref="F27:F90" si="14">$G$1+F26</f>
        <v>0.22000000000000006</v>
      </c>
      <c r="G27" s="2">
        <f t="shared" si="1"/>
        <v>4.7233436547601336E-2</v>
      </c>
      <c r="H27" s="2">
        <f t="shared" ref="H27:H90" si="15">(F27-F26)/2*(G26+G27)+H26</f>
        <v>3.5014356081388611E-3</v>
      </c>
      <c r="I27" s="2">
        <f t="shared" ref="I27:I90" si="16">2*F27*COS(F27)+(F27^2-2)*SIN(F27)</f>
        <v>3.4979453008418537E-3</v>
      </c>
      <c r="J27" s="2">
        <f t="shared" ref="J27:J90" si="17">ABS(I27-H27)/I27*100</f>
        <v>9.9781643131107836E-2</v>
      </c>
    </row>
    <row r="28" spans="6:11" x14ac:dyDescent="0.35">
      <c r="F28" s="2">
        <f t="shared" si="14"/>
        <v>0.23000000000000007</v>
      </c>
      <c r="G28" s="2">
        <f t="shared" si="1"/>
        <v>5.1506952295784357E-2</v>
      </c>
      <c r="H28" s="2">
        <f t="shared" si="15"/>
        <v>3.9951375523557897E-3</v>
      </c>
      <c r="I28" s="2">
        <f t="shared" si="16"/>
        <v>3.9915056271070393E-3</v>
      </c>
      <c r="J28" s="2">
        <f t="shared" si="17"/>
        <v>9.0991359853921178E-2</v>
      </c>
    </row>
    <row r="29" spans="6:11" x14ac:dyDescent="0.35">
      <c r="F29" s="2">
        <f t="shared" si="14"/>
        <v>0.24000000000000007</v>
      </c>
      <c r="G29" s="2">
        <f t="shared" si="1"/>
        <v>5.5949067351476936E-2</v>
      </c>
      <c r="H29" s="2">
        <f t="shared" si="15"/>
        <v>4.5324176505920962E-3</v>
      </c>
      <c r="I29" s="2">
        <f t="shared" si="16"/>
        <v>4.5286463569080282E-3</v>
      </c>
      <c r="J29" s="2">
        <f t="shared" si="17"/>
        <v>8.3276400647077725E-2</v>
      </c>
    </row>
    <row r="30" spans="6:11" x14ac:dyDescent="0.35">
      <c r="F30" s="2">
        <f t="shared" si="14"/>
        <v>0.25000000000000006</v>
      </c>
      <c r="G30" s="2">
        <f t="shared" si="1"/>
        <v>6.0557026356915324E-2</v>
      </c>
      <c r="H30" s="2">
        <f t="shared" si="15"/>
        <v>5.1149481191340562E-3</v>
      </c>
      <c r="I30" s="2">
        <f t="shared" si="16"/>
        <v>5.1110397996841916E-3</v>
      </c>
      <c r="J30" s="2">
        <f t="shared" si="17"/>
        <v>7.6468186573424982E-2</v>
      </c>
    </row>
    <row r="31" spans="6:11" x14ac:dyDescent="0.35">
      <c r="F31" s="2">
        <f t="shared" si="14"/>
        <v>0.26000000000000006</v>
      </c>
      <c r="G31" s="2">
        <f t="shared" si="1"/>
        <v>6.5327962521893129E-2</v>
      </c>
      <c r="H31" s="2">
        <f t="shared" si="15"/>
        <v>5.7443730635280991E-3</v>
      </c>
      <c r="I31" s="2">
        <f t="shared" si="16"/>
        <v>5.7403301535464135E-3</v>
      </c>
      <c r="J31" s="2">
        <f t="shared" si="17"/>
        <v>7.042992081540575E-2</v>
      </c>
    </row>
    <row r="32" spans="6:11" x14ac:dyDescent="0.35">
      <c r="F32" s="2">
        <f t="shared" si="14"/>
        <v>0.27000000000000007</v>
      </c>
      <c r="G32" s="2">
        <f t="shared" si="1"/>
        <v>7.0258898345073456E-2</v>
      </c>
      <c r="H32" s="2">
        <f t="shared" si="15"/>
        <v>6.4223073678629323E-3</v>
      </c>
      <c r="I32" s="2">
        <f t="shared" si="16"/>
        <v>6.4181323945343705E-3</v>
      </c>
      <c r="J32" s="2">
        <f t="shared" si="17"/>
        <v>6.5049660429523648E-2</v>
      </c>
    </row>
    <row r="33" spans="6:10" x14ac:dyDescent="0.35">
      <c r="F33" s="2">
        <f t="shared" si="14"/>
        <v>0.28000000000000008</v>
      </c>
      <c r="G33" s="2">
        <f t="shared" si="1"/>
        <v>7.5346746363564476E-2</v>
      </c>
      <c r="H33" s="2">
        <f t="shared" si="15"/>
        <v>7.1503355914061227E-3</v>
      </c>
      <c r="I33" s="2">
        <f t="shared" si="16"/>
        <v>7.1460311732307602E-3</v>
      </c>
      <c r="J33" s="2">
        <f t="shared" si="17"/>
        <v>6.0235088135173288E-2</v>
      </c>
    </row>
    <row r="34" spans="6:10" x14ac:dyDescent="0.35">
      <c r="F34" s="2">
        <f t="shared" si="14"/>
        <v>0.29000000000000009</v>
      </c>
      <c r="G34" s="2">
        <f t="shared" si="1"/>
        <v>8.0588309930617885E-2</v>
      </c>
      <c r="H34" s="2">
        <f t="shared" si="15"/>
        <v>7.9300108728770358E-3</v>
      </c>
      <c r="I34" s="2">
        <f t="shared" si="16"/>
        <v>7.9255797190098676E-3</v>
      </c>
      <c r="J34" s="2">
        <f t="shared" si="17"/>
        <v>5.5909523647082439E-2</v>
      </c>
    </row>
    <row r="35" spans="6:10" x14ac:dyDescent="0.35">
      <c r="F35" s="2">
        <f t="shared" si="14"/>
        <v>0.3000000000000001</v>
      </c>
      <c r="G35" s="2">
        <f t="shared" si="1"/>
        <v>8.5980284021304601E-2</v>
      </c>
      <c r="H35" s="2">
        <f t="shared" si="15"/>
        <v>8.762853842636649E-3</v>
      </c>
      <c r="I35" s="2">
        <f t="shared" si="16"/>
        <v>8.7582987522050182E-3</v>
      </c>
      <c r="J35" s="2">
        <f t="shared" si="17"/>
        <v>5.2008849669394598E-2</v>
      </c>
    </row>
    <row r="36" spans="6:10" x14ac:dyDescent="0.35">
      <c r="F36" s="2">
        <f t="shared" si="14"/>
        <v>0.31000000000000011</v>
      </c>
      <c r="G36" s="2">
        <f t="shared" si="1"/>
        <v>9.1519256066017129E-2</v>
      </c>
      <c r="H36" s="2">
        <f t="shared" si="15"/>
        <v>9.650351543073258E-3</v>
      </c>
      <c r="I36" s="2">
        <f t="shared" si="16"/>
        <v>9.6456754044702553E-3</v>
      </c>
      <c r="J36" s="2">
        <f t="shared" si="17"/>
        <v>4.8479120506538416E-2</v>
      </c>
    </row>
    <row r="37" spans="6:10" x14ac:dyDescent="0.35">
      <c r="F37" s="2">
        <f t="shared" si="14"/>
        <v>0.32000000000000012</v>
      </c>
      <c r="G37" s="2">
        <f t="shared" si="1"/>
        <v>9.7201706811642016E-2</v>
      </c>
      <c r="H37" s="2">
        <f t="shared" si="15"/>
        <v>1.0593956357461555E-2</v>
      </c>
      <c r="I37" s="2">
        <f t="shared" si="16"/>
        <v>1.0589162147617182E-2</v>
      </c>
      <c r="J37" s="2">
        <f t="shared" si="17"/>
        <v>4.5274685357918211E-2</v>
      </c>
    </row>
    <row r="38" spans="6:10" x14ac:dyDescent="0.35">
      <c r="F38" s="2">
        <f t="shared" si="14"/>
        <v>0.33000000000000013</v>
      </c>
      <c r="G38" s="2">
        <f t="shared" si="1"/>
        <v>0.10302401121024141</v>
      </c>
      <c r="H38" s="2">
        <f t="shared" si="15"/>
        <v>1.1595084947570973E-2</v>
      </c>
      <c r="I38" s="2">
        <f t="shared" si="16"/>
        <v>1.1590175731199803E-2</v>
      </c>
      <c r="J38" s="2">
        <f t="shared" si="17"/>
        <v>4.2356703513605015E-2</v>
      </c>
    </row>
    <row r="39" spans="6:10" x14ac:dyDescent="0.35">
      <c r="F39" s="2">
        <f t="shared" si="14"/>
        <v>0.34000000000000014</v>
      </c>
      <c r="G39" s="2">
        <f t="shared" si="1"/>
        <v>0.10898243933507691</v>
      </c>
      <c r="H39" s="2">
        <f t="shared" si="15"/>
        <v>1.2655117200297565E-2</v>
      </c>
      <c r="I39" s="2">
        <f t="shared" si="16"/>
        <v>1.2650096129124822E-2</v>
      </c>
      <c r="J39" s="2">
        <f t="shared" si="17"/>
        <v>3.9691960610352357E-2</v>
      </c>
    </row>
    <row r="40" spans="6:10" x14ac:dyDescent="0.35">
      <c r="F40" s="2">
        <f t="shared" si="14"/>
        <v>0.35000000000000014</v>
      </c>
      <c r="G40" s="2">
        <f t="shared" si="1"/>
        <v>0.11507315732380401</v>
      </c>
      <c r="H40" s="2">
        <f t="shared" si="15"/>
        <v>1.3775395183591971E-2</v>
      </c>
      <c r="I40" s="2">
        <f t="shared" si="16"/>
        <v>1.3770265495555267E-2</v>
      </c>
      <c r="J40" s="2">
        <f t="shared" si="17"/>
        <v>3.7251918188209943E-2</v>
      </c>
    </row>
    <row r="41" spans="6:10" x14ac:dyDescent="0.35">
      <c r="F41" s="2">
        <f t="shared" si="14"/>
        <v>0.36000000000000015</v>
      </c>
      <c r="G41" s="2">
        <f t="shared" si="1"/>
        <v>0.12129222834866045</v>
      </c>
      <c r="H41" s="2">
        <f t="shared" si="15"/>
        <v>1.4957222111954294E-2</v>
      </c>
      <c r="I41" s="2">
        <f t="shared" si="16"/>
        <v>1.4951987130384925E-2</v>
      </c>
      <c r="J41" s="2">
        <f t="shared" si="17"/>
        <v>3.5011945393737184E-2</v>
      </c>
    </row>
    <row r="42" spans="6:10" x14ac:dyDescent="0.35">
      <c r="F42" s="2">
        <f t="shared" si="14"/>
        <v>0.37000000000000016</v>
      </c>
      <c r="G42" s="2">
        <f t="shared" si="1"/>
        <v>0.12763561361346623</v>
      </c>
      <c r="H42" s="2">
        <f t="shared" si="15"/>
        <v>1.6201861321764929E-2</v>
      </c>
      <c r="I42" s="2">
        <f t="shared" si="16"/>
        <v>1.6196524454544892E-2</v>
      </c>
      <c r="J42" s="2">
        <f t="shared" si="17"/>
        <v>3.2950694051768682E-2</v>
      </c>
    </row>
    <row r="43" spans="6:10" x14ac:dyDescent="0.35">
      <c r="F43" s="2">
        <f t="shared" si="14"/>
        <v>0.38000000000000017</v>
      </c>
      <c r="G43" s="2">
        <f t="shared" si="1"/>
        <v>0.13409917337724819</v>
      </c>
      <c r="H43" s="2">
        <f t="shared" si="15"/>
        <v>1.7510535256718501E-2</v>
      </c>
      <c r="I43" s="2">
        <f t="shared" si="16"/>
        <v>1.7505099995417051E-2</v>
      </c>
      <c r="J43" s="2">
        <f t="shared" si="17"/>
        <v>3.1049587279557186E-2</v>
      </c>
    </row>
    <row r="44" spans="6:10" x14ac:dyDescent="0.35">
      <c r="F44" s="2">
        <f t="shared" si="14"/>
        <v>0.39000000000000018</v>
      </c>
      <c r="G44" s="2">
        <f t="shared" si="1"/>
        <v>0.14067866800429743</v>
      </c>
      <c r="H44" s="2">
        <f t="shared" si="15"/>
        <v>1.8884424463626232E-2</v>
      </c>
      <c r="I44" s="2">
        <f t="shared" si="16"/>
        <v>1.8878894382614142E-2</v>
      </c>
      <c r="J44" s="2">
        <f t="shared" si="17"/>
        <v>2.9292398696727978E-2</v>
      </c>
    </row>
    <row r="45" spans="6:10" x14ac:dyDescent="0.35">
      <c r="F45" s="2">
        <f t="shared" si="14"/>
        <v>0.40000000000000019</v>
      </c>
      <c r="G45" s="2">
        <f t="shared" si="1"/>
        <v>0.14736975904046173</v>
      </c>
      <c r="H45" s="2">
        <f t="shared" si="15"/>
        <v>2.032466659885003E-2</v>
      </c>
      <c r="I45" s="2">
        <f t="shared" si="16"/>
        <v>2.0319045354391219E-2</v>
      </c>
      <c r="J45" s="2">
        <f t="shared" si="17"/>
        <v>2.7664904333691048E-2</v>
      </c>
    </row>
    <row r="46" spans="6:10" x14ac:dyDescent="0.35">
      <c r="F46" s="2">
        <f t="shared" si="14"/>
        <v>0.4100000000000002</v>
      </c>
      <c r="G46" s="2">
        <f t="shared" si="1"/>
        <v>0.15416801031547145</v>
      </c>
      <c r="H46" s="2">
        <f t="shared" si="15"/>
        <v>2.1832355445629698E-2</v>
      </c>
      <c r="I46" s="2">
        <f t="shared" si="16"/>
        <v>2.1826646774951941E-2</v>
      </c>
      <c r="J46" s="2">
        <f t="shared" si="17"/>
        <v>2.6154593220923457E-2</v>
      </c>
    </row>
    <row r="47" spans="6:10" x14ac:dyDescent="0.35">
      <c r="F47" s="2">
        <f t="shared" si="14"/>
        <v>0.42000000000000021</v>
      </c>
      <c r="G47" s="2">
        <f t="shared" si="1"/>
        <v>0.16106888907109132</v>
      </c>
      <c r="H47" s="2">
        <f t="shared" si="15"/>
        <v>2.3408539942562513E-2</v>
      </c>
      <c r="I47" s="2">
        <f t="shared" si="16"/>
        <v>2.3402747662906731E-2</v>
      </c>
      <c r="J47" s="2">
        <f t="shared" si="17"/>
        <v>2.4750425630418193E-2</v>
      </c>
    </row>
    <row r="48" spans="6:10" x14ac:dyDescent="0.35">
      <c r="F48" s="2">
        <f t="shared" si="14"/>
        <v>0.43000000000000022</v>
      </c>
      <c r="G48" s="2">
        <f t="shared" si="1"/>
        <v>0.16806776711488641</v>
      </c>
      <c r="H48" s="2">
        <f t="shared" si="15"/>
        <v>2.5054223223492402E-2</v>
      </c>
      <c r="I48" s="2">
        <f t="shared" si="16"/>
        <v>2.5048351231140797E-2</v>
      </c>
      <c r="J48" s="2">
        <f t="shared" si="17"/>
        <v>2.3442630205154934E-2</v>
      </c>
    </row>
    <row r="49" spans="6:10" x14ac:dyDescent="0.35">
      <c r="F49" s="2">
        <f t="shared" si="14"/>
        <v>0.44000000000000022</v>
      </c>
      <c r="G49" s="2">
        <f t="shared" si="1"/>
        <v>0.17515992199938507</v>
      </c>
      <c r="H49" s="2">
        <f t="shared" si="15"/>
        <v>2.6770361669063762E-2</v>
      </c>
      <c r="I49" s="2">
        <f t="shared" si="16"/>
        <v>2.6764413938346165E-2</v>
      </c>
      <c r="J49" s="2">
        <f t="shared" si="17"/>
        <v>2.222253299212076E-2</v>
      </c>
    </row>
    <row r="50" spans="6:10" x14ac:dyDescent="0.35">
      <c r="F50" s="2">
        <f t="shared" si="14"/>
        <v>0.45000000000000023</v>
      </c>
      <c r="G50" s="2">
        <f t="shared" si="1"/>
        <v>0.18234053822641724</v>
      </c>
      <c r="H50" s="2">
        <f t="shared" si="15"/>
        <v>2.8557863970192776E-2</v>
      </c>
      <c r="I50" s="2">
        <f t="shared" si="16"/>
        <v>2.8551844552472949E-2</v>
      </c>
      <c r="J50" s="2">
        <f t="shared" si="17"/>
        <v>2.1082412762385223E-2</v>
      </c>
    </row>
    <row r="51" spans="6:10" x14ac:dyDescent="0.35">
      <c r="F51" s="2">
        <f t="shared" si="14"/>
        <v>0.46000000000000024</v>
      </c>
      <c r="G51" s="2">
        <f t="shared" si="1"/>
        <v>0.18960470847640135</v>
      </c>
      <c r="H51" s="2">
        <f t="shared" si="15"/>
        <v>3.0417590203706872E-2</v>
      </c>
      <c r="I51" s="2">
        <f t="shared" si="16"/>
        <v>3.041150322634778E-2</v>
      </c>
      <c r="J51" s="2">
        <f t="shared" si="17"/>
        <v>2.0015378108038582E-2</v>
      </c>
    </row>
    <row r="52" spans="6:10" x14ac:dyDescent="0.35">
      <c r="F52" s="2">
        <f t="shared" si="14"/>
        <v>0.47000000000000025</v>
      </c>
      <c r="G52" s="2">
        <f t="shared" si="1"/>
        <v>0.19694743486234836</v>
      </c>
      <c r="H52" s="2">
        <f t="shared" si="15"/>
        <v>3.2350350920400624E-2</v>
      </c>
      <c r="I52" s="2">
        <f t="shared" si="16"/>
        <v>3.2344200585708971E-2</v>
      </c>
      <c r="J52" s="2">
        <f t="shared" si="17"/>
        <v>1.9015262644550401E-2</v>
      </c>
    </row>
    <row r="53" spans="6:10" x14ac:dyDescent="0.35">
      <c r="F53" s="2">
        <f t="shared" si="14"/>
        <v>0.48000000000000026</v>
      </c>
      <c r="G53" s="2">
        <f t="shared" si="1"/>
        <v>0.20436363020834725</v>
      </c>
      <c r="H53" s="2">
        <f t="shared" si="15"/>
        <v>3.4356906245754104E-2</v>
      </c>
      <c r="I53" s="2">
        <f t="shared" si="16"/>
        <v>3.435069682990477E-2</v>
      </c>
      <c r="J53" s="2">
        <f t="shared" si="17"/>
        <v>1.807653533225697E-2</v>
      </c>
    </row>
    <row r="54" spans="6:10" x14ac:dyDescent="0.35">
      <c r="F54" s="2">
        <f t="shared" si="14"/>
        <v>0.49000000000000027</v>
      </c>
      <c r="G54" s="2">
        <f t="shared" si="1"/>
        <v>0.21184811935229036</v>
      </c>
      <c r="H54" s="2">
        <f t="shared" si="15"/>
        <v>3.6437964993557295E-2</v>
      </c>
      <c r="I54" s="2">
        <f t="shared" si="16"/>
        <v>3.6431700845498072E-2</v>
      </c>
      <c r="J54" s="2">
        <f t="shared" si="17"/>
        <v>1.7194223475288432E-2</v>
      </c>
    </row>
    <row r="55" spans="6:10" x14ac:dyDescent="0.35">
      <c r="F55" s="2">
        <f t="shared" si="14"/>
        <v>0.50000000000000022</v>
      </c>
      <c r="G55" s="2">
        <f t="shared" si="1"/>
        <v>0.21939564047259336</v>
      </c>
      <c r="H55" s="2">
        <f t="shared" si="15"/>
        <v>3.8594183792681702E-2</v>
      </c>
      <c r="I55" s="2">
        <f t="shared" si="16"/>
        <v>3.858786933301761E-2</v>
      </c>
      <c r="J55" s="2">
        <f t="shared" si="17"/>
        <v>1.6363846393272822E-2</v>
      </c>
    </row>
    <row r="56" spans="6:10" x14ac:dyDescent="0.35">
      <c r="F56" s="2">
        <f t="shared" si="14"/>
        <v>0.51000000000000023</v>
      </c>
      <c r="G56" s="2">
        <f t="shared" si="1"/>
        <v>0.22700084643866009</v>
      </c>
      <c r="H56" s="2">
        <f t="shared" si="15"/>
        <v>4.0826166227237969E-2</v>
      </c>
      <c r="I56" s="2">
        <f t="shared" si="16"/>
        <v>4.0819805947095666E-2</v>
      </c>
      <c r="J56" s="2">
        <f t="shared" si="17"/>
        <v>1.5581358104801683E-2</v>
      </c>
    </row>
    <row r="57" spans="6:10" x14ac:dyDescent="0.35">
      <c r="F57" s="2">
        <f t="shared" si="14"/>
        <v>0.52000000000000024</v>
      </c>
      <c r="G57" s="2">
        <f t="shared" si="1"/>
        <v>0.23465830618483671</v>
      </c>
      <c r="H57" s="2">
        <f t="shared" si="15"/>
        <v>4.3134461990355456E-2</v>
      </c>
      <c r="I57" s="2">
        <f t="shared" si="16"/>
        <v>4.3128060450228878E-2</v>
      </c>
      <c r="J57" s="2">
        <f t="shared" si="17"/>
        <v>1.484309764860881E-2</v>
      </c>
    </row>
    <row r="58" spans="6:10" x14ac:dyDescent="0.35">
      <c r="F58" s="2">
        <f t="shared" si="14"/>
        <v>0.53000000000000025</v>
      </c>
      <c r="G58" s="2">
        <f t="shared" si="1"/>
        <v>0.24236250610759658</v>
      </c>
      <c r="H58" s="2">
        <f t="shared" si="15"/>
        <v>4.5519566051817624E-2</v>
      </c>
      <c r="I58" s="2">
        <f t="shared" si="16"/>
        <v>4.5513127880394411E-2</v>
      </c>
      <c r="J58" s="2">
        <f t="shared" si="17"/>
        <v>1.4145745904637679E-2</v>
      </c>
    </row>
    <row r="59" spans="6:10" x14ac:dyDescent="0.35">
      <c r="F59" s="2">
        <f t="shared" si="14"/>
        <v>0.54000000000000026</v>
      </c>
      <c r="G59" s="2">
        <f t="shared" si="1"/>
        <v>0.25010785148569137</v>
      </c>
      <c r="H59" s="2">
        <f t="shared" si="15"/>
        <v>4.7981917839784068E-2</v>
      </c>
      <c r="I59" s="2">
        <f t="shared" si="16"/>
        <v>4.7975447732751753E-2</v>
      </c>
      <c r="J59" s="2">
        <f t="shared" si="17"/>
        <v>1.3486287962036143E-2</v>
      </c>
    </row>
    <row r="60" spans="6:10" x14ac:dyDescent="0.35">
      <c r="F60" s="2">
        <f t="shared" si="14"/>
        <v>0.55000000000000027</v>
      </c>
      <c r="G60" s="2">
        <f t="shared" si="1"/>
        <v>0.25788866792300069</v>
      </c>
      <c r="H60" s="2">
        <f t="shared" si="15"/>
        <v>5.0521900436827527E-2</v>
      </c>
      <c r="I60" s="2">
        <f t="shared" si="16"/>
        <v>5.0515403155662275E-2</v>
      </c>
      <c r="J60" s="2">
        <f t="shared" si="17"/>
        <v>1.286198022656712E-2</v>
      </c>
    </row>
    <row r="61" spans="6:10" x14ac:dyDescent="0.35">
      <c r="F61" s="2">
        <f t="shared" si="14"/>
        <v>0.56000000000000028</v>
      </c>
      <c r="G61" s="2">
        <f t="shared" si="1"/>
        <v>0.26569920281380754</v>
      </c>
      <c r="H61" s="2">
        <f t="shared" si="15"/>
        <v>5.3139839790511567E-2</v>
      </c>
      <c r="I61" s="2">
        <f t="shared" si="16"/>
        <v>5.3133320161248498E-2</v>
      </c>
      <c r="J61" s="2">
        <f t="shared" si="17"/>
        <v>1.2270321604753845E-2</v>
      </c>
    </row>
    <row r="62" spans="6:10" x14ac:dyDescent="0.35">
      <c r="F62" s="2">
        <f t="shared" si="14"/>
        <v>0.57000000000000028</v>
      </c>
      <c r="G62" s="2">
        <f t="shared" si="1"/>
        <v>0.27353362683022131</v>
      </c>
      <c r="H62" s="2">
        <f t="shared" si="15"/>
        <v>5.5836003938731713E-2</v>
      </c>
      <c r="I62" s="2">
        <f t="shared" si="16"/>
        <v>5.5829466850714549E-2</v>
      </c>
      <c r="J62" s="2">
        <f t="shared" si="17"/>
        <v>1.170902819946997E-2</v>
      </c>
    </row>
    <row r="63" spans="6:10" x14ac:dyDescent="0.35">
      <c r="F63" s="2">
        <f t="shared" si="14"/>
        <v>0.58000000000000029</v>
      </c>
      <c r="G63" s="2">
        <f t="shared" si="1"/>
        <v>0.28138603543146917</v>
      </c>
      <c r="H63" s="2">
        <f t="shared" si="15"/>
        <v>5.8610602250040167E-2</v>
      </c>
      <c r="I63" s="2">
        <f t="shared" si="16"/>
        <v>5.860405265465618E-2</v>
      </c>
      <c r="J63" s="2">
        <f t="shared" si="17"/>
        <v>1.1176011021937951E-2</v>
      </c>
    </row>
    <row r="64" spans="6:10" x14ac:dyDescent="0.35">
      <c r="F64" s="2">
        <f t="shared" si="14"/>
        <v>0.5900000000000003</v>
      </c>
      <c r="G64" s="2">
        <f t="shared" si="1"/>
        <v>0.28925045039476716</v>
      </c>
      <c r="H64" s="2">
        <f t="shared" si="15"/>
        <v>6.1463784679171352E-2</v>
      </c>
      <c r="I64" s="2">
        <f t="shared" si="16"/>
        <v>6.1457227588565533E-2</v>
      </c>
      <c r="J64" s="2">
        <f t="shared" si="17"/>
        <v>1.066935633627371E-2</v>
      </c>
    </row>
    <row r="65" spans="6:10" x14ac:dyDescent="0.35">
      <c r="F65" s="2">
        <f t="shared" si="14"/>
        <v>0.60000000000000031</v>
      </c>
      <c r="G65" s="2">
        <f t="shared" si="1"/>
        <v>0.29712082136748441</v>
      </c>
      <c r="H65" s="2">
        <f t="shared" si="15"/>
        <v>6.4395641037982607E-2</v>
      </c>
      <c r="I65" s="2">
        <f t="shared" si="16"/>
        <v>6.4389081523756109E-2</v>
      </c>
      <c r="J65" s="2">
        <f t="shared" si="17"/>
        <v>1.0187308269147793E-2</v>
      </c>
    </row>
    <row r="66" spans="6:10" x14ac:dyDescent="0.35">
      <c r="F66" s="2">
        <f t="shared" si="14"/>
        <v>0.61000000000000032</v>
      </c>
      <c r="G66" s="2">
        <f t="shared" si="1"/>
        <v>0.30499102744030315</v>
      </c>
      <c r="H66" s="2">
        <f t="shared" si="15"/>
        <v>6.7406200282021544E-2</v>
      </c>
      <c r="I66" s="2">
        <f t="shared" si="16"/>
        <v>6.7399643473911697E-2</v>
      </c>
      <c r="J66" s="2">
        <f t="shared" si="17"/>
        <v>9.7282534029807556E-3</v>
      </c>
    </row>
    <row r="67" spans="6:10" x14ac:dyDescent="0.35">
      <c r="F67" s="2">
        <f t="shared" si="14"/>
        <v>0.62000000000000033</v>
      </c>
      <c r="G67" s="2">
        <f t="shared" si="1"/>
        <v>0.31285487874107831</v>
      </c>
      <c r="H67" s="2">
        <f t="shared" si="15"/>
        <v>7.0495429812928459E-2</v>
      </c>
      <c r="I67" s="2">
        <f t="shared" si="16"/>
        <v>7.0488880897472184E-2</v>
      </c>
      <c r="J67" s="2">
        <f t="shared" si="17"/>
        <v>9.2907070915211418E-3</v>
      </c>
    </row>
    <row r="68" spans="6:10" x14ac:dyDescent="0.35">
      <c r="F68" s="2">
        <f t="shared" si="14"/>
        <v>0.63000000000000034</v>
      </c>
      <c r="G68" s="2">
        <f t="shared" si="1"/>
        <v>0.32070611804909332</v>
      </c>
      <c r="H68" s="2">
        <f t="shared" si="15"/>
        <v>7.3663234796879321E-2</v>
      </c>
      <c r="I68" s="2">
        <f t="shared" si="16"/>
        <v>7.3656699016059091E-2</v>
      </c>
      <c r="J68" s="2">
        <f t="shared" si="17"/>
        <v>8.8733012849311968E-3</v>
      </c>
    </row>
    <row r="69" spans="6:10" x14ac:dyDescent="0.35">
      <c r="F69" s="2">
        <f t="shared" si="14"/>
        <v>0.64000000000000035</v>
      </c>
      <c r="G69" s="2">
        <f t="shared" si="1"/>
        <v>0.32853842242940656</v>
      </c>
      <c r="H69" s="2">
        <f t="shared" si="15"/>
        <v>7.6909457499271819E-2</v>
      </c>
      <c r="I69" s="2">
        <f t="shared" si="16"/>
        <v>7.6902940149146337E-2</v>
      </c>
      <c r="J69" s="2">
        <f t="shared" si="17"/>
        <v>8.4747736729465731E-3</v>
      </c>
    </row>
    <row r="70" spans="6:10" x14ac:dyDescent="0.35">
      <c r="F70" s="2">
        <f t="shared" si="14"/>
        <v>0.65000000000000036</v>
      </c>
      <c r="G70" s="2">
        <f t="shared" ref="G70:G133" si="18">F70^2*COS(F70)</f>
        <v>0.3363454048869764</v>
      </c>
      <c r="H70" s="2">
        <f t="shared" si="15"/>
        <v>8.023387663585374E-2</v>
      </c>
      <c r="I70" s="2">
        <f t="shared" si="16"/>
        <v>8.0227383065170299E-2</v>
      </c>
      <c r="J70" s="2">
        <f t="shared" si="17"/>
        <v>8.0939579920815755E-3</v>
      </c>
    </row>
    <row r="71" spans="6:10" x14ac:dyDescent="0.35">
      <c r="F71" s="2">
        <f t="shared" si="14"/>
        <v>0.66000000000000036</v>
      </c>
      <c r="G71" s="2">
        <f t="shared" si="18"/>
        <v>0.34412061604025251</v>
      </c>
      <c r="H71" s="2">
        <f t="shared" si="15"/>
        <v>8.3636206740489882E-2</v>
      </c>
      <c r="I71" s="2">
        <f t="shared" si="16"/>
        <v>8.3629742349282221E-2</v>
      </c>
      <c r="J71" s="2">
        <f t="shared" si="17"/>
        <v>7.729775347940746E-3</v>
      </c>
    </row>
    <row r="72" spans="6:10" x14ac:dyDescent="0.35">
      <c r="F72" s="2">
        <f t="shared" si="14"/>
        <v>0.67000000000000037</v>
      </c>
      <c r="G72" s="2">
        <f t="shared" si="18"/>
        <v>0.35185754581391354</v>
      </c>
      <c r="H72" s="2">
        <f t="shared" si="15"/>
        <v>8.7116097549760713E-2</v>
      </c>
      <c r="I72" s="2">
        <f t="shared" si="16"/>
        <v>8.7109667787930389E-2</v>
      </c>
      <c r="J72" s="2">
        <f t="shared" si="17"/>
        <v>7.3812264397295447E-3</v>
      </c>
    </row>
    <row r="73" spans="6:10" x14ac:dyDescent="0.35">
      <c r="F73" s="2">
        <f t="shared" si="14"/>
        <v>0.68000000000000038</v>
      </c>
      <c r="G73" s="2">
        <f t="shared" si="18"/>
        <v>0.35954962515042937</v>
      </c>
      <c r="H73" s="2">
        <f t="shared" si="15"/>
        <v>9.0673133404582426E-2</v>
      </c>
      <c r="I73" s="2">
        <f t="shared" si="16"/>
        <v>9.0666743770465019E-2</v>
      </c>
      <c r="J73" s="2">
        <f t="shared" si="17"/>
        <v>7.0473845775062879E-3</v>
      </c>
    </row>
    <row r="74" spans="6:10" x14ac:dyDescent="0.35">
      <c r="F74" s="2">
        <f t="shared" si="14"/>
        <v>0.69000000000000039</v>
      </c>
      <c r="G74" s="2">
        <f t="shared" si="18"/>
        <v>0.36719022774012272</v>
      </c>
      <c r="H74" s="2">
        <f t="shared" si="15"/>
        <v>9.4306832669035195E-2</v>
      </c>
      <c r="I74" s="2">
        <f t="shared" si="16"/>
        <v>9.4300488707950381E-2</v>
      </c>
      <c r="J74" s="2">
        <f t="shared" si="17"/>
        <v>6.7273894035291227E-3</v>
      </c>
    </row>
    <row r="75" spans="6:10" x14ac:dyDescent="0.35">
      <c r="F75" s="2">
        <f t="shared" si="14"/>
        <v>0.7000000000000004</v>
      </c>
      <c r="G75" s="2">
        <f t="shared" si="18"/>
        <v>0.3747726717693996</v>
      </c>
      <c r="H75" s="2">
        <f t="shared" si="15"/>
        <v>9.8016647166582815E-2</v>
      </c>
      <c r="I75" s="2">
        <f t="shared" si="16"/>
        <v>9.8010354469370453E-2</v>
      </c>
      <c r="J75" s="2">
        <f t="shared" si="17"/>
        <v>6.420441234429781E-3</v>
      </c>
    </row>
    <row r="76" spans="6:10" x14ac:dyDescent="0.35">
      <c r="F76" s="2">
        <f t="shared" si="14"/>
        <v>0.71000000000000041</v>
      </c>
      <c r="G76" s="2">
        <f t="shared" si="18"/>
        <v>0.38229022168681542</v>
      </c>
      <c r="H76" s="2">
        <f t="shared" si="15"/>
        <v>0.10180196163386389</v>
      </c>
      <c r="I76" s="2">
        <f t="shared" si="16"/>
        <v>0.10179572583540519</v>
      </c>
      <c r="J76" s="2">
        <f t="shared" si="17"/>
        <v>6.1257959580523101E-3</v>
      </c>
    </row>
    <row r="77" spans="6:10" x14ac:dyDescent="0.35">
      <c r="F77" s="2">
        <f t="shared" si="14"/>
        <v>0.72000000000000042</v>
      </c>
      <c r="G77" s="2">
        <f t="shared" si="18"/>
        <v>0.38973608998664028</v>
      </c>
      <c r="H77" s="2">
        <f t="shared" si="15"/>
        <v>0.10566209319223117</v>
      </c>
      <c r="I77" s="2">
        <f t="shared" si="16"/>
        <v>0.10565591996995449</v>
      </c>
      <c r="J77" s="2">
        <f t="shared" si="17"/>
        <v>5.8427604231138823E-3</v>
      </c>
    </row>
    <row r="78" spans="6:10" x14ac:dyDescent="0.35">
      <c r="F78" s="2">
        <f t="shared" si="14"/>
        <v>0.73000000000000043</v>
      </c>
      <c r="G78" s="2">
        <f t="shared" si="18"/>
        <v>0.39710343900958173</v>
      </c>
      <c r="H78" s="2">
        <f t="shared" si="15"/>
        <v>0.10959629083721228</v>
      </c>
      <c r="I78" s="2">
        <f t="shared" si="16"/>
        <v>0.10959018590958569</v>
      </c>
      <c r="J78" s="2">
        <f t="shared" si="17"/>
        <v>5.5706882654895078E-3</v>
      </c>
    </row>
    <row r="79" spans="6:10" x14ac:dyDescent="0.35">
      <c r="F79" s="2">
        <f t="shared" si="14"/>
        <v>0.74000000000000044</v>
      </c>
      <c r="G79" s="2">
        <f t="shared" si="18"/>
        <v>0.40438538276032265</v>
      </c>
      <c r="H79" s="2">
        <f t="shared" si="15"/>
        <v>0.11360373494606181</v>
      </c>
      <c r="I79" s="2">
        <f t="shared" si="16"/>
        <v>0.11359770407107228</v>
      </c>
      <c r="J79" s="2">
        <f t="shared" si="17"/>
        <v>5.3089761266267819E-3</v>
      </c>
    </row>
    <row r="80" spans="6:10" x14ac:dyDescent="0.35">
      <c r="F80" s="2">
        <f t="shared" si="14"/>
        <v>0.75000000000000044</v>
      </c>
      <c r="G80" s="2">
        <f t="shared" si="18"/>
        <v>0.41157498874152454</v>
      </c>
      <c r="H80" s="2">
        <f t="shared" si="15"/>
        <v>0.11768353680357105</v>
      </c>
      <c r="I80" s="2">
        <f t="shared" si="16"/>
        <v>0.11767758577718868</v>
      </c>
      <c r="J80" s="2">
        <f t="shared" si="17"/>
        <v>5.0570602235503461E-3</v>
      </c>
    </row>
    <row r="81" spans="6:10" x14ac:dyDescent="0.35">
      <c r="F81" s="2">
        <f t="shared" si="14"/>
        <v>0.76000000000000045</v>
      </c>
      <c r="G81" s="2">
        <f t="shared" si="18"/>
        <v>0.41866527980394713</v>
      </c>
      <c r="H81" s="2">
        <f t="shared" si="15"/>
        <v>0.12183473814629842</v>
      </c>
      <c r="I81" s="2">
        <f t="shared" si="16"/>
        <v>0.12182887280092791</v>
      </c>
      <c r="J81" s="2">
        <f t="shared" si="17"/>
        <v>4.814413230341476E-3</v>
      </c>
    </row>
    <row r="82" spans="6:10" x14ac:dyDescent="0.35">
      <c r="F82" s="2">
        <f t="shared" si="14"/>
        <v>0.77000000000000046</v>
      </c>
      <c r="G82" s="2">
        <f t="shared" si="18"/>
        <v>0.42564923601232868</v>
      </c>
      <c r="H82" s="2">
        <f t="shared" si="15"/>
        <v>0.12605631072537979</v>
      </c>
      <c r="I82" s="2">
        <f t="shared" si="16"/>
        <v>0.12605053692829948</v>
      </c>
      <c r="J82" s="2">
        <f t="shared" si="17"/>
        <v>4.5805414407630749E-3</v>
      </c>
    </row>
    <row r="83" spans="6:10" x14ac:dyDescent="0.35">
      <c r="F83" s="2">
        <f t="shared" si="14"/>
        <v>0.78000000000000047</v>
      </c>
      <c r="G83" s="2">
        <f t="shared" si="18"/>
        <v>0.43251979652666989</v>
      </c>
      <c r="H83" s="2">
        <f t="shared" si="15"/>
        <v>0.13034715588807477</v>
      </c>
      <c r="I83" s="2">
        <f t="shared" si="16"/>
        <v>0.13034147953986219</v>
      </c>
      <c r="J83" s="2">
        <f t="shared" si="17"/>
        <v>4.354982184197091E-3</v>
      </c>
    </row>
    <row r="84" spans="6:10" x14ac:dyDescent="0.35">
      <c r="F84" s="2">
        <f t="shared" si="14"/>
        <v>0.79000000000000048</v>
      </c>
      <c r="G84" s="2">
        <f t="shared" si="18"/>
        <v>0.43926986149856084</v>
      </c>
      <c r="H84" s="2">
        <f t="shared" si="15"/>
        <v>0.13470610417820092</v>
      </c>
      <c r="I84" s="2">
        <f t="shared" si="16"/>
        <v>0.13470053121114656</v>
      </c>
      <c r="J84" s="2">
        <f t="shared" si="17"/>
        <v>4.1373014673763454E-3</v>
      </c>
    </row>
    <row r="85" spans="6:10" x14ac:dyDescent="0.35">
      <c r="F85" s="2">
        <f t="shared" si="14"/>
        <v>0.80000000000000049</v>
      </c>
      <c r="G85" s="2">
        <f t="shared" si="18"/>
        <v>0.44589229398218616</v>
      </c>
      <c r="H85" s="2">
        <f t="shared" si="15"/>
        <v>0.13913191495560465</v>
      </c>
      <c r="I85" s="2">
        <f t="shared" si="16"/>
        <v>0.13912645133211388</v>
      </c>
      <c r="J85" s="2">
        <f t="shared" si="17"/>
        <v>3.9270918207549924E-3</v>
      </c>
    </row>
    <row r="86" spans="6:10" x14ac:dyDescent="0.35">
      <c r="F86" s="2">
        <f t="shared" si="14"/>
        <v>0.8100000000000005</v>
      </c>
      <c r="G86" s="2">
        <f t="shared" si="18"/>
        <v>0.45237992185964149</v>
      </c>
      <c r="H86" s="2">
        <f t="shared" si="15"/>
        <v>0.14362327603481378</v>
      </c>
      <c r="I86" s="2">
        <f t="shared" si="16"/>
        <v>0.14361792774579574</v>
      </c>
      <c r="J86" s="2">
        <f t="shared" si="17"/>
        <v>3.7239703301626369E-3</v>
      </c>
    </row>
    <row r="87" spans="6:10" x14ac:dyDescent="0.35">
      <c r="F87" s="2">
        <f t="shared" si="14"/>
        <v>0.82000000000000051</v>
      </c>
      <c r="G87" s="2">
        <f t="shared" si="18"/>
        <v>0.45872553978019159</v>
      </c>
      <c r="H87" s="2">
        <f t="shared" si="15"/>
        <v>0.14817880334301295</v>
      </c>
      <c r="I87" s="2">
        <f t="shared" si="16"/>
        <v>0.14817357640625939</v>
      </c>
      <c r="J87" s="2">
        <f t="shared" si="17"/>
        <v>3.5275768327475351E-3</v>
      </c>
    </row>
    <row r="88" spans="6:10" x14ac:dyDescent="0.35">
      <c r="F88" s="2">
        <f t="shared" si="14"/>
        <v>0.83000000000000052</v>
      </c>
      <c r="G88" s="2">
        <f t="shared" si="18"/>
        <v>0.46492191111309622</v>
      </c>
      <c r="H88" s="2">
        <f t="shared" si="15"/>
        <v>0.15279704059747939</v>
      </c>
      <c r="I88" s="2">
        <f t="shared" si="16"/>
        <v>0.15279194105603144</v>
      </c>
      <c r="J88" s="2">
        <f t="shared" si="17"/>
        <v>3.3375722650714609E-3</v>
      </c>
    </row>
    <row r="89" spans="6:10" x14ac:dyDescent="0.35">
      <c r="F89" s="2">
        <f t="shared" si="14"/>
        <v>0.84000000000000052</v>
      </c>
      <c r="G89" s="2">
        <f t="shared" si="18"/>
        <v>0.47096176991362737</v>
      </c>
      <c r="H89" s="2">
        <f t="shared" si="15"/>
        <v>0.15747645900261301</v>
      </c>
      <c r="I89" s="2">
        <f t="shared" si="16"/>
        <v>0.15747149292311768</v>
      </c>
      <c r="J89" s="2">
        <f t="shared" si="17"/>
        <v>3.153637146087589E-3</v>
      </c>
    </row>
    <row r="90" spans="6:10" x14ac:dyDescent="0.35">
      <c r="F90" s="2">
        <f t="shared" si="14"/>
        <v>0.85000000000000053</v>
      </c>
      <c r="G90" s="2">
        <f t="shared" si="18"/>
        <v>0.47683782290189991</v>
      </c>
      <c r="H90" s="2">
        <f t="shared" si="15"/>
        <v>0.16221545696669065</v>
      </c>
      <c r="I90" s="2">
        <f t="shared" si="16"/>
        <v>0.16221063043774619</v>
      </c>
      <c r="J90" s="2">
        <f t="shared" si="17"/>
        <v>2.975470184310432E-3</v>
      </c>
    </row>
    <row r="91" spans="6:10" x14ac:dyDescent="0.35">
      <c r="F91" s="2">
        <f t="shared" ref="F91:F154" si="19">$G$1+F90</f>
        <v>0.86000000000000054</v>
      </c>
      <c r="G91" s="2">
        <f t="shared" si="18"/>
        <v>0.48254275145413306</v>
      </c>
      <c r="H91" s="2">
        <f t="shared" ref="H91:H154" si="20">(F91-F90)/2*(G90+G91)+H90</f>
        <v>0.16701235983847082</v>
      </c>
      <c r="I91" s="2">
        <f t="shared" ref="I91:I154" si="21">2*F91*COS(F91)+(F91^2-2)*SIN(F91)</f>
        <v>0.1670076789689624</v>
      </c>
      <c r="J91" s="2">
        <f t="shared" ref="J91:J154" si="22">ABS(I91-H91)/I91*100</f>
        <v>2.8027869959719254E-3</v>
      </c>
    </row>
    <row r="92" spans="6:10" x14ac:dyDescent="0.35">
      <c r="F92" s="2">
        <f t="shared" si="19"/>
        <v>0.87000000000000055</v>
      </c>
      <c r="G92" s="2">
        <f t="shared" si="18"/>
        <v>0.48806921360595718</v>
      </c>
      <c r="H92" s="2">
        <f t="shared" si="20"/>
        <v>0.17186541966377128</v>
      </c>
      <c r="I92" s="2">
        <f t="shared" si="21"/>
        <v>0.17186089058119691</v>
      </c>
      <c r="J92" s="2">
        <f t="shared" si="22"/>
        <v>2.6353189251206222E-3</v>
      </c>
    </row>
    <row r="93" spans="6:10" x14ac:dyDescent="0.35">
      <c r="F93" s="2">
        <f t="shared" si="19"/>
        <v>0.88000000000000056</v>
      </c>
      <c r="G93" s="2">
        <f t="shared" si="18"/>
        <v>0.49340984606738081</v>
      </c>
      <c r="H93" s="2">
        <f t="shared" si="20"/>
        <v>0.17677281496213798</v>
      </c>
      <c r="I93" s="2">
        <f t="shared" si="21"/>
        <v>0.1767684438109246</v>
      </c>
      <c r="J93" s="2">
        <f t="shared" si="22"/>
        <v>2.4728119562186365E-3</v>
      </c>
    </row>
    <row r="94" spans="6:10" x14ac:dyDescent="0.35">
      <c r="F94" s="2">
        <f t="shared" si="19"/>
        <v>0.89000000000000057</v>
      </c>
      <c r="G94" s="2">
        <f t="shared" si="18"/>
        <v>0.49855726624902558</v>
      </c>
      <c r="H94" s="2">
        <f t="shared" si="20"/>
        <v>0.18173265052372001</v>
      </c>
      <c r="I94" s="2">
        <f t="shared" si="21"/>
        <v>0.18172844346353001</v>
      </c>
      <c r="J94" s="2">
        <f t="shared" si="22"/>
        <v>2.3150257107893164E-3</v>
      </c>
    </row>
    <row r="95" spans="6:10" x14ac:dyDescent="0.35">
      <c r="F95" s="2">
        <f t="shared" si="19"/>
        <v>0.90000000000000058</v>
      </c>
      <c r="G95" s="2">
        <f t="shared" si="18"/>
        <v>0.50350407429923849</v>
      </c>
      <c r="H95" s="2">
        <f t="shared" si="20"/>
        <v>0.18674295722646134</v>
      </c>
      <c r="I95" s="2">
        <f t="shared" si="21"/>
        <v>0.18673892043049123</v>
      </c>
      <c r="J95" s="2">
        <f t="shared" si="22"/>
        <v>2.1617325198207901E-3</v>
      </c>
    </row>
    <row r="96" spans="6:10" x14ac:dyDescent="0.35">
      <c r="F96" s="2">
        <f t="shared" si="19"/>
        <v>0.91000000000000059</v>
      </c>
      <c r="G96" s="2">
        <f t="shared" si="18"/>
        <v>0.5082428551516851</v>
      </c>
      <c r="H96" s="2">
        <f t="shared" si="20"/>
        <v>0.19180169187371596</v>
      </c>
      <c r="I96" s="2">
        <f t="shared" si="21"/>
        <v>0.19179783152698437</v>
      </c>
      <c r="J96" s="2">
        <f t="shared" si="22"/>
        <v>2.0127165676735977E-3</v>
      </c>
    </row>
    <row r="97" spans="6:10" x14ac:dyDescent="0.35">
      <c r="F97" s="2">
        <f t="shared" si="19"/>
        <v>0.9200000000000006</v>
      </c>
      <c r="G97" s="2">
        <f t="shared" si="18"/>
        <v>0.51276618058302714</v>
      </c>
      <c r="H97" s="2">
        <f t="shared" si="20"/>
        <v>0.19690673705238954</v>
      </c>
      <c r="I97" s="2">
        <f t="shared" si="21"/>
        <v>0.19690305935001995</v>
      </c>
      <c r="J97" s="2">
        <f t="shared" si="22"/>
        <v>1.8677730969375471E-3</v>
      </c>
    </row>
    <row r="98" spans="6:10" x14ac:dyDescent="0.35">
      <c r="F98" s="2">
        <f t="shared" si="19"/>
        <v>0.9300000000000006</v>
      </c>
      <c r="G98" s="2">
        <f t="shared" si="18"/>
        <v>0.51706661128028453</v>
      </c>
      <c r="H98" s="2">
        <f t="shared" si="20"/>
        <v>0.20205590101170609</v>
      </c>
      <c r="I98" s="2">
        <f t="shared" si="21"/>
        <v>0.2020524121571996</v>
      </c>
      <c r="J98" s="2">
        <f t="shared" si="22"/>
        <v>1.7267076741330379E-3</v>
      </c>
    </row>
    <row r="99" spans="6:10" x14ac:dyDescent="0.35">
      <c r="F99" s="2">
        <f t="shared" si="19"/>
        <v>0.94000000000000061</v>
      </c>
      <c r="G99" s="2">
        <f t="shared" si="18"/>
        <v>0.5211366989174786</v>
      </c>
      <c r="H99" s="2">
        <f t="shared" si="20"/>
        <v>0.20724691756269492</v>
      </c>
      <c r="I99" s="2">
        <f t="shared" si="21"/>
        <v>0.20724362376619543</v>
      </c>
      <c r="J99" s="2">
        <f t="shared" si="22"/>
        <v>1.589335507474399E-3</v>
      </c>
    </row>
    <row r="100" spans="6:10" x14ac:dyDescent="0.35">
      <c r="F100" s="2">
        <f t="shared" si="19"/>
        <v>0.95000000000000062</v>
      </c>
      <c r="G100" s="2">
        <f t="shared" si="18"/>
        <v>0.52496898824115512</v>
      </c>
      <c r="H100" s="2">
        <f t="shared" si="20"/>
        <v>0.21247744599848808</v>
      </c>
      <c r="I100" s="2">
        <f t="shared" si="21"/>
        <v>0.2124743534750414</v>
      </c>
      <c r="J100" s="2">
        <f t="shared" si="22"/>
        <v>1.4554808126752332E-3</v>
      </c>
    </row>
    <row r="101" spans="6:10" x14ac:dyDescent="0.35">
      <c r="F101" s="2">
        <f t="shared" si="19"/>
        <v>0.96000000000000063</v>
      </c>
      <c r="G101" s="2">
        <f t="shared" si="18"/>
        <v>0.52855601916437622</v>
      </c>
      <c r="H101" s="2">
        <f t="shared" si="20"/>
        <v>0.21774507103551574</v>
      </c>
      <c r="I101" s="2">
        <f t="shared" si="21"/>
        <v>0.21774218600332063</v>
      </c>
      <c r="J101" s="2">
        <f t="shared" si="22"/>
        <v>1.3249762244380672E-3</v>
      </c>
    </row>
    <row r="102" spans="6:10" x14ac:dyDescent="0.35">
      <c r="F102" s="2">
        <f t="shared" si="19"/>
        <v>0.97000000000000064</v>
      </c>
      <c r="G102" s="2">
        <f t="shared" si="18"/>
        <v>0.53189032886877763</v>
      </c>
      <c r="H102" s="2">
        <f t="shared" si="20"/>
        <v>0.22304730277568152</v>
      </c>
      <c r="I102" s="2">
        <f t="shared" si="21"/>
        <v>0.2230446314543354</v>
      </c>
      <c r="J102" s="2">
        <f t="shared" si="22"/>
        <v>1.1976622475546688E-3</v>
      </c>
    </row>
    <row r="103" spans="6:10" x14ac:dyDescent="0.35">
      <c r="F103" s="2">
        <f t="shared" si="19"/>
        <v>0.98000000000000065</v>
      </c>
      <c r="G103" s="2">
        <f t="shared" si="18"/>
        <v>0.53496445391427527</v>
      </c>
      <c r="H103" s="2">
        <f t="shared" si="20"/>
        <v>0.2283815766895968</v>
      </c>
      <c r="I103" s="2">
        <f t="shared" si="21"/>
        <v>0.22837912529833371</v>
      </c>
      <c r="J103" s="2">
        <f t="shared" si="22"/>
        <v>1.0733867466606818E-3</v>
      </c>
    </row>
    <row r="104" spans="6:10" x14ac:dyDescent="0.35">
      <c r="F104" s="2">
        <f t="shared" si="19"/>
        <v>0.99000000000000066</v>
      </c>
      <c r="G104" s="2">
        <f t="shared" si="18"/>
        <v>0.53777093235601414</v>
      </c>
      <c r="H104" s="2">
        <f t="shared" si="20"/>
        <v>0.23374525362094825</v>
      </c>
      <c r="I104" s="2">
        <f t="shared" si="21"/>
        <v>0.23374302837687277</v>
      </c>
      <c r="J104" s="2">
        <f t="shared" si="22"/>
        <v>9.5200446872314602E-4</v>
      </c>
    </row>
    <row r="105" spans="6:10" x14ac:dyDescent="0.35">
      <c r="F105" s="2">
        <f t="shared" si="19"/>
        <v>1.0000000000000007</v>
      </c>
      <c r="G105" s="2">
        <f t="shared" si="18"/>
        <v>0.54030230586813988</v>
      </c>
      <c r="H105" s="2">
        <f t="shared" si="20"/>
        <v>0.23913561981206902</v>
      </c>
      <c r="I105" s="2">
        <f t="shared" si="21"/>
        <v>0.23913362692838336</v>
      </c>
      <c r="J105" s="2">
        <f t="shared" si="22"/>
        <v>8.333765983717039E-4</v>
      </c>
    </row>
    <row r="106" spans="6:10" x14ac:dyDescent="0.35">
      <c r="F106" s="2"/>
      <c r="G106" s="2"/>
      <c r="H106" s="2"/>
      <c r="I106" s="2"/>
      <c r="J106" s="2"/>
    </row>
    <row r="107" spans="6:10" x14ac:dyDescent="0.35">
      <c r="F107" s="2"/>
      <c r="G107" s="2"/>
      <c r="H107" s="2"/>
      <c r="I107" s="2"/>
      <c r="J107" s="2"/>
    </row>
    <row r="108" spans="6:10" x14ac:dyDescent="0.35">
      <c r="F108" s="2"/>
      <c r="G108" s="2"/>
      <c r="H108" s="2"/>
      <c r="I108" s="2"/>
      <c r="J108" s="2"/>
    </row>
    <row r="109" spans="6:10" x14ac:dyDescent="0.35">
      <c r="F109" s="2"/>
      <c r="G109" s="2"/>
      <c r="H109" s="2"/>
      <c r="I109" s="2"/>
      <c r="J109" s="2"/>
    </row>
    <row r="110" spans="6:10" x14ac:dyDescent="0.35">
      <c r="F110" s="2"/>
      <c r="G110" s="2"/>
      <c r="H110" s="2"/>
      <c r="I110" s="2"/>
      <c r="J110" s="2"/>
    </row>
    <row r="111" spans="6:10" x14ac:dyDescent="0.35">
      <c r="F111" s="2"/>
      <c r="G111" s="2"/>
      <c r="H111" s="2"/>
      <c r="I111" s="2"/>
      <c r="J111" s="2"/>
    </row>
    <row r="112" spans="6:10" x14ac:dyDescent="0.35">
      <c r="F112" s="2"/>
      <c r="G112" s="2"/>
      <c r="H112" s="2"/>
      <c r="I112" s="2"/>
      <c r="J112" s="2"/>
    </row>
    <row r="113" spans="6:10" x14ac:dyDescent="0.35">
      <c r="F113" s="2"/>
      <c r="G113" s="2"/>
      <c r="H113" s="2"/>
      <c r="I113" s="2"/>
      <c r="J113" s="2"/>
    </row>
    <row r="114" spans="6:10" x14ac:dyDescent="0.35">
      <c r="F114" s="2"/>
      <c r="G114" s="2"/>
      <c r="H114" s="2"/>
      <c r="I114" s="2"/>
      <c r="J114" s="2"/>
    </row>
    <row r="115" spans="6:10" x14ac:dyDescent="0.35">
      <c r="F115" s="2"/>
      <c r="G115" s="2"/>
      <c r="H115" s="2"/>
      <c r="I115" s="2"/>
      <c r="J115" s="2"/>
    </row>
    <row r="116" spans="6:10" x14ac:dyDescent="0.35">
      <c r="F116" s="2"/>
      <c r="G116" s="2"/>
      <c r="H116" s="2"/>
      <c r="I116" s="2"/>
      <c r="J116" s="2"/>
    </row>
    <row r="117" spans="6:10" x14ac:dyDescent="0.35">
      <c r="F117" s="2"/>
      <c r="G117" s="2"/>
      <c r="H117" s="2"/>
      <c r="I117" s="2"/>
      <c r="J117" s="2"/>
    </row>
    <row r="118" spans="6:10" x14ac:dyDescent="0.35">
      <c r="F118" s="2"/>
      <c r="G118" s="2"/>
      <c r="H118" s="2"/>
      <c r="I118" s="2"/>
      <c r="J118" s="2"/>
    </row>
    <row r="119" spans="6:10" x14ac:dyDescent="0.35">
      <c r="F119" s="2"/>
      <c r="G119" s="2"/>
      <c r="H119" s="2"/>
      <c r="I119" s="2"/>
      <c r="J119" s="2"/>
    </row>
    <row r="120" spans="6:10" x14ac:dyDescent="0.35">
      <c r="F120" s="2"/>
      <c r="G120" s="2"/>
      <c r="H120" s="2"/>
      <c r="I120" s="2"/>
      <c r="J120" s="2"/>
    </row>
    <row r="121" spans="6:10" x14ac:dyDescent="0.35">
      <c r="F121" s="2"/>
      <c r="G121" s="2"/>
      <c r="H121" s="2"/>
      <c r="I121" s="2"/>
      <c r="J121" s="2"/>
    </row>
    <row r="122" spans="6:10" x14ac:dyDescent="0.35">
      <c r="F122" s="2"/>
      <c r="G122" s="2"/>
      <c r="H122" s="2"/>
      <c r="I122" s="2"/>
      <c r="J122" s="2"/>
    </row>
    <row r="123" spans="6:10" x14ac:dyDescent="0.35">
      <c r="F123" s="2"/>
      <c r="G123" s="2"/>
      <c r="H123" s="2"/>
      <c r="I123" s="2"/>
      <c r="J123" s="2"/>
    </row>
    <row r="124" spans="6:10" x14ac:dyDescent="0.35">
      <c r="F124" s="2"/>
      <c r="G124" s="2"/>
      <c r="H124" s="2"/>
      <c r="I124" s="2"/>
      <c r="J124" s="2"/>
    </row>
    <row r="125" spans="6:10" x14ac:dyDescent="0.35">
      <c r="F125" s="2"/>
      <c r="G125" s="2"/>
      <c r="H125" s="2"/>
      <c r="I125" s="2"/>
      <c r="J125" s="2"/>
    </row>
    <row r="126" spans="6:10" x14ac:dyDescent="0.35">
      <c r="F126" s="2"/>
      <c r="G126" s="2"/>
      <c r="H126" s="2"/>
      <c r="I126" s="2"/>
      <c r="J126" s="2"/>
    </row>
    <row r="127" spans="6:10" x14ac:dyDescent="0.35">
      <c r="F127" s="2"/>
      <c r="G127" s="2"/>
      <c r="H127" s="2"/>
      <c r="I127" s="2"/>
      <c r="J127" s="2"/>
    </row>
    <row r="128" spans="6:10" x14ac:dyDescent="0.35">
      <c r="F128" s="2"/>
      <c r="G128" s="2"/>
      <c r="H128" s="2"/>
      <c r="I128" s="2"/>
      <c r="J128" s="2"/>
    </row>
    <row r="129" spans="6:10" x14ac:dyDescent="0.35">
      <c r="F129" s="2"/>
      <c r="G129" s="2"/>
      <c r="H129" s="2"/>
      <c r="I129" s="2"/>
      <c r="J129" s="2"/>
    </row>
    <row r="130" spans="6:10" x14ac:dyDescent="0.35">
      <c r="F130" s="2"/>
      <c r="G130" s="2"/>
      <c r="H130" s="2"/>
      <c r="I130" s="2"/>
      <c r="J130" s="2"/>
    </row>
    <row r="131" spans="6:10" x14ac:dyDescent="0.35">
      <c r="F131" s="2"/>
      <c r="G131" s="2"/>
      <c r="H131" s="2"/>
      <c r="I131" s="2"/>
      <c r="J131" s="2"/>
    </row>
    <row r="132" spans="6:10" x14ac:dyDescent="0.35">
      <c r="F132" s="2"/>
      <c r="G132" s="2"/>
      <c r="H132" s="2"/>
      <c r="I132" s="2"/>
      <c r="J132" s="2"/>
    </row>
    <row r="133" spans="6:10" x14ac:dyDescent="0.35">
      <c r="F133" s="2"/>
      <c r="G133" s="2"/>
      <c r="H133" s="2"/>
      <c r="I133" s="2"/>
      <c r="J133" s="2"/>
    </row>
    <row r="134" spans="6:10" x14ac:dyDescent="0.35">
      <c r="F134" s="2"/>
      <c r="G134" s="2"/>
      <c r="H134" s="2"/>
      <c r="I134" s="2"/>
      <c r="J134" s="2"/>
    </row>
    <row r="135" spans="6:10" x14ac:dyDescent="0.35">
      <c r="F135" s="2"/>
      <c r="G135" s="2"/>
      <c r="H135" s="2"/>
      <c r="I135" s="2"/>
      <c r="J135" s="2"/>
    </row>
    <row r="136" spans="6:10" x14ac:dyDescent="0.35">
      <c r="F136" s="2"/>
      <c r="G136" s="2"/>
      <c r="H136" s="2"/>
      <c r="I136" s="2"/>
      <c r="J136" s="2"/>
    </row>
    <row r="137" spans="6:10" x14ac:dyDescent="0.35">
      <c r="F137" s="2"/>
      <c r="G137" s="2"/>
      <c r="H137" s="2"/>
      <c r="I137" s="2"/>
      <c r="J137" s="2"/>
    </row>
    <row r="138" spans="6:10" x14ac:dyDescent="0.35">
      <c r="F138" s="2"/>
      <c r="G138" s="2"/>
      <c r="H138" s="2"/>
      <c r="I138" s="2"/>
      <c r="J138" s="2"/>
    </row>
    <row r="139" spans="6:10" x14ac:dyDescent="0.35">
      <c r="F139" s="2"/>
      <c r="G139" s="2"/>
      <c r="H139" s="2"/>
      <c r="I139" s="2"/>
      <c r="J139" s="2"/>
    </row>
    <row r="140" spans="6:10" x14ac:dyDescent="0.35">
      <c r="F140" s="2"/>
      <c r="G140" s="2"/>
      <c r="H140" s="2"/>
      <c r="I140" s="2"/>
      <c r="J140" s="2"/>
    </row>
    <row r="141" spans="6:10" x14ac:dyDescent="0.35">
      <c r="F141" s="2"/>
      <c r="G141" s="2"/>
      <c r="H141" s="2"/>
      <c r="I141" s="2"/>
      <c r="J141" s="2"/>
    </row>
    <row r="142" spans="6:10" x14ac:dyDescent="0.35">
      <c r="F142" s="2"/>
      <c r="G142" s="2"/>
      <c r="H142" s="2"/>
      <c r="I142" s="2"/>
      <c r="J142" s="2"/>
    </row>
    <row r="143" spans="6:10" x14ac:dyDescent="0.35">
      <c r="F143" s="2"/>
      <c r="G143" s="2"/>
      <c r="H143" s="2"/>
      <c r="I143" s="2"/>
      <c r="J143" s="2"/>
    </row>
    <row r="144" spans="6:10" x14ac:dyDescent="0.35">
      <c r="F144" s="2"/>
      <c r="G144" s="2"/>
      <c r="H144" s="2"/>
      <c r="I144" s="2"/>
      <c r="J144" s="2"/>
    </row>
    <row r="145" spans="6:10" x14ac:dyDescent="0.35">
      <c r="F145" s="2"/>
      <c r="G145" s="2"/>
      <c r="H145" s="2"/>
      <c r="I145" s="2"/>
      <c r="J145" s="2"/>
    </row>
    <row r="146" spans="6:10" x14ac:dyDescent="0.35">
      <c r="F146" s="2"/>
      <c r="G146" s="2"/>
      <c r="H146" s="2"/>
      <c r="I146" s="2"/>
      <c r="J146" s="2"/>
    </row>
    <row r="147" spans="6:10" x14ac:dyDescent="0.35">
      <c r="F147" s="2"/>
      <c r="G147" s="2"/>
      <c r="H147" s="2"/>
      <c r="I147" s="2"/>
      <c r="J147" s="2"/>
    </row>
    <row r="148" spans="6:10" x14ac:dyDescent="0.35">
      <c r="F148" s="2"/>
      <c r="G148" s="2"/>
      <c r="H148" s="2"/>
      <c r="I148" s="2"/>
      <c r="J148" s="2"/>
    </row>
    <row r="149" spans="6:10" x14ac:dyDescent="0.35">
      <c r="F149" s="2"/>
      <c r="G149" s="2"/>
      <c r="H149" s="2"/>
      <c r="I149" s="2"/>
      <c r="J149" s="2"/>
    </row>
    <row r="150" spans="6:10" x14ac:dyDescent="0.35">
      <c r="F150" s="2"/>
      <c r="G150" s="2"/>
      <c r="H150" s="2"/>
      <c r="I150" s="2"/>
      <c r="J150" s="2"/>
    </row>
    <row r="151" spans="6:10" x14ac:dyDescent="0.35">
      <c r="F151" s="2"/>
      <c r="G151" s="2"/>
      <c r="H151" s="2"/>
      <c r="I151" s="2"/>
      <c r="J151" s="2"/>
    </row>
    <row r="152" spans="6:10" x14ac:dyDescent="0.35">
      <c r="F152" s="2"/>
      <c r="G152" s="2"/>
      <c r="H152" s="2"/>
      <c r="I152" s="2"/>
      <c r="J152" s="2"/>
    </row>
    <row r="153" spans="6:10" x14ac:dyDescent="0.35">
      <c r="F153" s="2"/>
      <c r="G153" s="2"/>
      <c r="H153" s="2"/>
      <c r="I153" s="2"/>
      <c r="J153" s="2"/>
    </row>
    <row r="154" spans="6:10" x14ac:dyDescent="0.35">
      <c r="F154" s="2"/>
      <c r="G154" s="2"/>
      <c r="H154" s="2"/>
      <c r="I154" s="2"/>
      <c r="J154" s="2"/>
    </row>
    <row r="155" spans="6:10" x14ac:dyDescent="0.35">
      <c r="F155" s="2"/>
      <c r="G155" s="2"/>
      <c r="H155" s="2"/>
      <c r="I155" s="2"/>
      <c r="J155" s="2"/>
    </row>
    <row r="156" spans="6:10" x14ac:dyDescent="0.35">
      <c r="F156" s="2"/>
      <c r="G156" s="2"/>
      <c r="H156" s="2"/>
      <c r="I156" s="2"/>
      <c r="J156" s="2"/>
    </row>
    <row r="157" spans="6:10" x14ac:dyDescent="0.35">
      <c r="F157" s="2"/>
      <c r="G157" s="2"/>
      <c r="H157" s="2"/>
      <c r="I157" s="2"/>
      <c r="J157" s="2"/>
    </row>
    <row r="158" spans="6:10" x14ac:dyDescent="0.35">
      <c r="F158" s="2"/>
      <c r="G158" s="2"/>
      <c r="H158" s="2"/>
      <c r="I158" s="2"/>
      <c r="J158" s="2"/>
    </row>
    <row r="159" spans="6:10" x14ac:dyDescent="0.35">
      <c r="F159" s="2"/>
      <c r="G159" s="2"/>
      <c r="H159" s="2"/>
      <c r="I159" s="2"/>
      <c r="J159" s="2"/>
    </row>
    <row r="160" spans="6:10" x14ac:dyDescent="0.35">
      <c r="F160" s="2"/>
      <c r="G160" s="2"/>
      <c r="H160" s="2"/>
      <c r="I160" s="2"/>
      <c r="J160" s="2"/>
    </row>
    <row r="161" spans="6:10" x14ac:dyDescent="0.35">
      <c r="F161" s="2"/>
      <c r="G161" s="2"/>
      <c r="H161" s="2"/>
      <c r="I161" s="2"/>
      <c r="J161" s="2"/>
    </row>
    <row r="162" spans="6:10" x14ac:dyDescent="0.35">
      <c r="F162" s="2"/>
      <c r="G162" s="2"/>
      <c r="H162" s="2"/>
      <c r="I162" s="2"/>
      <c r="J162" s="2"/>
    </row>
    <row r="163" spans="6:10" x14ac:dyDescent="0.35">
      <c r="F163" s="2"/>
      <c r="G163" s="2"/>
      <c r="H163" s="2"/>
      <c r="I163" s="2"/>
      <c r="J163" s="2"/>
    </row>
    <row r="164" spans="6:10" x14ac:dyDescent="0.35">
      <c r="F164" s="2"/>
      <c r="G164" s="2"/>
      <c r="H164" s="2"/>
      <c r="I164" s="2"/>
      <c r="J164" s="2"/>
    </row>
    <row r="165" spans="6:10" x14ac:dyDescent="0.35">
      <c r="F165" s="2"/>
      <c r="G165" s="2"/>
      <c r="H165" s="2"/>
      <c r="I165" s="2"/>
      <c r="J165" s="2"/>
    </row>
    <row r="166" spans="6:10" x14ac:dyDescent="0.35">
      <c r="F166" s="2"/>
      <c r="G166" s="2"/>
      <c r="H166" s="2"/>
      <c r="I166" s="2"/>
      <c r="J166" s="2"/>
    </row>
    <row r="167" spans="6:10" x14ac:dyDescent="0.35">
      <c r="F167" s="2"/>
      <c r="G167" s="2"/>
      <c r="H167" s="2"/>
      <c r="I167" s="2"/>
      <c r="J167" s="2"/>
    </row>
    <row r="168" spans="6:10" x14ac:dyDescent="0.35">
      <c r="F168" s="2"/>
      <c r="G168" s="2"/>
      <c r="H168" s="2"/>
      <c r="I168" s="2"/>
      <c r="J168" s="2"/>
    </row>
    <row r="169" spans="6:10" x14ac:dyDescent="0.35">
      <c r="F169" s="2"/>
      <c r="G169" s="2"/>
      <c r="H169" s="2"/>
      <c r="I169" s="2"/>
      <c r="J169" s="2"/>
    </row>
    <row r="170" spans="6:10" x14ac:dyDescent="0.35">
      <c r="F170" s="2"/>
      <c r="G170" s="2"/>
      <c r="H170" s="2"/>
      <c r="I170" s="2"/>
      <c r="J170" s="2"/>
    </row>
    <row r="171" spans="6:10" x14ac:dyDescent="0.35">
      <c r="F171" s="2"/>
      <c r="G171" s="2"/>
      <c r="H171" s="2"/>
      <c r="I171" s="2"/>
      <c r="J171" s="2"/>
    </row>
    <row r="172" spans="6:10" x14ac:dyDescent="0.35">
      <c r="F172" s="2"/>
      <c r="G172" s="2"/>
      <c r="H172" s="2"/>
      <c r="I172" s="2"/>
      <c r="J172" s="2"/>
    </row>
    <row r="173" spans="6:10" x14ac:dyDescent="0.35">
      <c r="F173" s="2"/>
      <c r="G173" s="2"/>
      <c r="H173" s="2"/>
      <c r="I173" s="2"/>
      <c r="J173" s="2"/>
    </row>
    <row r="174" spans="6:10" x14ac:dyDescent="0.35">
      <c r="F174" s="2"/>
      <c r="G174" s="2"/>
      <c r="H174" s="2"/>
      <c r="I174" s="2"/>
      <c r="J174" s="2"/>
    </row>
    <row r="175" spans="6:10" x14ac:dyDescent="0.35">
      <c r="F175" s="2"/>
      <c r="G175" s="2"/>
      <c r="H175" s="2"/>
      <c r="I175" s="2"/>
      <c r="J175" s="2"/>
    </row>
    <row r="176" spans="6:10" x14ac:dyDescent="0.35">
      <c r="F176" s="2"/>
      <c r="G176" s="2"/>
      <c r="H176" s="2"/>
      <c r="I176" s="2"/>
      <c r="J176" s="2"/>
    </row>
    <row r="177" spans="6:10" x14ac:dyDescent="0.35">
      <c r="F177" s="2"/>
      <c r="G177" s="2"/>
      <c r="H177" s="2"/>
      <c r="I177" s="2"/>
      <c r="J177" s="2"/>
    </row>
    <row r="178" spans="6:10" x14ac:dyDescent="0.35">
      <c r="F178" s="2"/>
      <c r="G178" s="2"/>
      <c r="H178" s="2"/>
      <c r="I178" s="2"/>
      <c r="J178" s="2"/>
    </row>
    <row r="179" spans="6:10" x14ac:dyDescent="0.35">
      <c r="F179" s="2"/>
      <c r="G179" s="2"/>
      <c r="H179" s="2"/>
      <c r="I179" s="2"/>
      <c r="J179" s="2"/>
    </row>
    <row r="180" spans="6:10" x14ac:dyDescent="0.35">
      <c r="F180" s="2"/>
      <c r="G180" s="2"/>
      <c r="H180" s="2"/>
      <c r="I180" s="2"/>
      <c r="J180" s="2"/>
    </row>
    <row r="181" spans="6:10" x14ac:dyDescent="0.35">
      <c r="F181" s="2"/>
      <c r="G181" s="2"/>
      <c r="H181" s="2"/>
      <c r="I181" s="2"/>
      <c r="J181" s="2"/>
    </row>
    <row r="182" spans="6:10" x14ac:dyDescent="0.35">
      <c r="F182" s="2"/>
      <c r="G182" s="2"/>
      <c r="H182" s="2"/>
      <c r="I182" s="2"/>
      <c r="J182" s="2"/>
    </row>
    <row r="183" spans="6:10" x14ac:dyDescent="0.35">
      <c r="F183" s="2"/>
      <c r="G183" s="2"/>
      <c r="H183" s="2"/>
      <c r="I183" s="2"/>
      <c r="J183" s="2"/>
    </row>
    <row r="184" spans="6:10" x14ac:dyDescent="0.35">
      <c r="F184" s="2"/>
      <c r="G184" s="2"/>
      <c r="H184" s="2"/>
      <c r="I184" s="2"/>
      <c r="J184" s="2"/>
    </row>
    <row r="185" spans="6:10" x14ac:dyDescent="0.35">
      <c r="F185" s="2"/>
      <c r="G185" s="2"/>
      <c r="H185" s="2"/>
      <c r="I185" s="2"/>
      <c r="J185" s="2"/>
    </row>
    <row r="186" spans="6:10" x14ac:dyDescent="0.35">
      <c r="F186" s="2"/>
      <c r="G186" s="2"/>
      <c r="H186" s="2"/>
      <c r="I186" s="2"/>
      <c r="J186" s="2"/>
    </row>
    <row r="187" spans="6:10" x14ac:dyDescent="0.35">
      <c r="F187" s="2"/>
      <c r="G187" s="2"/>
      <c r="H187" s="2"/>
      <c r="I187" s="2"/>
      <c r="J187" s="2"/>
    </row>
    <row r="188" spans="6:10" x14ac:dyDescent="0.35">
      <c r="F188" s="2"/>
      <c r="G188" s="2"/>
      <c r="H188" s="2"/>
      <c r="I188" s="2"/>
      <c r="J188" s="2"/>
    </row>
    <row r="189" spans="6:10" x14ac:dyDescent="0.35">
      <c r="F189" s="2"/>
      <c r="G189" s="2"/>
      <c r="H189" s="2"/>
      <c r="I189" s="2"/>
      <c r="J189" s="2"/>
    </row>
    <row r="190" spans="6:10" x14ac:dyDescent="0.35">
      <c r="F190" s="2"/>
      <c r="G190" s="2"/>
      <c r="H190" s="2"/>
      <c r="I190" s="2"/>
      <c r="J190" s="2"/>
    </row>
    <row r="191" spans="6:10" x14ac:dyDescent="0.35">
      <c r="F191" s="2"/>
      <c r="G191" s="2"/>
      <c r="H191" s="2"/>
      <c r="I191" s="2"/>
      <c r="J191" s="2"/>
    </row>
    <row r="192" spans="6:10" x14ac:dyDescent="0.35">
      <c r="F192" s="2"/>
      <c r="G192" s="2"/>
      <c r="H192" s="2"/>
      <c r="I192" s="2"/>
      <c r="J192" s="2"/>
    </row>
    <row r="193" spans="6:10" x14ac:dyDescent="0.35">
      <c r="F193" s="2"/>
      <c r="G193" s="2"/>
      <c r="H193" s="2"/>
      <c r="I193" s="2"/>
      <c r="J193" s="2"/>
    </row>
    <row r="194" spans="6:10" x14ac:dyDescent="0.35">
      <c r="F194" s="2"/>
      <c r="G194" s="2"/>
      <c r="H194" s="2"/>
      <c r="I194" s="2"/>
      <c r="J194" s="2"/>
    </row>
    <row r="195" spans="6:10" x14ac:dyDescent="0.35">
      <c r="F195" s="2"/>
      <c r="G195" s="2"/>
      <c r="H195" s="2"/>
      <c r="I195" s="2"/>
      <c r="J195" s="2"/>
    </row>
    <row r="196" spans="6:10" x14ac:dyDescent="0.35">
      <c r="F196" s="2"/>
      <c r="G196" s="2"/>
      <c r="H196" s="2"/>
      <c r="I196" s="2"/>
      <c r="J196" s="2"/>
    </row>
    <row r="197" spans="6:10" x14ac:dyDescent="0.35">
      <c r="F197" s="2"/>
      <c r="G197" s="2"/>
      <c r="H197" s="2"/>
      <c r="I197" s="2"/>
      <c r="J197" s="2"/>
    </row>
    <row r="198" spans="6:10" x14ac:dyDescent="0.35">
      <c r="F198" s="2"/>
      <c r="G198" s="2"/>
      <c r="H198" s="2"/>
      <c r="I198" s="2"/>
      <c r="J198" s="2"/>
    </row>
    <row r="199" spans="6:10" x14ac:dyDescent="0.35">
      <c r="F199" s="2"/>
      <c r="G199" s="2"/>
      <c r="H199" s="2"/>
      <c r="I199" s="2"/>
      <c r="J199" s="2"/>
    </row>
    <row r="200" spans="6:10" x14ac:dyDescent="0.35">
      <c r="F200" s="2"/>
      <c r="G200" s="2"/>
      <c r="H200" s="2"/>
      <c r="I200" s="2"/>
      <c r="J200" s="2"/>
    </row>
    <row r="201" spans="6:10" x14ac:dyDescent="0.35">
      <c r="F201" s="2"/>
      <c r="G201" s="2"/>
      <c r="H201" s="2"/>
      <c r="I201" s="2"/>
      <c r="J201" s="2"/>
    </row>
    <row r="202" spans="6:10" x14ac:dyDescent="0.35">
      <c r="F202" s="2"/>
      <c r="G202" s="2"/>
      <c r="H202" s="2"/>
      <c r="I202" s="2"/>
      <c r="J202" s="2"/>
    </row>
    <row r="203" spans="6:10" x14ac:dyDescent="0.35">
      <c r="F203" s="2"/>
      <c r="G203" s="2"/>
      <c r="H203" s="2"/>
      <c r="I203" s="2"/>
      <c r="J203" s="2"/>
    </row>
    <row r="204" spans="6:10" x14ac:dyDescent="0.35">
      <c r="F204" s="2"/>
      <c r="G204" s="2"/>
      <c r="H204" s="2"/>
      <c r="I204" s="2"/>
      <c r="J204" s="2"/>
    </row>
    <row r="205" spans="6:10" x14ac:dyDescent="0.35">
      <c r="F205" s="2"/>
      <c r="G205" s="2"/>
      <c r="H205" s="2"/>
      <c r="I205" s="2"/>
      <c r="J205" s="2"/>
    </row>
    <row r="206" spans="6:10" x14ac:dyDescent="0.35">
      <c r="F206" s="2"/>
      <c r="G206" s="2"/>
      <c r="H206" s="2"/>
      <c r="I206" s="2"/>
      <c r="J206" s="2"/>
    </row>
    <row r="207" spans="6:10" x14ac:dyDescent="0.35">
      <c r="F207" s="2"/>
      <c r="G207" s="2"/>
      <c r="H207" s="2"/>
      <c r="I207" s="2"/>
      <c r="J207" s="2"/>
    </row>
    <row r="208" spans="6:10" x14ac:dyDescent="0.35">
      <c r="F208" s="2"/>
      <c r="G208" s="2"/>
      <c r="H208" s="2"/>
      <c r="I208" s="2"/>
      <c r="J208" s="2"/>
    </row>
    <row r="209" spans="6:10" x14ac:dyDescent="0.35">
      <c r="F209" s="2"/>
      <c r="G209" s="2"/>
      <c r="H209" s="2"/>
      <c r="I209" s="2"/>
      <c r="J209" s="2"/>
    </row>
    <row r="210" spans="6:10" x14ac:dyDescent="0.35">
      <c r="F210" s="2"/>
      <c r="G210" s="2"/>
      <c r="H210" s="2"/>
      <c r="I210" s="2"/>
      <c r="J210" s="2"/>
    </row>
    <row r="211" spans="6:10" x14ac:dyDescent="0.35">
      <c r="F211" s="2"/>
      <c r="G211" s="2"/>
      <c r="H211" s="2"/>
      <c r="I211" s="2"/>
      <c r="J211" s="2"/>
    </row>
    <row r="212" spans="6:10" x14ac:dyDescent="0.35">
      <c r="F212" s="2"/>
      <c r="G212" s="2"/>
      <c r="H212" s="2"/>
      <c r="I212" s="2"/>
      <c r="J212" s="2"/>
    </row>
    <row r="213" spans="6:10" x14ac:dyDescent="0.35">
      <c r="F213" s="2"/>
      <c r="G213" s="2"/>
      <c r="H213" s="2"/>
      <c r="I213" s="2"/>
      <c r="J213" s="2"/>
    </row>
    <row r="214" spans="6:10" x14ac:dyDescent="0.35">
      <c r="F214" s="2"/>
      <c r="G214" s="2"/>
      <c r="H214" s="2"/>
      <c r="I214" s="2"/>
      <c r="J214" s="2"/>
    </row>
    <row r="215" spans="6:10" x14ac:dyDescent="0.35">
      <c r="F215" s="2"/>
      <c r="G215" s="2"/>
      <c r="H215" s="2"/>
      <c r="I215" s="2"/>
      <c r="J215" s="2"/>
    </row>
    <row r="216" spans="6:10" x14ac:dyDescent="0.35">
      <c r="F216" s="2"/>
      <c r="G216" s="2"/>
      <c r="H216" s="2"/>
      <c r="I216" s="2"/>
      <c r="J216" s="2"/>
    </row>
    <row r="217" spans="6:10" x14ac:dyDescent="0.35">
      <c r="F217" s="2"/>
      <c r="G217" s="2"/>
      <c r="H217" s="2"/>
      <c r="I217" s="2"/>
      <c r="J217" s="2"/>
    </row>
    <row r="218" spans="6:10" x14ac:dyDescent="0.35">
      <c r="F218" s="2"/>
      <c r="G218" s="2"/>
      <c r="H218" s="2"/>
      <c r="I218" s="2"/>
      <c r="J218" s="2"/>
    </row>
    <row r="219" spans="6:10" x14ac:dyDescent="0.35">
      <c r="F219" s="2"/>
      <c r="G219" s="2"/>
      <c r="H219" s="2"/>
      <c r="I219" s="2"/>
      <c r="J219" s="2"/>
    </row>
    <row r="220" spans="6:10" x14ac:dyDescent="0.35">
      <c r="F220" s="2"/>
      <c r="G220" s="2"/>
      <c r="H220" s="2"/>
      <c r="I220" s="2"/>
      <c r="J220" s="2"/>
    </row>
    <row r="221" spans="6:10" x14ac:dyDescent="0.35">
      <c r="F221" s="2"/>
      <c r="G221" s="2"/>
      <c r="H221" s="2"/>
      <c r="I221" s="2"/>
      <c r="J221" s="2"/>
    </row>
    <row r="222" spans="6:10" x14ac:dyDescent="0.35">
      <c r="F222" s="2"/>
      <c r="G222" s="2"/>
      <c r="H222" s="2"/>
      <c r="I222" s="2"/>
      <c r="J222" s="2"/>
    </row>
    <row r="223" spans="6:10" x14ac:dyDescent="0.35">
      <c r="F223" s="2"/>
      <c r="G223" s="2"/>
      <c r="H223" s="2"/>
      <c r="I223" s="2"/>
      <c r="J223" s="2"/>
    </row>
    <row r="224" spans="6:10" x14ac:dyDescent="0.35">
      <c r="F224" s="2"/>
      <c r="G224" s="2"/>
      <c r="H224" s="2"/>
      <c r="I224" s="2"/>
      <c r="J224" s="2"/>
    </row>
    <row r="225" spans="6:10" x14ac:dyDescent="0.35">
      <c r="F225" s="2"/>
      <c r="G225" s="2"/>
      <c r="H225" s="2"/>
      <c r="I225" s="2"/>
      <c r="J225" s="2"/>
    </row>
    <row r="226" spans="6:10" x14ac:dyDescent="0.35">
      <c r="F226" s="2"/>
      <c r="G226" s="2"/>
      <c r="H226" s="2"/>
      <c r="I226" s="2"/>
      <c r="J226" s="2"/>
    </row>
    <row r="227" spans="6:10" x14ac:dyDescent="0.35">
      <c r="F227" s="2"/>
      <c r="G227" s="2"/>
      <c r="H227" s="2"/>
      <c r="I227" s="2"/>
      <c r="J227" s="2"/>
    </row>
    <row r="228" spans="6:10" x14ac:dyDescent="0.35">
      <c r="F228" s="2"/>
      <c r="G228" s="2"/>
      <c r="H228" s="2"/>
      <c r="I228" s="2"/>
      <c r="J228" s="2"/>
    </row>
    <row r="229" spans="6:10" x14ac:dyDescent="0.35">
      <c r="F229" s="2"/>
      <c r="G229" s="2"/>
      <c r="H229" s="2"/>
      <c r="I229" s="2"/>
      <c r="J229" s="2"/>
    </row>
    <row r="230" spans="6:10" x14ac:dyDescent="0.35">
      <c r="F230" s="2"/>
      <c r="G230" s="2"/>
      <c r="H230" s="2"/>
      <c r="I230" s="2"/>
      <c r="J230" s="2"/>
    </row>
    <row r="231" spans="6:10" x14ac:dyDescent="0.35">
      <c r="F231" s="2"/>
      <c r="G231" s="2"/>
      <c r="H231" s="2"/>
      <c r="I231" s="2"/>
      <c r="J231" s="2"/>
    </row>
    <row r="232" spans="6:10" x14ac:dyDescent="0.35">
      <c r="F232" s="2"/>
      <c r="G232" s="2"/>
      <c r="H232" s="2"/>
      <c r="I232" s="2"/>
      <c r="J232" s="2"/>
    </row>
    <row r="233" spans="6:10" x14ac:dyDescent="0.35">
      <c r="F233" s="2"/>
      <c r="G233" s="2"/>
      <c r="H233" s="2"/>
      <c r="I233" s="2"/>
      <c r="J233" s="2"/>
    </row>
    <row r="234" spans="6:10" x14ac:dyDescent="0.35">
      <c r="F234" s="2"/>
      <c r="G234" s="2"/>
      <c r="H234" s="2"/>
      <c r="I234" s="2"/>
      <c r="J234" s="2"/>
    </row>
    <row r="235" spans="6:10" x14ac:dyDescent="0.35">
      <c r="F235" s="2"/>
      <c r="G235" s="2"/>
      <c r="H235" s="2"/>
      <c r="I235" s="2"/>
      <c r="J23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23CF-61EB-4900-A04A-CD99A8A32250}">
  <dimension ref="A1:E53"/>
  <sheetViews>
    <sheetView tabSelected="1" topLeftCell="A21" zoomScale="97" workbookViewId="0">
      <selection activeCell="C18" sqref="C18"/>
    </sheetView>
  </sheetViews>
  <sheetFormatPr defaultRowHeight="14.5" x14ac:dyDescent="0.35"/>
  <cols>
    <col min="2" max="2" width="19.08984375" customWidth="1"/>
    <col min="3" max="3" width="21" customWidth="1"/>
    <col min="4" max="4" width="20.54296875" customWidth="1"/>
    <col min="5" max="5" width="11.453125" customWidth="1"/>
  </cols>
  <sheetData>
    <row r="1" spans="1:5" x14ac:dyDescent="0.35">
      <c r="A1" t="s">
        <v>2</v>
      </c>
    </row>
    <row r="2" spans="1:5" x14ac:dyDescent="0.35">
      <c r="A2" t="s">
        <v>13</v>
      </c>
      <c r="B2" t="s">
        <v>12</v>
      </c>
      <c r="C2" t="s">
        <v>5</v>
      </c>
    </row>
    <row r="3" spans="1:5" x14ac:dyDescent="0.35">
      <c r="A3">
        <v>100</v>
      </c>
      <c r="B3" s="1">
        <v>25186</v>
      </c>
      <c r="C3" s="3">
        <f>((-3*B3)+(4*B4)-(B5))/(50*2)</f>
        <v>40.5</v>
      </c>
      <c r="E3" s="3"/>
    </row>
    <row r="4" spans="1:5" x14ac:dyDescent="0.35">
      <c r="A4">
        <f>A3+50</f>
        <v>150</v>
      </c>
      <c r="B4" s="1">
        <v>27254</v>
      </c>
      <c r="C4" s="3">
        <f>(B5-B3)/(50*2)</f>
        <v>42.22</v>
      </c>
    </row>
    <row r="5" spans="1:5" x14ac:dyDescent="0.35">
      <c r="A5">
        <f>A4+50</f>
        <v>200</v>
      </c>
      <c r="B5" s="1">
        <v>29408</v>
      </c>
      <c r="C5" s="3">
        <f t="shared" ref="C5:C16" si="0">(B6-B4)/(50*2)</f>
        <v>43.86</v>
      </c>
    </row>
    <row r="6" spans="1:5" x14ac:dyDescent="0.35">
      <c r="A6">
        <f t="shared" ref="A6:A15" si="1">A5+50</f>
        <v>250</v>
      </c>
      <c r="B6" s="1">
        <v>31640</v>
      </c>
      <c r="C6" s="3">
        <f t="shared" si="0"/>
        <v>45.34</v>
      </c>
    </row>
    <row r="7" spans="1:5" x14ac:dyDescent="0.35">
      <c r="A7">
        <f t="shared" si="1"/>
        <v>300</v>
      </c>
      <c r="B7" s="1">
        <v>33942</v>
      </c>
      <c r="C7" s="3">
        <f t="shared" si="0"/>
        <v>46.67</v>
      </c>
    </row>
    <row r="8" spans="1:5" x14ac:dyDescent="0.35">
      <c r="A8">
        <f t="shared" si="1"/>
        <v>350</v>
      </c>
      <c r="B8" s="1">
        <v>36307</v>
      </c>
      <c r="C8" s="3">
        <f t="shared" si="0"/>
        <v>47.9</v>
      </c>
    </row>
    <row r="9" spans="1:5" x14ac:dyDescent="0.35">
      <c r="A9">
        <f t="shared" si="1"/>
        <v>400</v>
      </c>
      <c r="B9" s="1">
        <v>38732</v>
      </c>
      <c r="C9" s="3">
        <f t="shared" si="0"/>
        <v>49.02</v>
      </c>
    </row>
    <row r="10" spans="1:5" x14ac:dyDescent="0.35">
      <c r="A10">
        <f t="shared" si="1"/>
        <v>450</v>
      </c>
      <c r="B10" s="1">
        <v>41209</v>
      </c>
      <c r="C10" s="3">
        <f t="shared" si="0"/>
        <v>50.04</v>
      </c>
    </row>
    <row r="11" spans="1:5" x14ac:dyDescent="0.35">
      <c r="A11">
        <f t="shared" si="1"/>
        <v>500</v>
      </c>
      <c r="B11" s="1">
        <v>43736</v>
      </c>
      <c r="C11" s="3">
        <f t="shared" si="0"/>
        <v>50.98</v>
      </c>
    </row>
    <row r="12" spans="1:5" x14ac:dyDescent="0.35">
      <c r="A12">
        <f t="shared" si="1"/>
        <v>550</v>
      </c>
      <c r="B12" s="1">
        <v>46307</v>
      </c>
      <c r="C12" s="3">
        <f t="shared" si="0"/>
        <v>51.83</v>
      </c>
    </row>
    <row r="13" spans="1:5" x14ac:dyDescent="0.35">
      <c r="A13">
        <f t="shared" si="1"/>
        <v>600</v>
      </c>
      <c r="B13" s="1">
        <v>48919</v>
      </c>
      <c r="C13" s="3">
        <f t="shared" si="0"/>
        <v>52.61</v>
      </c>
    </row>
    <row r="14" spans="1:5" x14ac:dyDescent="0.35">
      <c r="A14">
        <f t="shared" si="1"/>
        <v>650</v>
      </c>
      <c r="B14" s="1">
        <v>51568</v>
      </c>
      <c r="C14" s="3">
        <f t="shared" si="0"/>
        <v>53.33</v>
      </c>
    </row>
    <row r="15" spans="1:5" x14ac:dyDescent="0.35">
      <c r="A15">
        <f t="shared" si="1"/>
        <v>700</v>
      </c>
      <c r="B15" s="1">
        <v>54252</v>
      </c>
      <c r="C15" s="3">
        <f t="shared" si="0"/>
        <v>73.98</v>
      </c>
    </row>
    <row r="16" spans="1:5" x14ac:dyDescent="0.35">
      <c r="A16">
        <f>A15+50</f>
        <v>750</v>
      </c>
      <c r="B16" s="1">
        <v>58966</v>
      </c>
      <c r="C16" s="3">
        <f t="shared" si="0"/>
        <v>54.58</v>
      </c>
      <c r="D16" t="s">
        <v>15</v>
      </c>
    </row>
    <row r="17" spans="1:4" x14ac:dyDescent="0.35">
      <c r="A17">
        <f>A16+50</f>
        <v>800</v>
      </c>
      <c r="B17" s="1">
        <v>59710</v>
      </c>
      <c r="C17" s="3">
        <f>((3*B17)-(4*B16)+(B15))/(50*2)</f>
        <v>-24.82</v>
      </c>
      <c r="D17" s="3">
        <f>AVERAGE(C3:C17)</f>
        <v>45.202666666666673</v>
      </c>
    </row>
    <row r="19" spans="1:4" x14ac:dyDescent="0.35">
      <c r="A19" t="s">
        <v>9</v>
      </c>
    </row>
    <row r="20" spans="1:4" ht="29" x14ac:dyDescent="0.35">
      <c r="A20" t="s">
        <v>13</v>
      </c>
      <c r="B20" t="s">
        <v>12</v>
      </c>
      <c r="C20" s="4" t="s">
        <v>14</v>
      </c>
    </row>
    <row r="21" spans="1:4" x14ac:dyDescent="0.35">
      <c r="A21">
        <v>100</v>
      </c>
      <c r="B21" s="1">
        <v>25186</v>
      </c>
      <c r="C21">
        <v>50.414999999999999</v>
      </c>
    </row>
    <row r="22" spans="1:4" x14ac:dyDescent="0.35">
      <c r="A22">
        <f>A21+50</f>
        <v>150</v>
      </c>
      <c r="B22" s="1">
        <v>27254</v>
      </c>
      <c r="C22">
        <v>50.414999999999999</v>
      </c>
    </row>
    <row r="23" spans="1:4" x14ac:dyDescent="0.35">
      <c r="A23">
        <f>A22+50</f>
        <v>200</v>
      </c>
      <c r="B23" s="1">
        <v>29408</v>
      </c>
      <c r="C23">
        <v>50.414999999999999</v>
      </c>
    </row>
    <row r="24" spans="1:4" x14ac:dyDescent="0.35">
      <c r="A24">
        <f t="shared" ref="A24:A33" si="2">A23+50</f>
        <v>250</v>
      </c>
      <c r="B24" s="1">
        <v>31640</v>
      </c>
      <c r="C24">
        <v>50.414999999999999</v>
      </c>
    </row>
    <row r="25" spans="1:4" x14ac:dyDescent="0.35">
      <c r="A25">
        <f t="shared" si="2"/>
        <v>300</v>
      </c>
      <c r="B25" s="1">
        <v>33942</v>
      </c>
      <c r="C25">
        <v>50.414999999999999</v>
      </c>
    </row>
    <row r="26" spans="1:4" x14ac:dyDescent="0.35">
      <c r="A26">
        <f t="shared" si="2"/>
        <v>350</v>
      </c>
      <c r="B26" s="1">
        <v>36307</v>
      </c>
      <c r="C26">
        <v>50.414999999999999</v>
      </c>
    </row>
    <row r="27" spans="1:4" x14ac:dyDescent="0.35">
      <c r="A27">
        <f t="shared" si="2"/>
        <v>400</v>
      </c>
      <c r="B27" s="1">
        <v>38732</v>
      </c>
      <c r="C27">
        <v>50.414999999999999</v>
      </c>
    </row>
    <row r="28" spans="1:4" x14ac:dyDescent="0.35">
      <c r="A28">
        <f t="shared" si="2"/>
        <v>450</v>
      </c>
      <c r="B28" s="1">
        <v>41209</v>
      </c>
      <c r="C28">
        <v>50.414999999999999</v>
      </c>
    </row>
    <row r="29" spans="1:4" x14ac:dyDescent="0.35">
      <c r="A29">
        <f t="shared" si="2"/>
        <v>500</v>
      </c>
      <c r="B29" s="1">
        <v>43736</v>
      </c>
      <c r="C29">
        <v>50.414999999999999</v>
      </c>
    </row>
    <row r="30" spans="1:4" x14ac:dyDescent="0.35">
      <c r="A30">
        <f t="shared" si="2"/>
        <v>550</v>
      </c>
      <c r="B30" s="1">
        <v>46307</v>
      </c>
      <c r="C30">
        <v>50.414999999999999</v>
      </c>
    </row>
    <row r="31" spans="1:4" x14ac:dyDescent="0.35">
      <c r="A31">
        <f t="shared" si="2"/>
        <v>600</v>
      </c>
      <c r="B31" s="1">
        <v>48919</v>
      </c>
      <c r="C31">
        <v>50.414999999999999</v>
      </c>
    </row>
    <row r="32" spans="1:4" x14ac:dyDescent="0.35">
      <c r="A32">
        <f t="shared" si="2"/>
        <v>650</v>
      </c>
      <c r="B32" s="1">
        <v>51568</v>
      </c>
      <c r="C32">
        <v>50.414999999999999</v>
      </c>
    </row>
    <row r="33" spans="1:5" x14ac:dyDescent="0.35">
      <c r="A33">
        <f t="shared" si="2"/>
        <v>700</v>
      </c>
      <c r="B33" s="1">
        <v>54252</v>
      </c>
      <c r="C33">
        <v>50.414999999999999</v>
      </c>
    </row>
    <row r="34" spans="1:5" x14ac:dyDescent="0.35">
      <c r="A34">
        <f>A33+50</f>
        <v>750</v>
      </c>
      <c r="B34" s="1">
        <v>58966</v>
      </c>
      <c r="C34">
        <v>50.414999999999999</v>
      </c>
    </row>
    <row r="35" spans="1:5" x14ac:dyDescent="0.35">
      <c r="A35">
        <f>A34+50</f>
        <v>800</v>
      </c>
      <c r="B35" s="1">
        <v>59710</v>
      </c>
      <c r="C35">
        <v>50.414999999999999</v>
      </c>
      <c r="D35" t="s">
        <v>16</v>
      </c>
      <c r="E35">
        <f>ABS(C35-D17)/C35*100</f>
        <v>10.338854176997573</v>
      </c>
    </row>
    <row r="37" spans="1:5" x14ac:dyDescent="0.35">
      <c r="A37" t="s">
        <v>17</v>
      </c>
    </row>
    <row r="38" spans="1:5" x14ac:dyDescent="0.35">
      <c r="A38" t="s">
        <v>13</v>
      </c>
      <c r="B38" t="s">
        <v>5</v>
      </c>
      <c r="C38" t="s">
        <v>18</v>
      </c>
      <c r="D38" t="s">
        <v>6</v>
      </c>
    </row>
    <row r="39" spans="1:5" x14ac:dyDescent="0.35">
      <c r="A39">
        <v>100</v>
      </c>
      <c r="B39">
        <v>40.5</v>
      </c>
      <c r="C39">
        <v>40.460999999999999</v>
      </c>
      <c r="D39" s="1">
        <f>ABS(C39-B39)/C39*100</f>
        <v>9.6389115444505763E-2</v>
      </c>
    </row>
    <row r="40" spans="1:5" x14ac:dyDescent="0.35">
      <c r="A40">
        <f>A39+50</f>
        <v>150</v>
      </c>
      <c r="B40">
        <v>42.22</v>
      </c>
      <c r="C40">
        <v>42.256</v>
      </c>
      <c r="D40" s="1">
        <f>ABS(C40-B40)/C40*100</f>
        <v>8.51950018932255E-2</v>
      </c>
    </row>
    <row r="41" spans="1:5" x14ac:dyDescent="0.35">
      <c r="A41">
        <f>A40+50</f>
        <v>200</v>
      </c>
      <c r="B41">
        <v>43.86</v>
      </c>
      <c r="C41">
        <v>43.881</v>
      </c>
      <c r="D41" s="1">
        <f>ABS(C41-B41)/C41*100</f>
        <v>4.7856703356807723E-2</v>
      </c>
    </row>
    <row r="42" spans="1:5" x14ac:dyDescent="0.35">
      <c r="A42">
        <f t="shared" ref="A42:A51" si="3">A41+50</f>
        <v>250</v>
      </c>
      <c r="B42">
        <v>45.34</v>
      </c>
      <c r="C42">
        <v>45.354999999999997</v>
      </c>
      <c r="D42" s="1">
        <f t="shared" ref="D42:D53" si="4">ABS(C42-B42)/C42*100</f>
        <v>3.3072428618660485E-2</v>
      </c>
    </row>
    <row r="43" spans="1:5" x14ac:dyDescent="0.35">
      <c r="A43">
        <f t="shared" si="3"/>
        <v>300</v>
      </c>
      <c r="B43">
        <v>46.67</v>
      </c>
      <c r="C43">
        <v>46.695</v>
      </c>
      <c r="D43" s="1">
        <f t="shared" si="4"/>
        <v>5.3538922796870288E-2</v>
      </c>
    </row>
    <row r="44" spans="1:5" x14ac:dyDescent="0.35">
      <c r="A44">
        <f t="shared" si="3"/>
        <v>350</v>
      </c>
      <c r="B44">
        <v>47.9</v>
      </c>
      <c r="C44">
        <v>47.917000000000002</v>
      </c>
      <c r="D44" s="1">
        <f t="shared" si="4"/>
        <v>3.5478014065995392E-2</v>
      </c>
    </row>
    <row r="45" spans="1:5" x14ac:dyDescent="0.35">
      <c r="A45">
        <f t="shared" si="3"/>
        <v>400</v>
      </c>
      <c r="B45">
        <v>49.02</v>
      </c>
      <c r="C45">
        <v>49.033999999999999</v>
      </c>
      <c r="D45" s="1">
        <f t="shared" si="4"/>
        <v>2.8551617245168238E-2</v>
      </c>
    </row>
    <row r="46" spans="1:5" x14ac:dyDescent="0.35">
      <c r="A46">
        <f t="shared" si="3"/>
        <v>450</v>
      </c>
      <c r="B46">
        <v>50.04</v>
      </c>
      <c r="C46">
        <v>50.055</v>
      </c>
      <c r="D46" s="1">
        <f t="shared" si="4"/>
        <v>2.9967036260115008E-2</v>
      </c>
    </row>
    <row r="47" spans="1:5" x14ac:dyDescent="0.35">
      <c r="A47">
        <f t="shared" si="3"/>
        <v>500</v>
      </c>
      <c r="B47">
        <v>50.98</v>
      </c>
      <c r="C47">
        <v>50.988999999999997</v>
      </c>
      <c r="D47" s="1">
        <f t="shared" si="4"/>
        <v>1.7650865873032107E-2</v>
      </c>
    </row>
    <row r="48" spans="1:5" x14ac:dyDescent="0.35">
      <c r="A48">
        <f t="shared" si="3"/>
        <v>550</v>
      </c>
      <c r="B48">
        <v>51.83</v>
      </c>
      <c r="C48">
        <v>51.843000000000004</v>
      </c>
      <c r="D48" s="1">
        <f t="shared" si="4"/>
        <v>2.5075709353249674E-2</v>
      </c>
    </row>
    <row r="49" spans="1:4" x14ac:dyDescent="0.35">
      <c r="A49">
        <f t="shared" si="3"/>
        <v>600</v>
      </c>
      <c r="B49">
        <v>52.61</v>
      </c>
      <c r="C49">
        <v>52.624000000000002</v>
      </c>
      <c r="D49" s="1">
        <f t="shared" si="4"/>
        <v>2.6603830951662546E-2</v>
      </c>
    </row>
    <row r="50" spans="1:4" x14ac:dyDescent="0.35">
      <c r="A50">
        <f t="shared" si="3"/>
        <v>650</v>
      </c>
      <c r="B50">
        <v>53.33</v>
      </c>
      <c r="C50">
        <v>53.338999999999999</v>
      </c>
      <c r="D50" s="1">
        <f t="shared" si="4"/>
        <v>1.6873207221733331E-2</v>
      </c>
    </row>
    <row r="51" spans="1:4" x14ac:dyDescent="0.35">
      <c r="A51">
        <f t="shared" si="3"/>
        <v>700</v>
      </c>
      <c r="B51">
        <v>73.98</v>
      </c>
      <c r="C51">
        <v>53.994</v>
      </c>
      <c r="D51" s="1">
        <f t="shared" si="4"/>
        <v>37.015223913768203</v>
      </c>
    </row>
    <row r="52" spans="1:4" x14ac:dyDescent="0.35">
      <c r="A52">
        <f>A51+50</f>
        <v>750</v>
      </c>
      <c r="B52">
        <v>54.58</v>
      </c>
      <c r="C52">
        <v>54.593000000000004</v>
      </c>
      <c r="D52" s="1">
        <f t="shared" si="4"/>
        <v>2.3812576703982614E-2</v>
      </c>
    </row>
    <row r="53" spans="1:4" x14ac:dyDescent="0.35">
      <c r="A53">
        <f>A52+50</f>
        <v>800</v>
      </c>
      <c r="B53">
        <v>-24.82</v>
      </c>
      <c r="C53">
        <v>55.143999999999998</v>
      </c>
      <c r="D53" s="1">
        <f t="shared" si="4"/>
        <v>145.00942985637604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4.5a</vt:lpstr>
      <vt:lpstr>4.5b</vt:lpstr>
      <vt:lpstr>4.1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adenbatool46@gmail.com</dc:creator>
  <cp:lastModifiedBy>adenbatool46@gmail.com</cp:lastModifiedBy>
  <dcterms:created xsi:type="dcterms:W3CDTF">2025-10-16T19:15:24Z</dcterms:created>
  <dcterms:modified xsi:type="dcterms:W3CDTF">2025-10-18T01:29:51Z</dcterms:modified>
</cp:coreProperties>
</file>