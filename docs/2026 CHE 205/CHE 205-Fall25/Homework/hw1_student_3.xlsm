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rt/Downloads/"/>
    </mc:Choice>
  </mc:AlternateContent>
  <xr:revisionPtr revIDLastSave="0" documentId="13_ncr:1_{4ABC0902-6CF7-0B49-AEE1-28D876BDD9E4}" xr6:coauthVersionLast="47" xr6:coauthVersionMax="47" xr10:uidLastSave="{00000000-0000-0000-0000-000000000000}"/>
  <bookViews>
    <workbookView xWindow="720" yWindow="840" windowWidth="28800" windowHeight="16140" activeTab="3" xr2:uid="{75422560-69F3-4646-A5E3-06E0B3D823BE}"/>
  </bookViews>
  <sheets>
    <sheet name="Problem 1" sheetId="1" r:id="rId1"/>
    <sheet name="Problem 2" sheetId="2" r:id="rId2"/>
    <sheet name="Problem 3" sheetId="4" r:id="rId3"/>
    <sheet name="Problem 4" sheetId="5" r:id="rId4"/>
  </sheets>
  <externalReferences>
    <externalReference r:id="rId5"/>
    <externalReference r:id="rId6"/>
  </externalReferences>
  <definedNames>
    <definedName name="_xlchart.v1.0" hidden="1">'Problem 1'!$A$1</definedName>
    <definedName name="_xlchart.v1.1" hidden="1">'Problem 1'!$A$2:$A$17</definedName>
    <definedName name="_xlchart.v1.10" hidden="1">'Problem 1'!$B$2:$B$17</definedName>
    <definedName name="_xlchart.v1.2" hidden="1">'Problem 1'!$B$1</definedName>
    <definedName name="_xlchart.v1.3" hidden="1">'Problem 1'!$B$2:$B$17</definedName>
    <definedName name="_xlchart.v1.8" hidden="1">'Problem 1'!$A$2:$A$17</definedName>
    <definedName name="_xlchart.v1.9" hidden="1">'Problem 1'!$B$1</definedName>
    <definedName name="_xlchart.v2.4" hidden="1">'Problem 1'!$A$1</definedName>
    <definedName name="_xlchart.v2.5" hidden="1">'Problem 1'!$A$2:$A$17</definedName>
    <definedName name="_xlchart.v2.6" hidden="1">'Problem 1'!$B$1</definedName>
    <definedName name="_xlchart.v2.7" hidden="1">'Problem 1'!$B$2:$B$17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5" l="1"/>
  <c r="C8" i="5"/>
  <c r="C9" i="5"/>
  <c r="C10" i="5"/>
  <c r="C11" i="5"/>
  <c r="C12" i="5"/>
  <c r="C13" i="5"/>
  <c r="C14" i="5"/>
  <c r="C15" i="5"/>
  <c r="C16" i="5"/>
  <c r="C17" i="5"/>
  <c r="C10" i="4" l="1"/>
  <c r="I6" i="2"/>
  <c r="J6" i="2"/>
  <c r="I7" i="2"/>
  <c r="J7" i="2"/>
  <c r="I8" i="2" s="1"/>
  <c r="J8" i="2" s="1"/>
  <c r="I9" i="2" s="1"/>
  <c r="J9" i="2" s="1"/>
  <c r="I10" i="2" s="1"/>
  <c r="J10" i="2" s="1"/>
  <c r="J5" i="2"/>
  <c r="J4" i="2"/>
  <c r="B7" i="2"/>
  <c r="B8" i="2"/>
  <c r="B9" i="2"/>
  <c r="B10" i="2"/>
  <c r="B11" i="2"/>
  <c r="B12" i="2"/>
  <c r="B13" i="2"/>
  <c r="B14" i="2"/>
  <c r="B15" i="2"/>
  <c r="B16" i="2"/>
  <c r="B17" i="2"/>
  <c r="B18" i="2"/>
  <c r="B4" i="2"/>
  <c r="B5" i="2"/>
  <c r="B6" i="2"/>
  <c r="B3" i="2"/>
  <c r="E5" i="2"/>
  <c r="I5" i="2" l="1"/>
  <c r="B6" i="5" l="1"/>
  <c r="B5" i="5"/>
  <c r="B2" i="5"/>
  <c r="E10" i="4"/>
  <c r="F10" i="4" s="1"/>
  <c r="B5" i="4"/>
  <c r="D10" i="4" s="1"/>
  <c r="B11" i="1"/>
  <c r="B10" i="1"/>
  <c r="E4" i="1"/>
  <c r="B17" i="1" s="1"/>
  <c r="B4" i="1"/>
  <c r="B3" i="1"/>
  <c r="B11" i="4" l="1"/>
  <c r="D11" i="4" s="1"/>
  <c r="A11" i="4"/>
  <c r="B12" i="1"/>
  <c r="B5" i="1"/>
  <c r="B13" i="1"/>
  <c r="B6" i="1"/>
  <c r="B14" i="1"/>
  <c r="B7" i="1"/>
  <c r="B15" i="1"/>
  <c r="B8" i="1"/>
  <c r="B16" i="1"/>
  <c r="B2" i="1"/>
  <c r="B9" i="1"/>
  <c r="E11" i="4" l="1"/>
  <c r="F11" i="4" s="1"/>
  <c r="C11" i="4"/>
  <c r="B12" i="4" l="1"/>
  <c r="D12" i="4" s="1"/>
  <c r="A12" i="4"/>
  <c r="E12" i="4" l="1"/>
  <c r="F12" i="4" s="1"/>
  <c r="C12" i="4"/>
  <c r="B13" i="4" l="1"/>
  <c r="D13" i="4" s="1"/>
  <c r="A13" i="4"/>
  <c r="E13" i="4" l="1"/>
  <c r="F13" i="4" s="1"/>
  <c r="C13" i="4"/>
  <c r="A14" i="4" l="1"/>
  <c r="B14" i="4"/>
  <c r="D14" i="4" s="1"/>
  <c r="C14" i="4" l="1"/>
  <c r="E14" i="4"/>
  <c r="F14" i="4" s="1"/>
  <c r="A15" i="4" l="1"/>
  <c r="B15" i="4"/>
  <c r="D15" i="4" s="1"/>
  <c r="C15" i="4" l="1"/>
  <c r="E15" i="4"/>
  <c r="F15" i="4" s="1"/>
  <c r="B16" i="4" l="1"/>
  <c r="D16" i="4" s="1"/>
  <c r="A16" i="4"/>
  <c r="E16" i="4" l="1"/>
  <c r="F16" i="4" s="1"/>
  <c r="C16" i="4"/>
  <c r="B17" i="4" l="1"/>
  <c r="D17" i="4" s="1"/>
  <c r="A17" i="4"/>
  <c r="C17" i="4" l="1"/>
  <c r="E17" i="4"/>
  <c r="F17" i="4" s="1"/>
  <c r="B18" i="4" l="1"/>
  <c r="D18" i="4" s="1"/>
  <c r="A18" i="4"/>
  <c r="C18" i="4" l="1"/>
  <c r="E18" i="4"/>
  <c r="F18" i="4" s="1"/>
  <c r="A19" i="4" l="1"/>
  <c r="B19" i="4"/>
  <c r="D19" i="4" s="1"/>
  <c r="C19" i="4" l="1"/>
  <c r="E19" i="4"/>
  <c r="F19" i="4" s="1"/>
  <c r="B20" i="4" l="1"/>
  <c r="D20" i="4" s="1"/>
  <c r="A20" i="4"/>
  <c r="C20" i="4" l="1"/>
  <c r="E20" i="4"/>
  <c r="F20" i="4" s="1"/>
  <c r="A21" i="4" l="1"/>
  <c r="B21" i="4"/>
  <c r="D21" i="4" s="1"/>
  <c r="C21" i="4" l="1"/>
  <c r="E21" i="4"/>
  <c r="F21" i="4" s="1"/>
  <c r="A22" i="4" l="1"/>
  <c r="B22" i="4"/>
  <c r="D22" i="4" s="1"/>
  <c r="E22" i="4" l="1"/>
  <c r="F22" i="4" s="1"/>
  <c r="C22" i="4"/>
</calcChain>
</file>

<file path=xl/sharedStrings.xml><?xml version="1.0" encoding="utf-8"?>
<sst xmlns="http://schemas.openxmlformats.org/spreadsheetml/2006/main" count="54" uniqueCount="27">
  <si>
    <t>V</t>
  </si>
  <si>
    <t>f(V)</t>
  </si>
  <si>
    <t>Ammonia at 250 oC and 10 atm</t>
  </si>
  <si>
    <t>R =</t>
  </si>
  <si>
    <t>P =</t>
  </si>
  <si>
    <t>atm</t>
  </si>
  <si>
    <t>T =</t>
  </si>
  <si>
    <t>K</t>
  </si>
  <si>
    <t>a =</t>
  </si>
  <si>
    <t>b =</t>
  </si>
  <si>
    <t>g(V) = b + (RT)/(P + a/V^2)</t>
  </si>
  <si>
    <t>g(V)</t>
  </si>
  <si>
    <t>Finding the root using direct substitution</t>
  </si>
  <si>
    <t>Gas at 250K and 10 atm</t>
  </si>
  <si>
    <t>Bisection (using IF Function)</t>
  </si>
  <si>
    <t>a</t>
  </si>
  <si>
    <t>b</t>
  </si>
  <si>
    <t>f(a)</t>
  </si>
  <si>
    <t>f(b)</t>
  </si>
  <si>
    <t>c</t>
  </si>
  <si>
    <t>f(c)</t>
  </si>
  <si>
    <t>Tc =</t>
  </si>
  <si>
    <t>Pc =</t>
  </si>
  <si>
    <t>P</t>
  </si>
  <si>
    <t>Answer is graph shown</t>
  </si>
  <si>
    <t>Root = 4.23</t>
  </si>
  <si>
    <t>&lt;-- Answer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</si>
</sst>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6" formatCode="0.000"/>
  </numFmts>
  <fonts count="10" x14ac:knownFonts="1">
    <font>
      <sz val="12"/>
      <color theme="1"/>
      <name val="Aptos Narrow"/>
      <family val="2"/>
      <scheme val="minor"/>
    </font>
    <font>
      <b/>
      <sz val="18"/>
      <name val="Arial"/>
      <family val="2"/>
    </font>
    <font>
      <sz val="18"/>
      <color theme="1"/>
      <name val="Arial"/>
      <family val="2"/>
    </font>
    <font>
      <sz val="18"/>
      <name val="Arial"/>
      <family val="2"/>
    </font>
    <font>
      <b/>
      <sz val="18"/>
      <color theme="1"/>
      <name val="Arial"/>
      <family val="2"/>
    </font>
    <font>
      <b/>
      <sz val="18"/>
      <color rgb="FF0000FF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8"/>
      <color rgb="FF0000FF"/>
      <name val="Arial"/>
      <family val="2"/>
    </font>
    <font>
      <b/>
      <i/>
      <sz val="18"/>
      <name val="Arial"/>
      <family val="2"/>
    </font>
    <font>
      <b/>
      <sz val="18"/>
      <color theme="1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2" fontId="3" fillId="0" borderId="0" xfId="0" applyNumberFormat="1" applyFont="1"/>
    <xf numFmtId="0" fontId="2" fillId="0" borderId="0" xfId="0" applyFont="1" applyAlignment="1">
      <alignment horizontal="right"/>
    </xf>
    <xf numFmtId="164" fontId="3" fillId="0" borderId="0" xfId="0" applyNumberFormat="1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6" fillId="0" borderId="0" xfId="0" applyFont="1" applyAlignment="1">
      <alignment horizontal="right"/>
    </xf>
    <xf numFmtId="164" fontId="6" fillId="0" borderId="0" xfId="0" applyNumberFormat="1" applyFont="1"/>
    <xf numFmtId="2" fontId="6" fillId="0" borderId="0" xfId="0" applyNumberFormat="1" applyFont="1"/>
    <xf numFmtId="0" fontId="6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6" fillId="0" borderId="0" xfId="0" quotePrefix="1" applyFont="1"/>
    <xf numFmtId="166" fontId="6" fillId="2" borderId="0" xfId="0" applyNumberFormat="1" applyFont="1" applyFill="1"/>
    <xf numFmtId="2" fontId="6" fillId="3" borderId="0" xfId="0" applyNumberFormat="1" applyFont="1" applyFill="1"/>
    <xf numFmtId="2" fontId="6" fillId="2" borderId="0" xfId="0" applyNumberFormat="1" applyFont="1" applyFill="1"/>
    <xf numFmtId="166" fontId="6" fillId="0" borderId="0" xfId="0" applyNumberFormat="1" applyFont="1"/>
    <xf numFmtId="0" fontId="2" fillId="4" borderId="0" xfId="0" applyFont="1" applyFill="1"/>
    <xf numFmtId="0" fontId="0" fillId="4" borderId="0" xfId="0" applyFill="1"/>
    <xf numFmtId="0" fontId="4" fillId="4" borderId="0" xfId="0" applyFont="1" applyFill="1"/>
    <xf numFmtId="2" fontId="9" fillId="0" borderId="0" xfId="0" applyNumberFormat="1" applyFont="1"/>
    <xf numFmtId="0" fontId="9" fillId="0" borderId="0" xfId="0" applyFont="1"/>
    <xf numFmtId="164" fontId="9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[1]Sheet2!$B$1</c:f>
              <c:strCache>
                <c:ptCount val="1"/>
                <c:pt idx="0">
                  <c:v>f(V)</c:v>
                </c:pt>
              </c:strCache>
            </c:strRef>
          </c:tx>
          <c:xVal>
            <c:numRef>
              <c:f>[1]Sheet2!$A$2:$A$17</c:f>
              <c:numCache>
                <c:formatCode>General</c:formatCode>
                <c:ptCount val="16"/>
                <c:pt idx="0">
                  <c:v>0.5</c:v>
                </c:pt>
                <c:pt idx="1">
                  <c:v>0.75</c:v>
                </c:pt>
                <c:pt idx="2">
                  <c:v>1</c:v>
                </c:pt>
                <c:pt idx="3">
                  <c:v>1.25</c:v>
                </c:pt>
                <c:pt idx="4">
                  <c:v>1.5</c:v>
                </c:pt>
                <c:pt idx="5">
                  <c:v>1.75</c:v>
                </c:pt>
                <c:pt idx="6">
                  <c:v>2</c:v>
                </c:pt>
                <c:pt idx="7">
                  <c:v>2.25</c:v>
                </c:pt>
                <c:pt idx="8">
                  <c:v>2.5</c:v>
                </c:pt>
                <c:pt idx="9">
                  <c:v>2.75</c:v>
                </c:pt>
                <c:pt idx="10">
                  <c:v>3</c:v>
                </c:pt>
                <c:pt idx="11">
                  <c:v>3.25</c:v>
                </c:pt>
                <c:pt idx="12">
                  <c:v>3.5</c:v>
                </c:pt>
                <c:pt idx="13">
                  <c:v>3.75</c:v>
                </c:pt>
                <c:pt idx="14">
                  <c:v>4</c:v>
                </c:pt>
                <c:pt idx="15">
                  <c:v>4.25</c:v>
                </c:pt>
              </c:numCache>
            </c:numRef>
          </c:xVal>
          <c:yVal>
            <c:numRef>
              <c:f>[1]Sheet2!$B$2:$B$17</c:f>
              <c:numCache>
                <c:formatCode>General</c:formatCode>
                <c:ptCount val="16"/>
                <c:pt idx="0">
                  <c:v>-30.452747804649903</c:v>
                </c:pt>
                <c:pt idx="1">
                  <c:v>-30.424652817829354</c:v>
                </c:pt>
                <c:pt idx="2">
                  <c:v>-29.213664389942267</c:v>
                </c:pt>
                <c:pt idx="3">
                  <c:v>-27.504050234177438</c:v>
                </c:pt>
                <c:pt idx="4">
                  <c:v>-25.538048672403974</c:v>
                </c:pt>
                <c:pt idx="5">
                  <c:v>-23.42294121011016</c:v>
                </c:pt>
                <c:pt idx="6">
                  <c:v>-21.213505580015624</c:v>
                </c:pt>
                <c:pt idx="7">
                  <c:v>-18.940623033127775</c:v>
                </c:pt>
                <c:pt idx="8">
                  <c:v>-16.62302444982447</c:v>
                </c:pt>
                <c:pt idx="9">
                  <c:v>-14.272729710894971</c:v>
                </c:pt>
                <c:pt idx="10">
                  <c:v>-11.89780566521447</c:v>
                </c:pt>
                <c:pt idx="11">
                  <c:v>-9.5038674988178897</c:v>
                </c:pt>
                <c:pt idx="12">
                  <c:v>-7.0949442323791416</c:v>
                </c:pt>
                <c:pt idx="13">
                  <c:v>-4.6740017890184262</c:v>
                </c:pt>
                <c:pt idx="14">
                  <c:v>-2.2432718994090948</c:v>
                </c:pt>
                <c:pt idx="15">
                  <c:v>0.19553397679910489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98-B447-8E6B-361EC6A19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7438120"/>
        <c:axId val="-2067432584"/>
      </c:scatterChart>
      <c:valAx>
        <c:axId val="-2067438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067432584"/>
        <c:crosses val="autoZero"/>
        <c:crossBetween val="midCat"/>
      </c:valAx>
      <c:valAx>
        <c:axId val="-2067432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f(V)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0674381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b="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[1]Sheet2!$B$1</c:f>
              <c:strCache>
                <c:ptCount val="1"/>
                <c:pt idx="0">
                  <c:v>f(V)</c:v>
                </c:pt>
              </c:strCache>
            </c:strRef>
          </c:tx>
          <c:xVal>
            <c:numRef>
              <c:f>[1]Sheet2!$A$2:$A$17</c:f>
              <c:numCache>
                <c:formatCode>General</c:formatCode>
                <c:ptCount val="16"/>
                <c:pt idx="0">
                  <c:v>0.5</c:v>
                </c:pt>
                <c:pt idx="1">
                  <c:v>0.75</c:v>
                </c:pt>
                <c:pt idx="2">
                  <c:v>1</c:v>
                </c:pt>
                <c:pt idx="3">
                  <c:v>1.25</c:v>
                </c:pt>
                <c:pt idx="4">
                  <c:v>1.5</c:v>
                </c:pt>
                <c:pt idx="5">
                  <c:v>1.75</c:v>
                </c:pt>
                <c:pt idx="6">
                  <c:v>2</c:v>
                </c:pt>
                <c:pt idx="7">
                  <c:v>2.25</c:v>
                </c:pt>
                <c:pt idx="8">
                  <c:v>2.5</c:v>
                </c:pt>
                <c:pt idx="9">
                  <c:v>2.75</c:v>
                </c:pt>
                <c:pt idx="10">
                  <c:v>3</c:v>
                </c:pt>
                <c:pt idx="11">
                  <c:v>3.25</c:v>
                </c:pt>
                <c:pt idx="12">
                  <c:v>3.5</c:v>
                </c:pt>
                <c:pt idx="13">
                  <c:v>3.75</c:v>
                </c:pt>
                <c:pt idx="14">
                  <c:v>4</c:v>
                </c:pt>
                <c:pt idx="15">
                  <c:v>4.25</c:v>
                </c:pt>
              </c:numCache>
            </c:numRef>
          </c:xVal>
          <c:yVal>
            <c:numRef>
              <c:f>[1]Sheet2!$B$2:$B$17</c:f>
              <c:numCache>
                <c:formatCode>General</c:formatCode>
                <c:ptCount val="16"/>
                <c:pt idx="0">
                  <c:v>-30.452747804649903</c:v>
                </c:pt>
                <c:pt idx="1">
                  <c:v>-30.424652817829354</c:v>
                </c:pt>
                <c:pt idx="2">
                  <c:v>-29.213664389942267</c:v>
                </c:pt>
                <c:pt idx="3">
                  <c:v>-27.504050234177438</c:v>
                </c:pt>
                <c:pt idx="4">
                  <c:v>-25.538048672403974</c:v>
                </c:pt>
                <c:pt idx="5">
                  <c:v>-23.42294121011016</c:v>
                </c:pt>
                <c:pt idx="6">
                  <c:v>-21.213505580015624</c:v>
                </c:pt>
                <c:pt idx="7">
                  <c:v>-18.940623033127775</c:v>
                </c:pt>
                <c:pt idx="8">
                  <c:v>-16.62302444982447</c:v>
                </c:pt>
                <c:pt idx="9">
                  <c:v>-14.272729710894971</c:v>
                </c:pt>
                <c:pt idx="10">
                  <c:v>-11.89780566521447</c:v>
                </c:pt>
                <c:pt idx="11">
                  <c:v>-9.5038674988178897</c:v>
                </c:pt>
                <c:pt idx="12">
                  <c:v>-7.0949442323791416</c:v>
                </c:pt>
                <c:pt idx="13">
                  <c:v>-4.6740017890184262</c:v>
                </c:pt>
                <c:pt idx="14">
                  <c:v>-2.2432718994090948</c:v>
                </c:pt>
                <c:pt idx="15">
                  <c:v>0.19553397679910489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84-B44A-AEAA-D02F2689F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7438120"/>
        <c:axId val="-2067432584"/>
      </c:scatterChart>
      <c:valAx>
        <c:axId val="-2067438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067432584"/>
        <c:crosses val="autoZero"/>
        <c:crossBetween val="midCat"/>
      </c:valAx>
      <c:valAx>
        <c:axId val="-2067432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f(V)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0674381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b="0"/>
      </a:pPr>
      <a:endParaRPr lang="en-US"/>
    </a:p>
  </c:txPr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165100</xdr:colOff>
      <xdr:row>1</xdr:row>
      <xdr:rowOff>127000</xdr:rowOff>
    </xdr:from>
    <xdr:to>
      <xdr:col>15</xdr:col>
      <xdr:colOff>603250</xdr:colOff>
      <xdr:row>15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C0D0BD-703A-864B-9D41-2BFEE5EAA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635000</xdr:colOff>
      <xdr:row>7</xdr:row>
      <xdr:rowOff>76200</xdr:rowOff>
    </xdr:from>
    <xdr:to>
      <xdr:col>7</xdr:col>
      <xdr:colOff>520700</xdr:colOff>
      <xdr:row>13</xdr:row>
      <xdr:rowOff>50800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8955223-6A18-8C08-04BB-9E733AF7B13F}"/>
            </a:ext>
          </a:extLst>
        </xdr:cNvPr>
        <xdr:cNvSpPr txBox="1"/>
      </xdr:nvSpPr>
      <xdr:spPr>
        <a:xfrm>
          <a:off x="2286000" y="2120900"/>
          <a:ext cx="4013200" cy="172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/>
            <a:t>(P+a/V^2)*(V-b)=R*T</a:t>
          </a:r>
        </a:p>
        <a:p>
          <a:r>
            <a:rPr lang="is-IS" sz="2400"/>
            <a:t>f(V)=(P+a/V^2)*(V-b)-R*T=0</a:t>
          </a:r>
          <a:endParaRPr lang="en-US" sz="2400"/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635000</xdr:colOff>
      <xdr:row>16</xdr:row>
      <xdr:rowOff>12700</xdr:rowOff>
    </xdr:from>
    <xdr:to>
      <xdr:col>10</xdr:col>
      <xdr:colOff>247650</xdr:colOff>
      <xdr:row>35</xdr:row>
      <xdr:rowOff>6350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B5BD7E1-6E22-524C-8D7B-CB9C785CA7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635000</xdr:colOff>
      <xdr:row>8</xdr:row>
      <xdr:rowOff>76200</xdr:rowOff>
    </xdr:from>
    <xdr:to>
      <xdr:col>7</xdr:col>
      <xdr:colOff>520700</xdr:colOff>
      <xdr:row>14</xdr:row>
      <xdr:rowOff>50800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BAB74A07-CAA8-B54B-B9A1-EE05E7A9AB98}"/>
            </a:ext>
          </a:extLst>
        </xdr:cNvPr>
        <xdr:cNvSpPr txBox="1"/>
      </xdr:nvSpPr>
      <xdr:spPr>
        <a:xfrm>
          <a:off x="2286000" y="2120900"/>
          <a:ext cx="4013200" cy="172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/>
            <a:t>(P+a/V^2)*(V-b)=R*T</a:t>
          </a:r>
        </a:p>
        <a:p>
          <a:r>
            <a:rPr lang="is-IS" sz="2400"/>
            <a:t>f(V)=(P+a/V^2)*(V-b)-R*T=0</a:t>
          </a:r>
          <a:endParaRPr lang="en-US" sz="2400"/>
        </a:p>
        <a:p>
          <a:endParaRPr lang="en-US" sz="1100"/>
        </a:p>
      </xdr:txBody>
    </xdr:sp>
    <xdr:clientData/>
  </xdr:twoCellAnchor>
  <xdr:twoCellAnchor>
    <xdr:from>
      <xdr:col>10</xdr:col>
      <xdr:colOff>292100</xdr:colOff>
      <xdr:row>2</xdr:row>
      <xdr:rowOff>114300</xdr:rowOff>
    </xdr:from>
    <xdr:to>
      <xdr:col>14</xdr:col>
      <xdr:colOff>584200</xdr:colOff>
      <xdr:row>6</xdr:row>
      <xdr:rowOff>165100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27706BC6-5323-4E40-8E3D-D030D82DF355}"/>
            </a:ext>
          </a:extLst>
        </xdr:cNvPr>
        <xdr:cNvSpPr txBox="1"/>
      </xdr:nvSpPr>
      <xdr:spPr>
        <a:xfrm>
          <a:off x="8623300" y="711200"/>
          <a:ext cx="3594100" cy="1219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g(V)</a:t>
          </a:r>
          <a:r>
            <a:rPr lang="en-US" sz="1600" baseline="0"/>
            <a:t> converges well becauses its derivative, </a:t>
          </a:r>
        </a:p>
        <a:p>
          <a:r>
            <a:rPr lang="en-US" sz="1600" baseline="0"/>
            <a:t>g'(V) = (RT(2a/V^3))/(P+a/V^2)^2 is &lt; 1 in magnitude.</a:t>
          </a:r>
          <a:endParaRPr lang="en-US" sz="1600"/>
        </a:p>
      </xdr:txBody>
    </xdr:sp>
    <xdr:clientData/>
  </xdr:twoCellAnchor>
  <xdr:twoCellAnchor>
    <xdr:from>
      <xdr:col>10</xdr:col>
      <xdr:colOff>292100</xdr:colOff>
      <xdr:row>6</xdr:row>
      <xdr:rowOff>266700</xdr:rowOff>
    </xdr:from>
    <xdr:to>
      <xdr:col>14</xdr:col>
      <xdr:colOff>571500</xdr:colOff>
      <xdr:row>10</xdr:row>
      <xdr:rowOff>177800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5591C384-3483-6040-A438-2F54AEDF5502}"/>
            </a:ext>
          </a:extLst>
        </xdr:cNvPr>
        <xdr:cNvSpPr txBox="1"/>
      </xdr:nvSpPr>
      <xdr:spPr>
        <a:xfrm>
          <a:off x="8623300" y="2032000"/>
          <a:ext cx="358140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The calculated root</a:t>
          </a:r>
          <a:r>
            <a:rPr lang="en-US" sz="1600" baseline="0"/>
            <a:t> is found at V = 4.23 L/gmol is accurate to the depicted graph.</a:t>
          </a:r>
          <a:endParaRPr lang="en-US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0</xdr:row>
      <xdr:rowOff>279400</xdr:rowOff>
    </xdr:from>
    <xdr:to>
      <xdr:col>17</xdr:col>
      <xdr:colOff>342900</xdr:colOff>
      <xdr:row>10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8654915-ADD5-8446-991D-D3214B5AED5C}"/>
            </a:ext>
          </a:extLst>
        </xdr:cNvPr>
        <xdr:cNvSpPr txBox="1"/>
      </xdr:nvSpPr>
      <xdr:spPr>
        <a:xfrm>
          <a:off x="5270500" y="279400"/>
          <a:ext cx="7061200" cy="276860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latin typeface="Arial"/>
              <a:cs typeface="Arial"/>
            </a:rPr>
            <a:t>1. Guess a</a:t>
          </a:r>
          <a:r>
            <a:rPr lang="en-US" sz="1800" baseline="0">
              <a:latin typeface="Arial"/>
              <a:cs typeface="Arial"/>
            </a:rPr>
            <a:t> and b such that</a:t>
          </a:r>
        </a:p>
        <a:p>
          <a:r>
            <a:rPr lang="en-US" sz="1800" baseline="0">
              <a:latin typeface="Arial"/>
              <a:cs typeface="Arial"/>
            </a:rPr>
            <a:t>f(a)*f(b)&lt;0</a:t>
          </a:r>
        </a:p>
        <a:p>
          <a:r>
            <a:rPr lang="en-US" sz="1800" baseline="0">
              <a:latin typeface="Arial"/>
              <a:cs typeface="Arial"/>
            </a:rPr>
            <a:t>2. Find c=(a+b)/2</a:t>
          </a:r>
        </a:p>
        <a:p>
          <a:r>
            <a:rPr lang="en-US" sz="1800" baseline="0">
              <a:latin typeface="Arial"/>
              <a:cs typeface="Arial"/>
            </a:rPr>
            <a:t>3. Check, if f(c)*f(a)&gt;0, replace a by c, otherwise replace b by c</a:t>
          </a:r>
        </a:p>
        <a:p>
          <a:r>
            <a:rPr lang="en-US" sz="1800" baseline="0">
              <a:latin typeface="Arial"/>
              <a:cs typeface="Arial"/>
            </a:rPr>
            <a:t>4. Iterate from step 2 until a=b</a:t>
          </a:r>
        </a:p>
        <a:p>
          <a:endParaRPr lang="en-US" sz="1800">
            <a:latin typeface="Arial"/>
            <a:cs typeface="Arial"/>
          </a:endParaRPr>
        </a:p>
        <a:p>
          <a:r>
            <a:rPr lang="en-US" sz="1800">
              <a:solidFill>
                <a:srgbClr val="0000FF"/>
              </a:solidFill>
              <a:latin typeface="Arial"/>
              <a:cs typeface="Arial"/>
            </a:rPr>
            <a:t>Example:</a:t>
          </a:r>
        </a:p>
        <a:p>
          <a:r>
            <a:rPr lang="en-US" sz="1800">
              <a:latin typeface="Arial"/>
              <a:cs typeface="Arial"/>
            </a:rPr>
            <a:t>Solve for the root of</a:t>
          </a:r>
          <a:r>
            <a:rPr lang="en-US" sz="1800" baseline="0">
              <a:latin typeface="Arial"/>
              <a:cs typeface="Arial"/>
            </a:rPr>
            <a:t> </a:t>
          </a:r>
        </a:p>
        <a:p>
          <a:r>
            <a:rPr lang="en-US" sz="1800" baseline="0">
              <a:latin typeface="Arial"/>
              <a:cs typeface="Arial"/>
            </a:rPr>
            <a:t>(P+a/V^2)*(V-b)-R*T=0</a:t>
          </a:r>
        </a:p>
        <a:p>
          <a:endParaRPr lang="en-US" sz="1800"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723900</xdr:colOff>
      <xdr:row>1</xdr:row>
      <xdr:rowOff>12700</xdr:rowOff>
    </xdr:from>
    <xdr:to>
      <xdr:col>10</xdr:col>
      <xdr:colOff>495300</xdr:colOff>
      <xdr:row>5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983508A-D1BB-F04D-BC01-7BDFD51FF4B1}"/>
            </a:ext>
          </a:extLst>
        </xdr:cNvPr>
        <xdr:cNvSpPr txBox="1"/>
      </xdr:nvSpPr>
      <xdr:spPr>
        <a:xfrm>
          <a:off x="3022600" y="317500"/>
          <a:ext cx="4572000" cy="142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Apply Goal Seek multiple times using a macro in spreadsheet:</a:t>
          </a:r>
        </a:p>
        <a:p>
          <a:r>
            <a:rPr lang="is-IS" sz="1800"/>
            <a:t>f(V)=(P+a/V^2)*(V-b)-R*T=0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bart/Downloads/Example%201.1.xlsx" TargetMode="External"/><Relationship Id="rId1" Type="http://schemas.openxmlformats.org/officeDocument/2006/relationships/externalLinkPath" Target="Example%201.1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bart/Downloads/Example%201.2.xlsx" TargetMode="External"/><Relationship Id="rId1" Type="http://schemas.openxmlformats.org/officeDocument/2006/relationships/externalLinkPath" Target="Example%201.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</sheetNames>
    <sheetDataSet>
      <sheetData sheetId="0" refreshError="1"/>
      <sheetData sheetId="1">
        <row r="1">
          <cell r="B1" t="str">
            <v>f(V)</v>
          </cell>
        </row>
        <row r="2">
          <cell r="A2">
            <v>0.5</v>
          </cell>
          <cell r="B2">
            <v>-30.452747804649903</v>
          </cell>
        </row>
        <row r="3">
          <cell r="A3">
            <v>0.75</v>
          </cell>
          <cell r="B3">
            <v>-30.424652817829354</v>
          </cell>
        </row>
        <row r="4">
          <cell r="A4">
            <v>1</v>
          </cell>
          <cell r="B4">
            <v>-29.213664389942267</v>
          </cell>
        </row>
        <row r="5">
          <cell r="A5">
            <v>1.25</v>
          </cell>
          <cell r="B5">
            <v>-27.504050234177438</v>
          </cell>
        </row>
        <row r="6">
          <cell r="A6">
            <v>1.5</v>
          </cell>
          <cell r="B6">
            <v>-25.538048672403974</v>
          </cell>
        </row>
        <row r="7">
          <cell r="A7">
            <v>1.75</v>
          </cell>
          <cell r="B7">
            <v>-23.42294121011016</v>
          </cell>
        </row>
        <row r="8">
          <cell r="A8">
            <v>2</v>
          </cell>
          <cell r="B8">
            <v>-21.213505580015624</v>
          </cell>
        </row>
        <row r="9">
          <cell r="A9">
            <v>2.25</v>
          </cell>
          <cell r="B9">
            <v>-18.940623033127775</v>
          </cell>
        </row>
        <row r="10">
          <cell r="A10">
            <v>2.5</v>
          </cell>
          <cell r="B10">
            <v>-16.62302444982447</v>
          </cell>
        </row>
        <row r="11">
          <cell r="A11">
            <v>2.75</v>
          </cell>
          <cell r="B11">
            <v>-14.272729710894971</v>
          </cell>
        </row>
        <row r="12">
          <cell r="A12">
            <v>3</v>
          </cell>
          <cell r="B12">
            <v>-11.89780566521447</v>
          </cell>
        </row>
        <row r="13">
          <cell r="A13">
            <v>3.25</v>
          </cell>
          <cell r="B13">
            <v>-9.5038674988178897</v>
          </cell>
        </row>
        <row r="14">
          <cell r="A14">
            <v>3.5</v>
          </cell>
          <cell r="B14">
            <v>-7.0949442323791416</v>
          </cell>
        </row>
        <row r="15">
          <cell r="A15">
            <v>3.75</v>
          </cell>
          <cell r="B15">
            <v>-4.6740017890184262</v>
          </cell>
        </row>
        <row r="16">
          <cell r="A16">
            <v>4</v>
          </cell>
          <cell r="B16">
            <v>-2.2432718994090948</v>
          </cell>
        </row>
        <row r="17">
          <cell r="A17">
            <v>4.25</v>
          </cell>
          <cell r="B17">
            <v>0.19553397679910489</v>
          </cell>
        </row>
      </sheetData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</sheetNames>
    <sheetDataSet>
      <sheetData sheetId="0" refreshError="1"/>
      <sheetData sheetId="1">
        <row r="11">
          <cell r="N11" t="str">
            <v>f(x)</v>
          </cell>
        </row>
        <row r="12">
          <cell r="M12">
            <v>1</v>
          </cell>
          <cell r="N12">
            <v>-0.8414709848078965</v>
          </cell>
        </row>
        <row r="13">
          <cell r="M13">
            <v>1.1000000000000001</v>
          </cell>
          <cell r="N13">
            <v>-0.59029826915234429</v>
          </cell>
        </row>
        <row r="14">
          <cell r="M14">
            <v>1.2</v>
          </cell>
          <cell r="N14">
            <v>-0.32537241930055971</v>
          </cell>
        </row>
        <row r="15">
          <cell r="M15">
            <v>1.3</v>
          </cell>
          <cell r="N15">
            <v>-4.2788954647961952E-2</v>
          </cell>
        </row>
        <row r="16">
          <cell r="M16">
            <v>1.4</v>
          </cell>
          <cell r="N16">
            <v>0.26026455572582541</v>
          </cell>
        </row>
        <row r="17">
          <cell r="M17">
            <v>1.5</v>
          </cell>
          <cell r="N17">
            <v>0.58583834672927904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C5A14-423A-894F-8D6D-D8C241EC015B}">
  <sheetPr codeName="Sheet1"/>
  <dimension ref="A1:P18"/>
  <sheetViews>
    <sheetView workbookViewId="0">
      <selection activeCell="J18" sqref="J18"/>
    </sheetView>
  </sheetViews>
  <sheetFormatPr baseColWidth="10" defaultRowHeight="16" x14ac:dyDescent="0.2"/>
  <sheetData>
    <row r="1" spans="1:16" ht="23" x14ac:dyDescent="0.25">
      <c r="A1" s="1" t="s">
        <v>0</v>
      </c>
      <c r="B1" s="1" t="s">
        <v>1</v>
      </c>
      <c r="C1" s="2"/>
      <c r="D1" s="3" t="s">
        <v>2</v>
      </c>
      <c r="E1" s="2"/>
      <c r="F1" s="2"/>
      <c r="G1" s="2"/>
      <c r="H1" s="2"/>
      <c r="I1" s="2"/>
      <c r="J1" s="2"/>
      <c r="K1" s="2"/>
      <c r="L1" s="2"/>
    </row>
    <row r="2" spans="1:16" ht="23" x14ac:dyDescent="0.25">
      <c r="A2" s="4">
        <v>0.5</v>
      </c>
      <c r="B2" s="4">
        <f>(E$3+E$5/A2^2)*(A2-E$6)-E$2*E$4</f>
        <v>-30.452747804649903</v>
      </c>
      <c r="C2" s="2"/>
      <c r="D2" s="5" t="s">
        <v>3</v>
      </c>
      <c r="E2" s="2">
        <v>8.2059999999999994E-2</v>
      </c>
      <c r="F2" s="2"/>
      <c r="G2" s="2"/>
      <c r="H2" s="2"/>
      <c r="I2" s="23"/>
      <c r="J2" s="23"/>
      <c r="K2" s="21"/>
      <c r="L2" s="21"/>
      <c r="M2" s="22"/>
      <c r="N2" s="22"/>
      <c r="O2" s="22"/>
      <c r="P2" s="22"/>
    </row>
    <row r="3" spans="1:16" ht="23" x14ac:dyDescent="0.25">
      <c r="A3" s="4">
        <v>0.75</v>
      </c>
      <c r="B3" s="4">
        <f>(E$3+E$5/A3^2)*(A3-E$6)-E$2*E$4</f>
        <v>-30.424652817829354</v>
      </c>
      <c r="C3" s="2"/>
      <c r="D3" s="5" t="s">
        <v>4</v>
      </c>
      <c r="E3" s="2">
        <v>10</v>
      </c>
      <c r="F3" s="2" t="s">
        <v>5</v>
      </c>
      <c r="G3" s="2"/>
      <c r="H3" s="2"/>
      <c r="I3" s="21"/>
      <c r="J3" s="21"/>
      <c r="K3" s="21"/>
      <c r="L3" s="21"/>
      <c r="M3" s="22"/>
      <c r="N3" s="22"/>
      <c r="O3" s="22"/>
      <c r="P3" s="22"/>
    </row>
    <row r="4" spans="1:16" ht="23" x14ac:dyDescent="0.25">
      <c r="A4" s="4">
        <v>1</v>
      </c>
      <c r="B4" s="4">
        <f t="shared" ref="B4:B16" si="0">(E$3+E$5/A4^2)*(A4-E$6)-E$2*E$4</f>
        <v>-29.213664389942267</v>
      </c>
      <c r="C4" s="2"/>
      <c r="D4" s="5" t="s">
        <v>6</v>
      </c>
      <c r="E4" s="2">
        <f>250+273</f>
        <v>523</v>
      </c>
      <c r="F4" s="2" t="s">
        <v>7</v>
      </c>
      <c r="G4" s="2"/>
      <c r="H4" s="2"/>
      <c r="I4" s="21"/>
      <c r="J4" s="21"/>
      <c r="K4" s="21"/>
      <c r="L4" s="21"/>
      <c r="M4" s="22"/>
      <c r="N4" s="22"/>
      <c r="O4" s="22"/>
      <c r="P4" s="22"/>
    </row>
    <row r="5" spans="1:16" ht="23" x14ac:dyDescent="0.25">
      <c r="A5" s="4">
        <v>1.25</v>
      </c>
      <c r="B5" s="4">
        <f t="shared" si="0"/>
        <v>-27.504050234177438</v>
      </c>
      <c r="C5" s="2"/>
      <c r="D5" s="5" t="s">
        <v>8</v>
      </c>
      <c r="E5" s="2">
        <v>4.2384481750010528</v>
      </c>
      <c r="F5" s="2"/>
      <c r="G5" s="2"/>
      <c r="H5" s="2"/>
      <c r="I5" s="21"/>
      <c r="J5" s="21"/>
      <c r="K5" s="21"/>
      <c r="L5" s="21"/>
      <c r="M5" s="22"/>
      <c r="N5" s="22"/>
      <c r="O5" s="22"/>
      <c r="P5" s="22"/>
    </row>
    <row r="6" spans="1:16" ht="23" x14ac:dyDescent="0.25">
      <c r="A6" s="4">
        <v>1.5</v>
      </c>
      <c r="B6" s="4">
        <f t="shared" si="0"/>
        <v>-25.538048672403974</v>
      </c>
      <c r="C6" s="2"/>
      <c r="D6" s="5" t="s">
        <v>9</v>
      </c>
      <c r="E6" s="2">
        <v>3.755553683737646E-2</v>
      </c>
      <c r="F6" s="2"/>
      <c r="G6" s="2"/>
      <c r="H6" s="2"/>
      <c r="I6" s="21"/>
      <c r="J6" s="21"/>
      <c r="K6" s="21"/>
      <c r="L6" s="21"/>
      <c r="M6" s="22"/>
      <c r="N6" s="22"/>
      <c r="O6" s="22"/>
      <c r="P6" s="22"/>
    </row>
    <row r="7" spans="1:16" ht="23" x14ac:dyDescent="0.25">
      <c r="A7" s="4">
        <v>1.75</v>
      </c>
      <c r="B7" s="4">
        <f t="shared" si="0"/>
        <v>-23.42294121011016</v>
      </c>
      <c r="C7" s="2"/>
      <c r="D7" s="2"/>
      <c r="E7" s="2"/>
      <c r="F7" s="2"/>
      <c r="G7" s="2"/>
      <c r="H7" s="2"/>
      <c r="I7" s="21"/>
      <c r="J7" s="21"/>
      <c r="K7" s="21"/>
      <c r="L7" s="21"/>
      <c r="M7" s="22"/>
      <c r="N7" s="22"/>
      <c r="O7" s="22"/>
      <c r="P7" s="22"/>
    </row>
    <row r="8" spans="1:16" ht="23" x14ac:dyDescent="0.25">
      <c r="A8" s="4">
        <v>2</v>
      </c>
      <c r="B8" s="4">
        <f t="shared" si="0"/>
        <v>-21.213505580015624</v>
      </c>
      <c r="C8" s="2"/>
      <c r="D8" s="2"/>
      <c r="E8" s="2"/>
      <c r="F8" s="2"/>
      <c r="G8" s="2"/>
      <c r="H8" s="2"/>
      <c r="I8" s="21"/>
      <c r="J8" s="21"/>
      <c r="K8" s="21"/>
      <c r="L8" s="21"/>
      <c r="M8" s="22"/>
      <c r="N8" s="22"/>
      <c r="O8" s="22"/>
      <c r="P8" s="22"/>
    </row>
    <row r="9" spans="1:16" ht="23" x14ac:dyDescent="0.25">
      <c r="A9" s="4">
        <v>2.25</v>
      </c>
      <c r="B9" s="4">
        <f t="shared" si="0"/>
        <v>-18.940623033127775</v>
      </c>
      <c r="C9" s="2"/>
      <c r="D9" s="2"/>
      <c r="E9" s="2"/>
      <c r="F9" s="2"/>
      <c r="G9" s="2"/>
      <c r="H9" s="2"/>
      <c r="I9" s="21"/>
      <c r="J9" s="23"/>
      <c r="K9" s="21"/>
      <c r="L9" s="21"/>
      <c r="M9" s="22"/>
      <c r="N9" s="22"/>
      <c r="O9" s="22"/>
      <c r="P9" s="22"/>
    </row>
    <row r="10" spans="1:16" ht="23" x14ac:dyDescent="0.25">
      <c r="A10" s="4">
        <v>2.5</v>
      </c>
      <c r="B10" s="4">
        <f t="shared" si="0"/>
        <v>-16.62302444982447</v>
      </c>
      <c r="C10" s="2"/>
      <c r="D10" s="2"/>
      <c r="E10" s="2"/>
      <c r="F10" s="2"/>
      <c r="G10" s="2"/>
      <c r="H10" s="2"/>
      <c r="I10" s="21"/>
      <c r="J10" s="21"/>
      <c r="K10" s="21"/>
      <c r="L10" s="21"/>
      <c r="M10" s="22"/>
      <c r="N10" s="22"/>
      <c r="O10" s="22"/>
      <c r="P10" s="22"/>
    </row>
    <row r="11" spans="1:16" ht="23" x14ac:dyDescent="0.25">
      <c r="A11" s="4">
        <v>2.75</v>
      </c>
      <c r="B11" s="4">
        <f t="shared" si="0"/>
        <v>-14.272729710894971</v>
      </c>
      <c r="C11" s="2"/>
      <c r="D11" s="2"/>
      <c r="E11" s="2"/>
      <c r="F11" s="2"/>
      <c r="G11" s="2"/>
      <c r="H11" s="2"/>
      <c r="I11" s="21"/>
      <c r="J11" s="21"/>
      <c r="K11" s="21"/>
      <c r="L11" s="21"/>
      <c r="M11" s="22"/>
      <c r="N11" s="22"/>
      <c r="O11" s="22"/>
      <c r="P11" s="22"/>
    </row>
    <row r="12" spans="1:16" ht="23" x14ac:dyDescent="0.25">
      <c r="A12" s="4">
        <v>3</v>
      </c>
      <c r="B12" s="4">
        <f t="shared" si="0"/>
        <v>-11.89780566521447</v>
      </c>
      <c r="C12" s="2"/>
      <c r="D12" s="2"/>
      <c r="E12" s="2"/>
      <c r="F12" s="2"/>
      <c r="G12" s="2"/>
      <c r="H12" s="2"/>
      <c r="I12" s="21"/>
      <c r="J12" s="21"/>
      <c r="K12" s="21"/>
      <c r="L12" s="21"/>
      <c r="M12" s="22"/>
      <c r="N12" s="22"/>
      <c r="O12" s="22"/>
      <c r="P12" s="22"/>
    </row>
    <row r="13" spans="1:16" ht="23" x14ac:dyDescent="0.25">
      <c r="A13" s="4">
        <v>3.25</v>
      </c>
      <c r="B13" s="4">
        <f t="shared" si="0"/>
        <v>-9.5038674988178897</v>
      </c>
      <c r="C13" s="2"/>
      <c r="D13" s="2"/>
      <c r="E13" s="2"/>
      <c r="F13" s="2"/>
      <c r="G13" s="2"/>
      <c r="H13" s="2"/>
      <c r="I13" s="21"/>
      <c r="J13" s="21"/>
      <c r="K13" s="21"/>
      <c r="L13" s="21"/>
      <c r="M13" s="22"/>
      <c r="N13" s="22"/>
      <c r="O13" s="22"/>
      <c r="P13" s="22"/>
    </row>
    <row r="14" spans="1:16" ht="23" x14ac:dyDescent="0.25">
      <c r="A14" s="4">
        <v>3.5</v>
      </c>
      <c r="B14" s="4">
        <f t="shared" si="0"/>
        <v>-7.0949442323791416</v>
      </c>
      <c r="C14" s="2"/>
      <c r="D14" s="2"/>
      <c r="E14" s="2"/>
      <c r="F14" s="2"/>
      <c r="G14" s="2"/>
      <c r="H14" s="2"/>
      <c r="I14" s="21"/>
      <c r="J14" s="21"/>
      <c r="K14" s="21"/>
      <c r="L14" s="21"/>
      <c r="M14" s="22"/>
      <c r="N14" s="22"/>
      <c r="O14" s="22"/>
      <c r="P14" s="22"/>
    </row>
    <row r="15" spans="1:16" ht="23" x14ac:dyDescent="0.25">
      <c r="A15" s="4">
        <v>3.75</v>
      </c>
      <c r="B15" s="4">
        <f t="shared" si="0"/>
        <v>-4.6740017890184262</v>
      </c>
      <c r="C15" s="2"/>
      <c r="D15" s="2"/>
      <c r="E15" s="2"/>
      <c r="F15" s="2"/>
      <c r="G15" s="2"/>
      <c r="H15" s="2"/>
      <c r="I15" s="21"/>
      <c r="J15" s="21"/>
      <c r="K15" s="21"/>
      <c r="L15" s="21"/>
      <c r="M15" s="22"/>
      <c r="N15" s="22"/>
      <c r="O15" s="22"/>
      <c r="P15" s="22"/>
    </row>
    <row r="16" spans="1:16" ht="23" x14ac:dyDescent="0.25">
      <c r="A16" s="4">
        <v>4</v>
      </c>
      <c r="B16" s="4">
        <f t="shared" si="0"/>
        <v>-2.2432718994090948</v>
      </c>
      <c r="C16" s="2"/>
      <c r="D16" s="2"/>
      <c r="E16" s="2"/>
      <c r="F16" s="2"/>
      <c r="G16" s="2"/>
      <c r="H16" s="2"/>
      <c r="I16" s="21"/>
      <c r="J16" s="21"/>
      <c r="K16" s="21"/>
      <c r="L16" s="21"/>
      <c r="M16" s="22"/>
      <c r="N16" s="22"/>
      <c r="O16" s="22"/>
      <c r="P16" s="22"/>
    </row>
    <row r="17" spans="1:12" ht="23" x14ac:dyDescent="0.25">
      <c r="A17" s="4">
        <v>4.25</v>
      </c>
      <c r="B17" s="4">
        <f>(E$3+E$5/A17^2)*(A17-E$6)-E$2*E$4</f>
        <v>0.19553397679910489</v>
      </c>
      <c r="C17" s="2"/>
      <c r="D17" s="2"/>
      <c r="E17" s="2"/>
      <c r="F17" s="2"/>
      <c r="G17" s="2"/>
      <c r="H17" s="2"/>
      <c r="I17" s="7" t="s">
        <v>24</v>
      </c>
      <c r="J17" s="2"/>
      <c r="K17" s="2"/>
      <c r="L17" s="2"/>
    </row>
    <row r="18" spans="1:12" ht="23" x14ac:dyDescent="0.25">
      <c r="A18" s="3"/>
      <c r="B18" s="6"/>
      <c r="C18" s="2"/>
      <c r="D18" s="2"/>
      <c r="E18" s="2"/>
      <c r="F18" s="2"/>
      <c r="G18" s="2"/>
      <c r="H18" s="2"/>
      <c r="I18" s="2"/>
      <c r="J18" s="2"/>
      <c r="K18" s="2"/>
      <c r="L18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0F254-B626-6A47-A07E-04BF8FA4A72F}">
  <sheetPr codeName="Sheet2"/>
  <dimension ref="A1:S28"/>
  <sheetViews>
    <sheetView workbookViewId="0">
      <selection activeCell="L13" sqref="L13"/>
    </sheetView>
  </sheetViews>
  <sheetFormatPr baseColWidth="10" defaultRowHeight="16" x14ac:dyDescent="0.2"/>
  <cols>
    <col min="1" max="2" width="11.33203125" bestFit="1" customWidth="1"/>
  </cols>
  <sheetData>
    <row r="1" spans="1:15" ht="24" x14ac:dyDescent="0.3">
      <c r="A1" s="8" t="s">
        <v>12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</row>
    <row r="2" spans="1:15" ht="23" x14ac:dyDescent="0.25">
      <c r="A2" s="1" t="s">
        <v>0</v>
      </c>
      <c r="B2" s="1" t="s">
        <v>1</v>
      </c>
      <c r="C2" s="2"/>
      <c r="D2" s="3" t="s">
        <v>2</v>
      </c>
      <c r="E2" s="2"/>
      <c r="F2" s="2"/>
      <c r="G2" s="2"/>
      <c r="H2" s="2"/>
      <c r="I2" s="2" t="s">
        <v>10</v>
      </c>
      <c r="J2" s="2"/>
      <c r="K2" s="2"/>
      <c r="L2" s="2"/>
    </row>
    <row r="3" spans="1:15" ht="23" x14ac:dyDescent="0.25">
      <c r="A3" s="4">
        <v>0.5</v>
      </c>
      <c r="B3" s="4">
        <f>(E$4+E$6/A3^2)*(A3-E$7)-E$3*E$5</f>
        <v>-30.452747804649903</v>
      </c>
      <c r="C3" s="2"/>
      <c r="D3" s="5" t="s">
        <v>3</v>
      </c>
      <c r="E3" s="2">
        <v>8.2059999999999994E-2</v>
      </c>
      <c r="F3" s="2"/>
      <c r="G3" s="2"/>
      <c r="H3" s="2"/>
      <c r="I3" s="7" t="s">
        <v>0</v>
      </c>
      <c r="J3" s="7" t="s">
        <v>11</v>
      </c>
      <c r="K3" s="21"/>
      <c r="L3" s="21"/>
      <c r="M3" s="22"/>
      <c r="N3" s="22"/>
      <c r="O3" s="22"/>
    </row>
    <row r="4" spans="1:15" ht="23" x14ac:dyDescent="0.25">
      <c r="A4" s="4">
        <v>0.75</v>
      </c>
      <c r="B4" s="4">
        <f t="shared" ref="B4:B18" si="0">(E$4+E$6/A4^2)*(A4-E$7)-E$3*E$5</f>
        <v>-30.424652817829354</v>
      </c>
      <c r="C4" s="2"/>
      <c r="D4" s="5" t="s">
        <v>4</v>
      </c>
      <c r="E4" s="2">
        <v>10</v>
      </c>
      <c r="F4" s="2" t="s">
        <v>5</v>
      </c>
      <c r="G4" s="2"/>
      <c r="H4" s="2"/>
      <c r="I4" s="2">
        <v>0.5</v>
      </c>
      <c r="J4" s="2">
        <f>E$7+(E$3*E$5)/(E$4+E$6/I4^2)</f>
        <v>1.6298130895191292</v>
      </c>
      <c r="K4" s="21"/>
      <c r="L4" s="21"/>
      <c r="M4" s="22"/>
      <c r="N4" s="22"/>
      <c r="O4" s="22"/>
    </row>
    <row r="5" spans="1:15" ht="23" x14ac:dyDescent="0.25">
      <c r="A5" s="4">
        <v>1</v>
      </c>
      <c r="B5" s="4">
        <f t="shared" si="0"/>
        <v>-29.213664389942267</v>
      </c>
      <c r="C5" s="2"/>
      <c r="D5" s="5" t="s">
        <v>6</v>
      </c>
      <c r="E5" s="2">
        <f>250+273</f>
        <v>523</v>
      </c>
      <c r="F5" s="2" t="s">
        <v>7</v>
      </c>
      <c r="G5" s="2"/>
      <c r="H5" s="2"/>
      <c r="I5" s="2">
        <f>J4</f>
        <v>1.6298130895191292</v>
      </c>
      <c r="J5" s="2">
        <f>E$7+(E$3*E$5)/(E$4+E$6/I5^2)</f>
        <v>3.7387250715746125</v>
      </c>
      <c r="K5" s="21"/>
      <c r="L5" s="21"/>
      <c r="M5" s="22"/>
      <c r="N5" s="22"/>
      <c r="O5" s="22"/>
    </row>
    <row r="6" spans="1:15" ht="23" x14ac:dyDescent="0.25">
      <c r="A6" s="4">
        <v>1.25</v>
      </c>
      <c r="B6" s="4">
        <f t="shared" si="0"/>
        <v>-27.504050234177438</v>
      </c>
      <c r="C6" s="2"/>
      <c r="D6" s="5" t="s">
        <v>8</v>
      </c>
      <c r="E6" s="2">
        <v>4.2384481750010528</v>
      </c>
      <c r="F6" s="2"/>
      <c r="G6" s="2"/>
      <c r="H6" s="2"/>
      <c r="I6" s="2">
        <f t="shared" ref="I6:I10" si="1">J5</f>
        <v>3.7387250715746125</v>
      </c>
      <c r="J6" s="2">
        <f t="shared" ref="J6:J10" si="2">E$7+(E$3*E$5)/(E$4+E$6/I6^2)</f>
        <v>4.2029886986522698</v>
      </c>
      <c r="K6" s="21"/>
      <c r="L6" s="21"/>
      <c r="M6" s="22"/>
      <c r="N6" s="22"/>
      <c r="O6" s="22"/>
    </row>
    <row r="7" spans="1:15" ht="23" x14ac:dyDescent="0.25">
      <c r="A7" s="4">
        <v>1.5</v>
      </c>
      <c r="B7" s="4">
        <f t="shared" si="0"/>
        <v>-25.538048672403974</v>
      </c>
      <c r="C7" s="2"/>
      <c r="D7" s="5" t="s">
        <v>9</v>
      </c>
      <c r="E7" s="2">
        <v>3.755553683737646E-2</v>
      </c>
      <c r="F7" s="2"/>
      <c r="G7" s="2"/>
      <c r="H7" s="2"/>
      <c r="I7" s="2">
        <f t="shared" si="1"/>
        <v>4.2029886986522698</v>
      </c>
      <c r="J7" s="2">
        <f t="shared" si="2"/>
        <v>4.2287332487843114</v>
      </c>
      <c r="K7" s="21"/>
      <c r="L7" s="21"/>
      <c r="M7" s="22"/>
      <c r="N7" s="22"/>
      <c r="O7" s="22"/>
    </row>
    <row r="8" spans="1:15" ht="23" x14ac:dyDescent="0.25">
      <c r="A8" s="4">
        <v>1.75</v>
      </c>
      <c r="B8" s="4">
        <f t="shared" si="0"/>
        <v>-23.42294121011016</v>
      </c>
      <c r="C8" s="2"/>
      <c r="D8" s="2"/>
      <c r="E8" s="2"/>
      <c r="F8" s="2"/>
      <c r="G8" s="2"/>
      <c r="H8" s="2"/>
      <c r="I8" s="2">
        <f t="shared" si="1"/>
        <v>4.2287332487843114</v>
      </c>
      <c r="J8" s="2">
        <f t="shared" si="2"/>
        <v>4.2299256816281599</v>
      </c>
      <c r="K8" s="21"/>
      <c r="L8" s="21"/>
      <c r="M8" s="22"/>
      <c r="N8" s="22"/>
      <c r="O8" s="22"/>
    </row>
    <row r="9" spans="1:15" ht="23" x14ac:dyDescent="0.25">
      <c r="A9" s="4">
        <v>2</v>
      </c>
      <c r="B9" s="4">
        <f t="shared" si="0"/>
        <v>-21.213505580015624</v>
      </c>
      <c r="C9" s="2"/>
      <c r="D9" s="2"/>
      <c r="E9" s="2"/>
      <c r="F9" s="2"/>
      <c r="G9" s="2"/>
      <c r="H9" s="2"/>
      <c r="I9" s="2">
        <f t="shared" si="1"/>
        <v>4.2299256816281599</v>
      </c>
      <c r="J9" s="2">
        <f t="shared" si="2"/>
        <v>4.2299804018654177</v>
      </c>
      <c r="K9" s="21"/>
      <c r="L9" s="21"/>
      <c r="M9" s="22"/>
      <c r="N9" s="22"/>
      <c r="O9" s="22"/>
    </row>
    <row r="10" spans="1:15" ht="23" x14ac:dyDescent="0.25">
      <c r="A10" s="4">
        <v>2.25</v>
      </c>
      <c r="B10" s="4">
        <f t="shared" si="0"/>
        <v>-18.940623033127775</v>
      </c>
      <c r="C10" s="2"/>
      <c r="D10" s="2"/>
      <c r="E10" s="2"/>
      <c r="F10" s="2"/>
      <c r="G10" s="2"/>
      <c r="H10" s="2"/>
      <c r="I10" s="2">
        <f t="shared" si="1"/>
        <v>4.2299804018654177</v>
      </c>
      <c r="J10" s="7">
        <f t="shared" si="2"/>
        <v>4.2299829118776673</v>
      </c>
      <c r="K10" s="21"/>
      <c r="L10" s="21"/>
      <c r="M10" s="22"/>
      <c r="N10" s="22"/>
      <c r="O10" s="22"/>
    </row>
    <row r="11" spans="1:15" ht="23" x14ac:dyDescent="0.25">
      <c r="A11" s="4">
        <v>2.5</v>
      </c>
      <c r="B11" s="4">
        <f t="shared" si="0"/>
        <v>-16.62302444982447</v>
      </c>
      <c r="C11" s="2"/>
      <c r="D11" s="2"/>
      <c r="E11" s="2"/>
      <c r="F11" s="2"/>
      <c r="G11" s="2"/>
      <c r="H11" s="2"/>
      <c r="I11" s="2"/>
      <c r="J11" s="2"/>
      <c r="K11" s="21"/>
      <c r="L11" s="21"/>
      <c r="M11" s="22"/>
      <c r="N11" s="22"/>
      <c r="O11" s="22"/>
    </row>
    <row r="12" spans="1:15" ht="23" x14ac:dyDescent="0.25">
      <c r="A12" s="4">
        <v>2.75</v>
      </c>
      <c r="B12" s="4">
        <f t="shared" si="0"/>
        <v>-14.272729710894971</v>
      </c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5" ht="23" x14ac:dyDescent="0.25">
      <c r="A13" s="4">
        <v>3</v>
      </c>
      <c r="B13" s="4">
        <f t="shared" si="0"/>
        <v>-11.89780566521447</v>
      </c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5" ht="23" x14ac:dyDescent="0.25">
      <c r="A14" s="4">
        <v>3.25</v>
      </c>
      <c r="B14" s="4">
        <f t="shared" si="0"/>
        <v>-9.5038674988178897</v>
      </c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5" ht="23" x14ac:dyDescent="0.25">
      <c r="A15" s="4">
        <v>3.5</v>
      </c>
      <c r="B15" s="4">
        <f t="shared" si="0"/>
        <v>-7.0949442323791416</v>
      </c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5" ht="23" x14ac:dyDescent="0.25">
      <c r="A16" s="4">
        <v>3.75</v>
      </c>
      <c r="B16" s="4">
        <f t="shared" si="0"/>
        <v>-4.6740017890184262</v>
      </c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9" ht="23" x14ac:dyDescent="0.25">
      <c r="A17" s="4">
        <v>4</v>
      </c>
      <c r="B17" s="4">
        <f t="shared" si="0"/>
        <v>-2.2432718994090948</v>
      </c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9" ht="24" x14ac:dyDescent="0.3">
      <c r="A18" s="4">
        <v>4.25</v>
      </c>
      <c r="B18" s="4">
        <f t="shared" si="0"/>
        <v>0.19553397679910489</v>
      </c>
      <c r="C18" s="2"/>
      <c r="D18" s="2"/>
      <c r="E18" s="2"/>
      <c r="F18" s="2"/>
      <c r="G18" s="2"/>
      <c r="H18" s="2"/>
      <c r="I18" s="2"/>
      <c r="J18" s="2"/>
      <c r="K18" s="2"/>
      <c r="L18" s="2"/>
      <c r="P18" s="9"/>
      <c r="Q18" s="9"/>
      <c r="R18" s="9"/>
      <c r="S18" s="9"/>
    </row>
    <row r="19" spans="1:19" ht="24" x14ac:dyDescent="0.3">
      <c r="A19" s="3"/>
      <c r="B19" s="6"/>
      <c r="C19" s="2"/>
      <c r="D19" s="2"/>
      <c r="E19" s="2"/>
      <c r="F19" s="2"/>
      <c r="G19" s="2"/>
      <c r="H19" s="2"/>
      <c r="I19" s="2"/>
      <c r="J19" s="2"/>
      <c r="K19" s="2"/>
      <c r="L19" s="2"/>
      <c r="P19" s="9"/>
      <c r="Q19" s="9"/>
      <c r="R19" s="9"/>
      <c r="S19" s="9"/>
    </row>
    <row r="20" spans="1:19" ht="24" x14ac:dyDescent="0.3">
      <c r="P20" s="9"/>
      <c r="Q20" s="9"/>
      <c r="R20" s="9"/>
      <c r="S20" s="9"/>
    </row>
    <row r="21" spans="1:19" ht="24" x14ac:dyDescent="0.3">
      <c r="P21" s="9"/>
      <c r="Q21" s="9"/>
      <c r="R21" s="9"/>
      <c r="S21" s="9"/>
    </row>
    <row r="22" spans="1:19" ht="24" x14ac:dyDescent="0.3">
      <c r="P22" s="9"/>
      <c r="Q22" s="9"/>
      <c r="R22" s="9"/>
      <c r="S22" s="9"/>
    </row>
    <row r="23" spans="1:19" ht="24" x14ac:dyDescent="0.3">
      <c r="P23" s="9"/>
      <c r="Q23" s="9"/>
      <c r="R23" s="9"/>
      <c r="S23" s="9"/>
    </row>
    <row r="24" spans="1:19" ht="24" x14ac:dyDescent="0.3">
      <c r="P24" s="9"/>
      <c r="Q24" s="9"/>
      <c r="R24" s="9"/>
      <c r="S24" s="9"/>
    </row>
    <row r="25" spans="1:19" ht="24" x14ac:dyDescent="0.3">
      <c r="P25" s="9"/>
      <c r="Q25" s="9"/>
      <c r="R25" s="9"/>
      <c r="S25" s="9"/>
    </row>
    <row r="26" spans="1:19" ht="24" x14ac:dyDescent="0.3">
      <c r="P26" s="9"/>
      <c r="Q26" s="9"/>
      <c r="R26" s="9"/>
      <c r="S26" s="9"/>
    </row>
    <row r="27" spans="1:19" ht="24" x14ac:dyDescent="0.3">
      <c r="P27" s="9"/>
      <c r="Q27" s="9"/>
      <c r="R27" s="9"/>
      <c r="S27" s="9"/>
    </row>
    <row r="28" spans="1:19" ht="24" x14ac:dyDescent="0.3">
      <c r="P28" s="9"/>
      <c r="Q28" s="9"/>
      <c r="R28" s="9"/>
      <c r="S28" s="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B3605-9B5F-6549-A182-3DBA5A47C1EE}">
  <sheetPr codeName="Sheet3"/>
  <dimension ref="A1:R24"/>
  <sheetViews>
    <sheetView topLeftCell="A6" workbookViewId="0">
      <selection activeCell="H21" sqref="H21"/>
    </sheetView>
  </sheetViews>
  <sheetFormatPr baseColWidth="10" defaultRowHeight="16" x14ac:dyDescent="0.2"/>
  <sheetData>
    <row r="1" spans="1:18" ht="24" x14ac:dyDescent="0.3">
      <c r="A1" s="14" t="s">
        <v>14</v>
      </c>
      <c r="B1" s="15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</row>
    <row r="2" spans="1:18" ht="24" x14ac:dyDescent="0.3">
      <c r="A2" s="3" t="s">
        <v>13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</row>
    <row r="3" spans="1:18" ht="24" x14ac:dyDescent="0.3">
      <c r="A3" s="10" t="s">
        <v>3</v>
      </c>
      <c r="B3" s="9">
        <v>8.2059999999999994E-2</v>
      </c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</row>
    <row r="4" spans="1:18" ht="24" x14ac:dyDescent="0.3">
      <c r="A4" s="10" t="s">
        <v>4</v>
      </c>
      <c r="B4" s="9">
        <v>10</v>
      </c>
      <c r="C4" s="9" t="s">
        <v>5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</row>
    <row r="5" spans="1:18" ht="24" x14ac:dyDescent="0.3">
      <c r="A5" s="10" t="s">
        <v>6</v>
      </c>
      <c r="B5" s="9">
        <f>250+273</f>
        <v>523</v>
      </c>
      <c r="C5" s="9" t="s">
        <v>7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</row>
    <row r="6" spans="1:18" ht="24" x14ac:dyDescent="0.3">
      <c r="A6" s="10" t="s">
        <v>8</v>
      </c>
      <c r="B6" s="9">
        <v>4.2384481750010528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</row>
    <row r="7" spans="1:18" ht="24" x14ac:dyDescent="0.3">
      <c r="A7" s="10" t="s">
        <v>9</v>
      </c>
      <c r="B7" s="9">
        <v>3.755553683737646E-2</v>
      </c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</row>
    <row r="8" spans="1:18" ht="24" x14ac:dyDescent="0.3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</row>
    <row r="9" spans="1:18" ht="24" x14ac:dyDescent="0.3">
      <c r="A9" s="9" t="s">
        <v>15</v>
      </c>
      <c r="B9" s="9" t="s">
        <v>16</v>
      </c>
      <c r="C9" s="9" t="s">
        <v>17</v>
      </c>
      <c r="D9" s="9" t="s">
        <v>18</v>
      </c>
      <c r="E9" s="16" t="s">
        <v>19</v>
      </c>
      <c r="F9" s="9" t="s">
        <v>20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</row>
    <row r="10" spans="1:18" ht="24" x14ac:dyDescent="0.3">
      <c r="A10" s="17">
        <v>6</v>
      </c>
      <c r="B10" s="17">
        <v>3</v>
      </c>
      <c r="C10" s="18">
        <f>($B$4+$B$6/A10^2)*(A10-$B$7)-$B$3*$B$5</f>
        <v>17.409051071999478</v>
      </c>
      <c r="D10" s="18">
        <f>($B$4+$B$6/B10^2)*(B10-$B$7)-$B$3*$B$5</f>
        <v>-11.89780566521447</v>
      </c>
      <c r="E10" s="19">
        <f>(A10+B10)/2</f>
        <v>4.5</v>
      </c>
      <c r="F10" s="18">
        <f>($B$4+$B$6/E10^2)*(E10-$B$7)-$B$3*$B$5</f>
        <v>2.6410814015489663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</row>
    <row r="11" spans="1:18" ht="24" x14ac:dyDescent="0.3">
      <c r="A11" s="17">
        <f>IF(F10*C10&gt;0,E10,A10)</f>
        <v>4.5</v>
      </c>
      <c r="B11" s="17">
        <f>IF(F10*D10&gt;0,E10,B10)</f>
        <v>3</v>
      </c>
      <c r="C11" s="19">
        <f>($B$4+$B$6/A11^2)*(A11-$B$7)-$B$3*$B$5</f>
        <v>2.6410814015489663</v>
      </c>
      <c r="D11" s="19">
        <f>($B$4+$B$6/B11^2)*(B11-$B$7)-$B$3*$B$5</f>
        <v>-11.89780566521447</v>
      </c>
      <c r="E11" s="19">
        <f>(A11+B11)/2</f>
        <v>3.75</v>
      </c>
      <c r="F11" s="19">
        <f>($B$4+$B$6/E11^2)*(E11-$B$7)-$B$3*$B$5</f>
        <v>-4.6740017890184262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</row>
    <row r="12" spans="1:18" ht="24" x14ac:dyDescent="0.3">
      <c r="A12" s="20">
        <f t="shared" ref="A12:A21" si="0">IF(F11*C11&gt;0,E11,A11)</f>
        <v>4.5</v>
      </c>
      <c r="B12" s="20">
        <f t="shared" ref="B12:B21" si="1">IF(F11*D11&gt;0,E11,B11)</f>
        <v>3.75</v>
      </c>
      <c r="C12" s="12">
        <f t="shared" ref="C12:D21" si="2">($B$4+$B$6/A12^2)*(A12-$B$7)-$B$3*$B$5</f>
        <v>2.6410814015489663</v>
      </c>
      <c r="D12" s="12">
        <f t="shared" si="2"/>
        <v>-4.6740017890184262</v>
      </c>
      <c r="E12" s="12">
        <f t="shared" ref="E12:E21" si="3">(A12+B12)/2</f>
        <v>4.125</v>
      </c>
      <c r="F12" s="12">
        <f t="shared" ref="F12:F21" si="4">($B$4+$B$6/E12^2)*(E12-$B$7)-$B$3*$B$5</f>
        <v>-1.0247875468679553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</row>
    <row r="13" spans="1:18" ht="24" x14ac:dyDescent="0.3">
      <c r="A13" s="20">
        <f t="shared" si="0"/>
        <v>4.5</v>
      </c>
      <c r="B13" s="20">
        <f t="shared" si="1"/>
        <v>4.125</v>
      </c>
      <c r="C13" s="12">
        <f t="shared" si="2"/>
        <v>2.6410814015489663</v>
      </c>
      <c r="D13" s="12">
        <f t="shared" si="2"/>
        <v>-1.0247875468679553</v>
      </c>
      <c r="E13" s="12">
        <f t="shared" si="3"/>
        <v>4.3125</v>
      </c>
      <c r="F13" s="12">
        <f t="shared" si="4"/>
        <v>0.80633420164920722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</row>
    <row r="14" spans="1:18" ht="24" x14ac:dyDescent="0.3">
      <c r="A14" s="20">
        <f t="shared" si="0"/>
        <v>4.3125</v>
      </c>
      <c r="B14" s="20">
        <f t="shared" si="1"/>
        <v>4.125</v>
      </c>
      <c r="C14" s="12">
        <f t="shared" si="2"/>
        <v>0.80633420164920722</v>
      </c>
      <c r="D14" s="12">
        <f t="shared" si="2"/>
        <v>-1.0247875468679553</v>
      </c>
      <c r="E14" s="12">
        <f t="shared" si="3"/>
        <v>4.21875</v>
      </c>
      <c r="F14" s="12">
        <f t="shared" si="4"/>
        <v>-0.10970978995305813</v>
      </c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</row>
    <row r="15" spans="1:18" ht="24" x14ac:dyDescent="0.3">
      <c r="A15" s="20">
        <f t="shared" si="0"/>
        <v>4.3125</v>
      </c>
      <c r="B15" s="20">
        <f t="shared" si="1"/>
        <v>4.21875</v>
      </c>
      <c r="C15" s="12">
        <f t="shared" si="2"/>
        <v>0.80633420164920722</v>
      </c>
      <c r="D15" s="12">
        <f t="shared" si="2"/>
        <v>-0.10970978995305813</v>
      </c>
      <c r="E15" s="12">
        <f t="shared" si="3"/>
        <v>4.265625</v>
      </c>
      <c r="F15" s="12">
        <f t="shared" si="4"/>
        <v>0.34819537223015828</v>
      </c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</row>
    <row r="16" spans="1:18" ht="24" x14ac:dyDescent="0.3">
      <c r="A16" s="20">
        <f t="shared" si="0"/>
        <v>4.265625</v>
      </c>
      <c r="B16" s="20">
        <f t="shared" si="1"/>
        <v>4.21875</v>
      </c>
      <c r="C16" s="12">
        <f t="shared" si="2"/>
        <v>0.34819537223015828</v>
      </c>
      <c r="D16" s="12">
        <f t="shared" si="2"/>
        <v>-0.10970978995305813</v>
      </c>
      <c r="E16" s="12">
        <f t="shared" si="3"/>
        <v>4.2421875</v>
      </c>
      <c r="F16" s="12">
        <f t="shared" si="4"/>
        <v>0.11921310301897847</v>
      </c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</row>
    <row r="17" spans="1:18" ht="24" x14ac:dyDescent="0.3">
      <c r="A17" s="20">
        <f t="shared" si="0"/>
        <v>4.2421875</v>
      </c>
      <c r="B17" s="20">
        <f t="shared" si="1"/>
        <v>4.21875</v>
      </c>
      <c r="C17" s="12">
        <f t="shared" si="2"/>
        <v>0.11921310301897847</v>
      </c>
      <c r="D17" s="12">
        <f t="shared" si="2"/>
        <v>-0.10970978995305813</v>
      </c>
      <c r="E17" s="12">
        <f t="shared" si="3"/>
        <v>4.23046875</v>
      </c>
      <c r="F17" s="12">
        <f t="shared" si="4"/>
        <v>4.7441733866406821E-3</v>
      </c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</row>
    <row r="18" spans="1:18" ht="24" x14ac:dyDescent="0.3">
      <c r="A18" s="20">
        <f t="shared" si="0"/>
        <v>4.23046875</v>
      </c>
      <c r="B18" s="20">
        <f t="shared" si="1"/>
        <v>4.21875</v>
      </c>
      <c r="C18" s="12">
        <f t="shared" si="2"/>
        <v>4.7441733866406821E-3</v>
      </c>
      <c r="D18" s="12">
        <f t="shared" si="2"/>
        <v>-0.10970978995305813</v>
      </c>
      <c r="E18" s="12">
        <f t="shared" si="3"/>
        <v>4.224609375</v>
      </c>
      <c r="F18" s="12">
        <f t="shared" si="4"/>
        <v>-5.2484686782833023E-2</v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</row>
    <row r="19" spans="1:18" ht="24" x14ac:dyDescent="0.3">
      <c r="A19" s="20">
        <f t="shared" si="0"/>
        <v>4.23046875</v>
      </c>
      <c r="B19" s="20">
        <f t="shared" si="1"/>
        <v>4.224609375</v>
      </c>
      <c r="C19" s="12">
        <f t="shared" si="2"/>
        <v>4.7441733866406821E-3</v>
      </c>
      <c r="D19" s="12">
        <f t="shared" si="2"/>
        <v>-5.2484686782833023E-2</v>
      </c>
      <c r="E19" s="12">
        <f t="shared" si="3"/>
        <v>4.2275390625</v>
      </c>
      <c r="F19" s="12">
        <f t="shared" si="4"/>
        <v>-2.3870725355564559E-2</v>
      </c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</row>
    <row r="20" spans="1:18" ht="24" x14ac:dyDescent="0.3">
      <c r="A20" s="20">
        <f t="shared" si="0"/>
        <v>4.23046875</v>
      </c>
      <c r="B20" s="20">
        <f t="shared" si="1"/>
        <v>4.2275390625</v>
      </c>
      <c r="C20" s="12">
        <f t="shared" si="2"/>
        <v>4.7441733866406821E-3</v>
      </c>
      <c r="D20" s="12">
        <f t="shared" si="2"/>
        <v>-2.3870725355564559E-2</v>
      </c>
      <c r="E20" s="12">
        <f t="shared" si="3"/>
        <v>4.22900390625</v>
      </c>
      <c r="F20" s="12">
        <f t="shared" si="4"/>
        <v>-9.563393028187761E-3</v>
      </c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</row>
    <row r="21" spans="1:18" ht="24" x14ac:dyDescent="0.3">
      <c r="A21" s="20">
        <f t="shared" si="0"/>
        <v>4.23046875</v>
      </c>
      <c r="B21" s="20">
        <f t="shared" si="1"/>
        <v>4.22900390625</v>
      </c>
      <c r="C21" s="12">
        <f t="shared" si="2"/>
        <v>4.7441733866406821E-3</v>
      </c>
      <c r="D21" s="12">
        <f t="shared" si="2"/>
        <v>-9.563393028187761E-3</v>
      </c>
      <c r="E21" s="12">
        <f t="shared" si="3"/>
        <v>4.229736328125</v>
      </c>
      <c r="F21" s="12">
        <f t="shared" si="4"/>
        <v>-2.4096390666485945E-3</v>
      </c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</row>
    <row r="22" spans="1:18" ht="24" x14ac:dyDescent="0.3">
      <c r="A22" s="20">
        <f>IF(F21*C21&gt;0,E21,A21)</f>
        <v>4.23046875</v>
      </c>
      <c r="B22" s="20">
        <f>IF(F21*D21&gt;0,E21,B21)</f>
        <v>4.229736328125</v>
      </c>
      <c r="C22" s="12">
        <f>($B$4+$B$6/A22^2)*(A22-$B$7)-$B$3*$B$5</f>
        <v>4.7441733866406821E-3</v>
      </c>
      <c r="D22" s="12">
        <f>($B$4+$B$6/B22^2)*(B22-$B$7)-$B$3*$B$5</f>
        <v>-2.4096390666485945E-3</v>
      </c>
      <c r="E22" s="24">
        <f>(A22+B22)/2</f>
        <v>4.2301025390625</v>
      </c>
      <c r="F22" s="12">
        <f>($B$4+$B$6/E22^2)*(E22-$B$7)-$B$3*$B$5</f>
        <v>1.1672598504119946E-3</v>
      </c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</row>
    <row r="24" spans="1:18" ht="24" x14ac:dyDescent="0.3">
      <c r="A24" s="25" t="s">
        <v>25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64F13-8D97-F344-88D3-047AB5AD554C}">
  <sheetPr codeName="Sheet4"/>
  <dimension ref="A1:K18"/>
  <sheetViews>
    <sheetView tabSelected="1" workbookViewId="0">
      <selection activeCell="B14" sqref="B14"/>
    </sheetView>
  </sheetViews>
  <sheetFormatPr baseColWidth="10" defaultRowHeight="16" x14ac:dyDescent="0.2"/>
  <sheetData>
    <row r="1" spans="1:11" ht="24" x14ac:dyDescent="0.3">
      <c r="A1" s="9" t="s">
        <v>3</v>
      </c>
      <c r="B1" s="9">
        <v>8.2059999999999994E-2</v>
      </c>
      <c r="C1" s="9"/>
      <c r="D1" s="9"/>
      <c r="E1" s="9"/>
      <c r="F1" s="9"/>
      <c r="G1" s="9"/>
      <c r="H1" s="9"/>
      <c r="I1" s="9"/>
      <c r="J1" s="9"/>
      <c r="K1" s="9"/>
    </row>
    <row r="2" spans="1:11" ht="24" x14ac:dyDescent="0.3">
      <c r="A2" s="9" t="s">
        <v>6</v>
      </c>
      <c r="B2" s="9">
        <f>250+273</f>
        <v>523</v>
      </c>
      <c r="C2" s="9" t="s">
        <v>7</v>
      </c>
      <c r="D2" s="9"/>
      <c r="E2" s="9"/>
      <c r="F2" s="9"/>
      <c r="G2" s="9"/>
      <c r="H2" s="9"/>
      <c r="I2" s="9"/>
      <c r="J2" s="9"/>
      <c r="K2" s="9"/>
    </row>
    <row r="3" spans="1:11" ht="24" x14ac:dyDescent="0.3">
      <c r="A3" s="9" t="s">
        <v>21</v>
      </c>
      <c r="B3" s="9">
        <v>407.5</v>
      </c>
      <c r="C3" s="9" t="s">
        <v>7</v>
      </c>
      <c r="D3" s="9"/>
      <c r="E3" s="9"/>
      <c r="F3" s="9"/>
      <c r="G3" s="9"/>
      <c r="H3" s="9"/>
      <c r="I3" s="9"/>
      <c r="J3" s="9"/>
      <c r="K3" s="9"/>
    </row>
    <row r="4" spans="1:11" ht="24" x14ac:dyDescent="0.3">
      <c r="A4" s="9" t="s">
        <v>22</v>
      </c>
      <c r="B4" s="9">
        <v>111.3</v>
      </c>
      <c r="C4" s="9" t="s">
        <v>5</v>
      </c>
      <c r="D4" s="9"/>
      <c r="E4" s="9"/>
      <c r="F4" s="9"/>
      <c r="G4" s="9"/>
      <c r="H4" s="9"/>
      <c r="I4" s="9"/>
      <c r="J4" s="9"/>
      <c r="K4" s="9"/>
    </row>
    <row r="5" spans="1:11" ht="24" x14ac:dyDescent="0.3">
      <c r="A5" s="9" t="s">
        <v>8</v>
      </c>
      <c r="B5" s="9">
        <f>27*(B1^2*B3^2/B4)/64</f>
        <v>4.2384481750010528</v>
      </c>
      <c r="C5" s="9"/>
      <c r="D5" s="9"/>
      <c r="E5" s="9"/>
      <c r="F5" s="9"/>
      <c r="G5" s="9"/>
      <c r="H5" s="9"/>
      <c r="I5" s="9"/>
      <c r="J5" s="9"/>
      <c r="K5" s="9"/>
    </row>
    <row r="6" spans="1:11" ht="24" x14ac:dyDescent="0.3">
      <c r="A6" s="9" t="s">
        <v>9</v>
      </c>
      <c r="B6" s="9">
        <f>B1*B3/8/B4</f>
        <v>3.755553683737646E-2</v>
      </c>
      <c r="C6" s="9"/>
      <c r="D6" s="9"/>
      <c r="E6" s="9"/>
      <c r="F6" s="9"/>
      <c r="G6" s="9"/>
      <c r="H6" s="9"/>
      <c r="I6" s="9"/>
      <c r="J6" s="9"/>
      <c r="K6" s="9"/>
    </row>
    <row r="7" spans="1:11" ht="24" x14ac:dyDescent="0.3">
      <c r="A7" s="13" t="s">
        <v>23</v>
      </c>
      <c r="B7" s="13" t="s">
        <v>0</v>
      </c>
      <c r="C7" s="13" t="s">
        <v>1</v>
      </c>
      <c r="D7" s="9"/>
      <c r="E7" s="9"/>
      <c r="F7" s="9"/>
      <c r="G7" s="9"/>
      <c r="H7" s="9"/>
      <c r="I7" s="9"/>
      <c r="J7" s="9"/>
      <c r="K7" s="9"/>
    </row>
    <row r="8" spans="1:11" ht="24" x14ac:dyDescent="0.3">
      <c r="A8" s="9">
        <v>10</v>
      </c>
      <c r="B8" s="11">
        <v>4.2299827321762029</v>
      </c>
      <c r="C8" s="11">
        <f>($A8+$B$5/B8^2)*(B8-$B$6)-$B$1*$B$2</f>
        <v>-2.9337928637573896E-6</v>
      </c>
      <c r="D8" s="9"/>
      <c r="E8" s="9"/>
      <c r="F8" s="9"/>
      <c r="G8" s="9"/>
      <c r="H8" s="9"/>
      <c r="I8" s="9"/>
      <c r="J8" s="9"/>
      <c r="K8" s="9"/>
    </row>
    <row r="9" spans="1:11" ht="24" x14ac:dyDescent="0.3">
      <c r="A9" s="9">
        <v>11</v>
      </c>
      <c r="B9" s="11">
        <v>3.8397690167169771</v>
      </c>
      <c r="C9" s="11">
        <f t="shared" ref="C9:C18" si="0">(A9+$B$5/B9^2)*(B9-$B$6)-$B$1*$B$2</f>
        <v>1.0283537008604071E-6</v>
      </c>
      <c r="D9" s="9"/>
      <c r="E9" s="9"/>
      <c r="F9" s="9"/>
      <c r="G9" s="9"/>
      <c r="H9" s="9"/>
      <c r="I9" s="9"/>
      <c r="J9" s="9"/>
      <c r="K9" s="9"/>
    </row>
    <row r="10" spans="1:11" ht="24" x14ac:dyDescent="0.3">
      <c r="A10" s="9">
        <v>12</v>
      </c>
      <c r="B10" s="11">
        <v>3.5145810303194644</v>
      </c>
      <c r="C10" s="11">
        <f t="shared" si="0"/>
        <v>6.0707456839281804E-7</v>
      </c>
      <c r="D10" s="9"/>
      <c r="E10" s="9"/>
      <c r="F10" s="9"/>
      <c r="G10" s="9"/>
      <c r="H10" s="9"/>
      <c r="I10" s="9"/>
      <c r="J10" s="9"/>
      <c r="K10" s="9"/>
    </row>
    <row r="11" spans="1:11" ht="24" x14ac:dyDescent="0.3">
      <c r="A11" s="9">
        <v>13</v>
      </c>
      <c r="B11" s="11">
        <v>3.2394176687961456</v>
      </c>
      <c r="C11" s="11">
        <f t="shared" si="0"/>
        <v>5.7242298503012989E-5</v>
      </c>
      <c r="D11" s="9"/>
      <c r="E11" s="9"/>
      <c r="F11" s="9"/>
      <c r="G11" s="9"/>
      <c r="H11" s="9"/>
      <c r="I11" s="9"/>
      <c r="J11" s="9"/>
      <c r="K11" s="9"/>
    </row>
    <row r="12" spans="1:11" ht="24" x14ac:dyDescent="0.3">
      <c r="A12" s="9">
        <v>14</v>
      </c>
      <c r="B12" s="11">
        <v>3.0035662839322468</v>
      </c>
      <c r="C12" s="11">
        <f t="shared" si="0"/>
        <v>2.6463042102875534E-4</v>
      </c>
      <c r="D12" s="9"/>
      <c r="E12" s="9"/>
      <c r="F12" s="9"/>
      <c r="G12" s="9"/>
      <c r="H12" s="9"/>
      <c r="I12" s="9"/>
      <c r="J12" s="9"/>
      <c r="K12" s="9"/>
    </row>
    <row r="13" spans="1:11" ht="24" x14ac:dyDescent="0.3">
      <c r="A13" s="9">
        <v>15</v>
      </c>
      <c r="B13" s="11">
        <v>2.79916897357842</v>
      </c>
      <c r="C13" s="11">
        <f t="shared" si="0"/>
        <v>6.8717272699814202E-4</v>
      </c>
      <c r="D13" s="9"/>
      <c r="E13" s="9"/>
      <c r="F13" s="9"/>
      <c r="G13" s="9"/>
      <c r="H13" s="9"/>
      <c r="I13" s="9"/>
      <c r="J13" s="9"/>
      <c r="K13" s="9"/>
    </row>
    <row r="14" spans="1:11" ht="24" x14ac:dyDescent="0.3">
      <c r="A14" s="9">
        <v>16</v>
      </c>
      <c r="B14" s="11">
        <v>2.6202447310504713</v>
      </c>
      <c r="C14" s="11">
        <f t="shared" si="0"/>
        <v>3.9854317641641046E-5</v>
      </c>
      <c r="D14" s="9"/>
      <c r="E14" s="9"/>
      <c r="F14" s="9"/>
      <c r="G14" s="9"/>
      <c r="H14" s="9"/>
      <c r="I14" s="9"/>
      <c r="J14" s="9"/>
      <c r="K14" s="9"/>
    </row>
    <row r="15" spans="1:11" ht="24" x14ac:dyDescent="0.3">
      <c r="A15" s="9">
        <v>17</v>
      </c>
      <c r="B15" s="11">
        <v>2.4624151063172852</v>
      </c>
      <c r="C15" s="11">
        <f t="shared" si="0"/>
        <v>2.3749567792918924E-4</v>
      </c>
      <c r="D15" s="9"/>
      <c r="E15" s="9"/>
      <c r="F15" s="9"/>
      <c r="G15" s="9"/>
      <c r="H15" s="9"/>
      <c r="I15" s="9"/>
      <c r="J15" s="9"/>
      <c r="K15" s="9"/>
    </row>
    <row r="16" spans="1:11" ht="24" x14ac:dyDescent="0.3">
      <c r="A16" s="9">
        <v>18</v>
      </c>
      <c r="B16" s="11">
        <v>2.3221280048554425</v>
      </c>
      <c r="C16" s="11">
        <f t="shared" si="0"/>
        <v>6.4807990482762534E-4</v>
      </c>
      <c r="D16" s="9"/>
      <c r="E16" s="9"/>
      <c r="F16" s="9"/>
      <c r="G16" s="9"/>
      <c r="H16" s="9"/>
      <c r="I16" s="9"/>
      <c r="J16" s="9"/>
      <c r="K16" s="9"/>
    </row>
    <row r="17" spans="1:11" ht="24" x14ac:dyDescent="0.3">
      <c r="A17" s="9">
        <v>19</v>
      </c>
      <c r="B17" s="11">
        <v>2.196543573516458</v>
      </c>
      <c r="C17" s="11">
        <f t="shared" si="0"/>
        <v>2.1279667095086552E-7</v>
      </c>
      <c r="D17" s="9"/>
      <c r="E17" s="9"/>
      <c r="F17" s="9"/>
      <c r="G17" s="9"/>
      <c r="H17" s="9"/>
      <c r="I17" s="9"/>
      <c r="J17" s="9"/>
      <c r="K17" s="9"/>
    </row>
    <row r="18" spans="1:11" ht="24" x14ac:dyDescent="0.3">
      <c r="A18" s="9">
        <v>20</v>
      </c>
      <c r="B18" s="11">
        <v>2.0835455140331849</v>
      </c>
      <c r="C18" s="26">
        <f>($A8+$B$5/B8^2)*(B8-$B$6)-$B$1*$B$2</f>
        <v>-2.9337928637573896E-6</v>
      </c>
      <c r="D18" s="25" t="s">
        <v>26</v>
      </c>
      <c r="E18" s="9"/>
      <c r="F18" s="9"/>
      <c r="G18" s="9"/>
      <c r="H18" s="9"/>
      <c r="I18" s="9"/>
      <c r="J18" s="9"/>
      <c r="K18" s="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Problem 1</vt:lpstr>
      <vt:lpstr>Problem 2</vt:lpstr>
      <vt:lpstr>Problem 3</vt:lpstr>
      <vt:lpstr>Problem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Bartosz Bielicz</dc:creator>
  <cp:lastModifiedBy>Bartosz Bielicz</cp:lastModifiedBy>
  <dcterms:created xsi:type="dcterms:W3CDTF">2025-09-12T02:31:57Z</dcterms:created>
  <dcterms:modified xsi:type="dcterms:W3CDTF">2025-09-13T00:06:38Z</dcterms:modified>
</cp:coreProperties>
</file>