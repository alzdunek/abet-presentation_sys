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/Downloads/"/>
    </mc:Choice>
  </mc:AlternateContent>
  <xr:revisionPtr revIDLastSave="0" documentId="8_{FB046355-3111-234B-930B-2B64AA4C0890}" xr6:coauthVersionLast="47" xr6:coauthVersionMax="47" xr10:uidLastSave="{00000000-0000-0000-0000-000000000000}"/>
  <bookViews>
    <workbookView xWindow="4900" yWindow="500" windowWidth="21720" windowHeight="15680" activeTab="1" xr2:uid="{9ED3E1D5-E7F5-504F-8EBF-5E2DFF585CE8}"/>
  </bookViews>
  <sheets>
    <sheet name="Problem 1" sheetId="1" r:id="rId1"/>
    <sheet name="Problem 2" sheetId="2" r:id="rId2"/>
  </sheets>
  <definedNames>
    <definedName name="_xlchart.v1.2" hidden="1">'Problem 2'!$A$5:$A$19</definedName>
    <definedName name="_xlchart.v1.3" hidden="1">'Problem 2'!$B$5:$B$19</definedName>
    <definedName name="_xlchart.v2.0" hidden="1">'Problem 2'!$A$5:$A$19</definedName>
    <definedName name="_xlchart.v2.1" hidden="1">'Problem 2'!$B$5:$B$19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25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B21" i="2"/>
  <c r="C19" i="2"/>
  <c r="C7" i="2"/>
  <c r="C8" i="2"/>
  <c r="C9" i="2"/>
  <c r="C10" i="2"/>
  <c r="C11" i="2"/>
  <c r="C12" i="2"/>
  <c r="C13" i="2"/>
  <c r="C14" i="2"/>
  <c r="C15" i="2"/>
  <c r="C16" i="2"/>
  <c r="C17" i="2"/>
  <c r="C18" i="2"/>
  <c r="C6" i="2"/>
  <c r="C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K118" i="1"/>
  <c r="J118" i="1"/>
  <c r="H118" i="1"/>
  <c r="I118" i="1"/>
  <c r="H114" i="1"/>
  <c r="I114" i="1" s="1"/>
  <c r="H112" i="1"/>
  <c r="I112" i="1" s="1"/>
  <c r="H102" i="1"/>
  <c r="I102" i="1" s="1"/>
  <c r="H28" i="1"/>
  <c r="I28" i="1" s="1"/>
  <c r="H29" i="1"/>
  <c r="I29" i="1"/>
  <c r="H30" i="1"/>
  <c r="I30" i="1" s="1"/>
  <c r="H20" i="1"/>
  <c r="H21" i="1" s="1"/>
  <c r="H22" i="1" s="1"/>
  <c r="H23" i="1" s="1"/>
  <c r="H24" i="1" s="1"/>
  <c r="H25" i="1" s="1"/>
  <c r="H26" i="1" s="1"/>
  <c r="H27" i="1" s="1"/>
  <c r="H19" i="1"/>
  <c r="I18" i="1"/>
  <c r="J14" i="1"/>
  <c r="H115" i="1" l="1"/>
  <c r="H113" i="1"/>
  <c r="I113" i="1" s="1"/>
  <c r="H103" i="1"/>
  <c r="H31" i="1"/>
  <c r="I20" i="1"/>
  <c r="I19" i="1"/>
  <c r="H116" i="1" l="1"/>
  <c r="I115" i="1"/>
  <c r="I103" i="1"/>
  <c r="H104" i="1"/>
  <c r="H32" i="1"/>
  <c r="I31" i="1"/>
  <c r="I21" i="1"/>
  <c r="I116" i="1" l="1"/>
  <c r="H117" i="1"/>
  <c r="I117" i="1" s="1"/>
  <c r="H105" i="1"/>
  <c r="I104" i="1"/>
  <c r="I32" i="1"/>
  <c r="H33" i="1"/>
  <c r="I22" i="1"/>
  <c r="H106" i="1" l="1"/>
  <c r="I105" i="1"/>
  <c r="I33" i="1"/>
  <c r="H34" i="1"/>
  <c r="I23" i="1"/>
  <c r="I106" i="1" l="1"/>
  <c r="H107" i="1"/>
  <c r="I34" i="1"/>
  <c r="H35" i="1"/>
  <c r="I24" i="1"/>
  <c r="I107" i="1" l="1"/>
  <c r="H108" i="1"/>
  <c r="H36" i="1"/>
  <c r="I35" i="1"/>
  <c r="I25" i="1"/>
  <c r="H109" i="1" l="1"/>
  <c r="I108" i="1"/>
  <c r="I36" i="1"/>
  <c r="H37" i="1"/>
  <c r="I27" i="1"/>
  <c r="I26" i="1"/>
  <c r="H110" i="1" l="1"/>
  <c r="I109" i="1"/>
  <c r="I37" i="1"/>
  <c r="H38" i="1"/>
  <c r="I110" i="1" l="1"/>
  <c r="H111" i="1"/>
  <c r="I111" i="1" s="1"/>
  <c r="I38" i="1"/>
  <c r="H39" i="1"/>
  <c r="H40" i="1" l="1"/>
  <c r="I39" i="1"/>
  <c r="H41" i="1" l="1"/>
  <c r="I40" i="1"/>
  <c r="I41" i="1" l="1"/>
  <c r="H42" i="1"/>
  <c r="H43" i="1" l="1"/>
  <c r="I42" i="1"/>
  <c r="H44" i="1" l="1"/>
  <c r="I43" i="1"/>
  <c r="H45" i="1" l="1"/>
  <c r="I44" i="1"/>
  <c r="I45" i="1" l="1"/>
  <c r="H46" i="1"/>
  <c r="I46" i="1" l="1"/>
  <c r="H47" i="1"/>
  <c r="H48" i="1" l="1"/>
  <c r="I47" i="1"/>
  <c r="H49" i="1" l="1"/>
  <c r="I48" i="1"/>
  <c r="I49" i="1" l="1"/>
  <c r="H50" i="1"/>
  <c r="H51" i="1" l="1"/>
  <c r="I50" i="1"/>
  <c r="H52" i="1" l="1"/>
  <c r="I51" i="1"/>
  <c r="H53" i="1" l="1"/>
  <c r="I52" i="1"/>
  <c r="I53" i="1" l="1"/>
  <c r="H54" i="1"/>
  <c r="H55" i="1" l="1"/>
  <c r="I54" i="1"/>
  <c r="H56" i="1" l="1"/>
  <c r="I55" i="1"/>
  <c r="H57" i="1" l="1"/>
  <c r="I56" i="1"/>
  <c r="I57" i="1" l="1"/>
  <c r="H58" i="1"/>
  <c r="I58" i="1" l="1"/>
  <c r="H59" i="1"/>
  <c r="H60" i="1" l="1"/>
  <c r="I59" i="1"/>
  <c r="H61" i="1" l="1"/>
  <c r="I60" i="1"/>
  <c r="H62" i="1" l="1"/>
  <c r="I61" i="1"/>
  <c r="H63" i="1" l="1"/>
  <c r="I62" i="1"/>
  <c r="H64" i="1" l="1"/>
  <c r="I63" i="1"/>
  <c r="H65" i="1" l="1"/>
  <c r="I64" i="1"/>
  <c r="I65" i="1" l="1"/>
  <c r="H66" i="1"/>
  <c r="H67" i="1" l="1"/>
  <c r="I66" i="1"/>
  <c r="H68" i="1" l="1"/>
  <c r="I67" i="1"/>
  <c r="H69" i="1" l="1"/>
  <c r="I68" i="1"/>
  <c r="I69" i="1" l="1"/>
  <c r="H70" i="1"/>
  <c r="I70" i="1" l="1"/>
  <c r="H71" i="1"/>
  <c r="H72" i="1" l="1"/>
  <c r="I71" i="1"/>
  <c r="H73" i="1" l="1"/>
  <c r="I72" i="1"/>
  <c r="I73" i="1" l="1"/>
  <c r="H74" i="1"/>
  <c r="H75" i="1" l="1"/>
  <c r="I74" i="1"/>
  <c r="H76" i="1" l="1"/>
  <c r="I75" i="1"/>
  <c r="H77" i="1" l="1"/>
  <c r="I76" i="1"/>
  <c r="I77" i="1" l="1"/>
  <c r="H78" i="1"/>
  <c r="H79" i="1" l="1"/>
  <c r="I78" i="1"/>
  <c r="H80" i="1" l="1"/>
  <c r="I79" i="1"/>
  <c r="H81" i="1" l="1"/>
  <c r="I80" i="1"/>
  <c r="H82" i="1" l="1"/>
  <c r="I81" i="1"/>
  <c r="I82" i="1" l="1"/>
  <c r="H83" i="1"/>
  <c r="H84" i="1" l="1"/>
  <c r="I83" i="1"/>
  <c r="H85" i="1" l="1"/>
  <c r="I84" i="1"/>
  <c r="I85" i="1" l="1"/>
  <c r="H86" i="1"/>
  <c r="H87" i="1" l="1"/>
  <c r="I86" i="1"/>
  <c r="H88" i="1" l="1"/>
  <c r="I87" i="1"/>
  <c r="H89" i="1" l="1"/>
  <c r="I88" i="1"/>
  <c r="I89" i="1" l="1"/>
  <c r="H90" i="1"/>
  <c r="H91" i="1" l="1"/>
  <c r="I90" i="1"/>
  <c r="H92" i="1" l="1"/>
  <c r="I91" i="1"/>
  <c r="H93" i="1" l="1"/>
  <c r="I92" i="1"/>
  <c r="I93" i="1" l="1"/>
  <c r="H94" i="1"/>
  <c r="I94" i="1" l="1"/>
  <c r="H95" i="1"/>
  <c r="H96" i="1" l="1"/>
  <c r="I95" i="1"/>
  <c r="H97" i="1" l="1"/>
  <c r="I96" i="1"/>
  <c r="H98" i="1" l="1"/>
  <c r="I97" i="1"/>
  <c r="I98" i="1" l="1"/>
  <c r="H99" i="1"/>
  <c r="H100" i="1" l="1"/>
  <c r="I99" i="1"/>
  <c r="H101" i="1" l="1"/>
  <c r="I101" i="1" s="1"/>
  <c r="I100" i="1"/>
  <c r="K14" i="1" l="1"/>
  <c r="H7" i="1"/>
  <c r="I7" i="1"/>
  <c r="H8" i="1"/>
  <c r="H9" i="1" s="1"/>
  <c r="I6" i="1"/>
  <c r="I5" i="1"/>
  <c r="H6" i="1"/>
  <c r="D120" i="1"/>
  <c r="D119" i="1"/>
  <c r="A117" i="1"/>
  <c r="B117" i="1" s="1"/>
  <c r="C117" i="1"/>
  <c r="A118" i="1"/>
  <c r="A119" i="1" s="1"/>
  <c r="B118" i="1"/>
  <c r="D117" i="1" s="1"/>
  <c r="F117" i="1" s="1"/>
  <c r="C118" i="1"/>
  <c r="A114" i="1"/>
  <c r="B114" i="1" s="1"/>
  <c r="C114" i="1"/>
  <c r="A115" i="1"/>
  <c r="B115" i="1"/>
  <c r="D114" i="1" s="1"/>
  <c r="F114" i="1" s="1"/>
  <c r="C115" i="1"/>
  <c r="A116" i="1"/>
  <c r="B116" i="1"/>
  <c r="D115" i="1" s="1"/>
  <c r="F115" i="1" s="1"/>
  <c r="C116" i="1"/>
  <c r="A49" i="1"/>
  <c r="B49" i="1"/>
  <c r="C49" i="1"/>
  <c r="A50" i="1"/>
  <c r="C50" i="1"/>
  <c r="A36" i="1"/>
  <c r="B36" i="1"/>
  <c r="C36" i="1"/>
  <c r="A37" i="1"/>
  <c r="A38" i="1" s="1"/>
  <c r="B37" i="1"/>
  <c r="D36" i="1" s="1"/>
  <c r="F36" i="1" s="1"/>
  <c r="C37" i="1"/>
  <c r="A35" i="1"/>
  <c r="B35" i="1"/>
  <c r="D34" i="1" s="1"/>
  <c r="C35" i="1"/>
  <c r="D35" i="1"/>
  <c r="D22" i="1"/>
  <c r="D23" i="1"/>
  <c r="D24" i="1"/>
  <c r="D25" i="1"/>
  <c r="D26" i="1"/>
  <c r="D27" i="1"/>
  <c r="D28" i="1"/>
  <c r="D29" i="1"/>
  <c r="D30" i="1"/>
  <c r="D31" i="1"/>
  <c r="D32" i="1"/>
  <c r="D33" i="1"/>
  <c r="D20" i="1"/>
  <c r="D21" i="1"/>
  <c r="A30" i="1"/>
  <c r="B30" i="1" s="1"/>
  <c r="A22" i="1"/>
  <c r="A23" i="1" s="1"/>
  <c r="A24" i="1" s="1"/>
  <c r="A25" i="1" s="1"/>
  <c r="A26" i="1" s="1"/>
  <c r="A27" i="1" s="1"/>
  <c r="A28" i="1" s="1"/>
  <c r="A29" i="1" s="1"/>
  <c r="A21" i="1"/>
  <c r="C22" i="1"/>
  <c r="C21" i="1"/>
  <c r="B21" i="1"/>
  <c r="C20" i="1"/>
  <c r="B20" i="1"/>
  <c r="F16" i="1"/>
  <c r="F7" i="1"/>
  <c r="F8" i="1"/>
  <c r="F9" i="1"/>
  <c r="F10" i="1"/>
  <c r="F11" i="1"/>
  <c r="F12" i="1"/>
  <c r="F13" i="1"/>
  <c r="F14" i="1"/>
  <c r="F15" i="1"/>
  <c r="F6" i="1"/>
  <c r="D16" i="1"/>
  <c r="D7" i="1"/>
  <c r="D9" i="1"/>
  <c r="D10" i="1"/>
  <c r="D11" i="1"/>
  <c r="D12" i="1"/>
  <c r="D13" i="1"/>
  <c r="D14" i="1"/>
  <c r="D15" i="1"/>
  <c r="D8" i="1"/>
  <c r="A16" i="1"/>
  <c r="B16" i="1"/>
  <c r="C16" i="1"/>
  <c r="A13" i="1"/>
  <c r="B13" i="1"/>
  <c r="C13" i="1"/>
  <c r="A14" i="1"/>
  <c r="A15" i="1" s="1"/>
  <c r="B14" i="1"/>
  <c r="C14" i="1"/>
  <c r="A8" i="1"/>
  <c r="B8" i="1" s="1"/>
  <c r="D6" i="1" s="1"/>
  <c r="C8" i="1"/>
  <c r="A9" i="1"/>
  <c r="A10" i="1" s="1"/>
  <c r="B7" i="1"/>
  <c r="C7" i="1"/>
  <c r="C6" i="1"/>
  <c r="B6" i="1"/>
  <c r="A7" i="1"/>
  <c r="I9" i="1" l="1"/>
  <c r="H10" i="1"/>
  <c r="I8" i="1"/>
  <c r="B119" i="1"/>
  <c r="C119" i="1"/>
  <c r="A120" i="1"/>
  <c r="D116" i="1"/>
  <c r="F116" i="1" s="1"/>
  <c r="A51" i="1"/>
  <c r="B50" i="1"/>
  <c r="D49" i="1" s="1"/>
  <c r="F49" i="1" s="1"/>
  <c r="B38" i="1"/>
  <c r="D37" i="1" s="1"/>
  <c r="F37" i="1" s="1"/>
  <c r="C38" i="1"/>
  <c r="A39" i="1"/>
  <c r="F35" i="1"/>
  <c r="C30" i="1"/>
  <c r="A31" i="1"/>
  <c r="C24" i="1"/>
  <c r="B24" i="1"/>
  <c r="B23" i="1"/>
  <c r="F22" i="1" s="1"/>
  <c r="B22" i="1"/>
  <c r="F21" i="1" s="1"/>
  <c r="C23" i="1"/>
  <c r="B15" i="1"/>
  <c r="C15" i="1"/>
  <c r="A11" i="1"/>
  <c r="B10" i="1"/>
  <c r="C10" i="1"/>
  <c r="C9" i="1"/>
  <c r="B9" i="1"/>
  <c r="H11" i="1" l="1"/>
  <c r="I10" i="1"/>
  <c r="B120" i="1"/>
  <c r="F119" i="1" s="1"/>
  <c r="C120" i="1"/>
  <c r="D118" i="1"/>
  <c r="F118" i="1" s="1"/>
  <c r="F120" i="1"/>
  <c r="B51" i="1"/>
  <c r="D50" i="1" s="1"/>
  <c r="F50" i="1" s="1"/>
  <c r="A52" i="1"/>
  <c r="C51" i="1"/>
  <c r="B39" i="1"/>
  <c r="D38" i="1" s="1"/>
  <c r="F38" i="1" s="1"/>
  <c r="C39" i="1"/>
  <c r="A40" i="1"/>
  <c r="A32" i="1"/>
  <c r="B31" i="1"/>
  <c r="F30" i="1" s="1"/>
  <c r="C31" i="1"/>
  <c r="F23" i="1"/>
  <c r="C25" i="1"/>
  <c r="B25" i="1"/>
  <c r="F24" i="1" s="1"/>
  <c r="F20" i="1"/>
  <c r="A12" i="1"/>
  <c r="C11" i="1"/>
  <c r="B11" i="1"/>
  <c r="H12" i="1" l="1"/>
  <c r="I11" i="1"/>
  <c r="B52" i="1"/>
  <c r="D51" i="1" s="1"/>
  <c r="F51" i="1" s="1"/>
  <c r="C52" i="1"/>
  <c r="A53" i="1"/>
  <c r="A41" i="1"/>
  <c r="B40" i="1"/>
  <c r="D39" i="1" s="1"/>
  <c r="F39" i="1" s="1"/>
  <c r="C40" i="1"/>
  <c r="B32" i="1"/>
  <c r="F31" i="1" s="1"/>
  <c r="C32" i="1"/>
  <c r="A33" i="1"/>
  <c r="C26" i="1"/>
  <c r="B26" i="1"/>
  <c r="F25" i="1" s="1"/>
  <c r="B12" i="1"/>
  <c r="C12" i="1"/>
  <c r="I12" i="1" l="1"/>
  <c r="H13" i="1"/>
  <c r="A54" i="1"/>
  <c r="C53" i="1"/>
  <c r="B53" i="1"/>
  <c r="D52" i="1" s="1"/>
  <c r="F52" i="1" s="1"/>
  <c r="B41" i="1"/>
  <c r="D40" i="1" s="1"/>
  <c r="F40" i="1" s="1"/>
  <c r="C41" i="1"/>
  <c r="A42" i="1"/>
  <c r="C33" i="1"/>
  <c r="A34" i="1"/>
  <c r="B33" i="1"/>
  <c r="C27" i="1"/>
  <c r="B27" i="1"/>
  <c r="F26" i="1" s="1"/>
  <c r="H14" i="1" l="1"/>
  <c r="I14" i="1" s="1"/>
  <c r="I13" i="1"/>
  <c r="B54" i="1"/>
  <c r="D53" i="1" s="1"/>
  <c r="F53" i="1" s="1"/>
  <c r="C54" i="1"/>
  <c r="A55" i="1"/>
  <c r="C42" i="1"/>
  <c r="A43" i="1"/>
  <c r="B42" i="1"/>
  <c r="D41" i="1" s="1"/>
  <c r="F41" i="1" s="1"/>
  <c r="F32" i="1"/>
  <c r="B34" i="1"/>
  <c r="F33" i="1" s="1"/>
  <c r="C34" i="1"/>
  <c r="C28" i="1"/>
  <c r="B28" i="1"/>
  <c r="F27" i="1" s="1"/>
  <c r="C55" i="1" l="1"/>
  <c r="A56" i="1"/>
  <c r="B55" i="1"/>
  <c r="D54" i="1" s="1"/>
  <c r="F54" i="1" s="1"/>
  <c r="A44" i="1"/>
  <c r="B43" i="1"/>
  <c r="D42" i="1" s="1"/>
  <c r="F42" i="1" s="1"/>
  <c r="C43" i="1"/>
  <c r="F34" i="1"/>
  <c r="B29" i="1"/>
  <c r="F28" i="1" s="1"/>
  <c r="C29" i="1"/>
  <c r="A57" i="1" l="1"/>
  <c r="C56" i="1"/>
  <c r="B56" i="1"/>
  <c r="D55" i="1" s="1"/>
  <c r="F55" i="1" s="1"/>
  <c r="B44" i="1"/>
  <c r="D43" i="1" s="1"/>
  <c r="F43" i="1" s="1"/>
  <c r="C44" i="1"/>
  <c r="A45" i="1"/>
  <c r="F29" i="1"/>
  <c r="C57" i="1" l="1"/>
  <c r="B57" i="1"/>
  <c r="D56" i="1" s="1"/>
  <c r="F56" i="1" s="1"/>
  <c r="A58" i="1"/>
  <c r="A46" i="1"/>
  <c r="B45" i="1"/>
  <c r="D44" i="1" s="1"/>
  <c r="F44" i="1" s="1"/>
  <c r="C45" i="1"/>
  <c r="A59" i="1" l="1"/>
  <c r="B58" i="1"/>
  <c r="D57" i="1" s="1"/>
  <c r="F57" i="1" s="1"/>
  <c r="C58" i="1"/>
  <c r="B46" i="1"/>
  <c r="D45" i="1" s="1"/>
  <c r="F45" i="1" s="1"/>
  <c r="C46" i="1"/>
  <c r="A47" i="1"/>
  <c r="B59" i="1" l="1"/>
  <c r="D58" i="1" s="1"/>
  <c r="F58" i="1" s="1"/>
  <c r="C59" i="1"/>
  <c r="A60" i="1"/>
  <c r="B47" i="1"/>
  <c r="C47" i="1"/>
  <c r="A48" i="1"/>
  <c r="B60" i="1" l="1"/>
  <c r="D59" i="1" s="1"/>
  <c r="F59" i="1" s="1"/>
  <c r="C60" i="1"/>
  <c r="A61" i="1"/>
  <c r="B48" i="1"/>
  <c r="D47" i="1" s="1"/>
  <c r="F47" i="1" s="1"/>
  <c r="C48" i="1"/>
  <c r="D46" i="1"/>
  <c r="F46" i="1" s="1"/>
  <c r="D48" i="1"/>
  <c r="F48" i="1" s="1"/>
  <c r="A62" i="1" l="1"/>
  <c r="C61" i="1"/>
  <c r="B61" i="1"/>
  <c r="D60" i="1" s="1"/>
  <c r="F60" i="1" s="1"/>
  <c r="B62" i="1" l="1"/>
  <c r="D61" i="1" s="1"/>
  <c r="F61" i="1" s="1"/>
  <c r="C62" i="1"/>
  <c r="A63" i="1"/>
  <c r="C63" i="1" l="1"/>
  <c r="A64" i="1"/>
  <c r="B63" i="1"/>
  <c r="D62" i="1" s="1"/>
  <c r="F62" i="1" s="1"/>
  <c r="A65" i="1" l="1"/>
  <c r="B64" i="1"/>
  <c r="D63" i="1" s="1"/>
  <c r="F63" i="1" s="1"/>
  <c r="C64" i="1"/>
  <c r="C65" i="1" l="1"/>
  <c r="B65" i="1"/>
  <c r="D64" i="1" s="1"/>
  <c r="F64" i="1" s="1"/>
  <c r="A66" i="1"/>
  <c r="A67" i="1" l="1"/>
  <c r="B66" i="1"/>
  <c r="D65" i="1" s="1"/>
  <c r="F65" i="1" s="1"/>
  <c r="C66" i="1"/>
  <c r="B67" i="1" l="1"/>
  <c r="D66" i="1" s="1"/>
  <c r="F66" i="1" s="1"/>
  <c r="C67" i="1"/>
  <c r="A68" i="1"/>
  <c r="B68" i="1" l="1"/>
  <c r="D67" i="1" s="1"/>
  <c r="F67" i="1" s="1"/>
  <c r="C68" i="1"/>
  <c r="A69" i="1"/>
  <c r="A70" i="1" l="1"/>
  <c r="C69" i="1"/>
  <c r="B69" i="1"/>
  <c r="D68" i="1" s="1"/>
  <c r="F68" i="1" s="1"/>
  <c r="C70" i="1" l="1"/>
  <c r="B70" i="1"/>
  <c r="D69" i="1" s="1"/>
  <c r="F69" i="1" s="1"/>
  <c r="A71" i="1"/>
  <c r="C71" i="1" l="1"/>
  <c r="A72" i="1"/>
  <c r="B71" i="1"/>
  <c r="D70" i="1" s="1"/>
  <c r="F70" i="1" s="1"/>
  <c r="A73" i="1" l="1"/>
  <c r="B72" i="1"/>
  <c r="D71" i="1" s="1"/>
  <c r="F71" i="1" s="1"/>
  <c r="C72" i="1"/>
  <c r="B73" i="1" l="1"/>
  <c r="D72" i="1" s="1"/>
  <c r="F72" i="1" s="1"/>
  <c r="C73" i="1"/>
  <c r="A74" i="1"/>
  <c r="A75" i="1" l="1"/>
  <c r="B74" i="1"/>
  <c r="D73" i="1" s="1"/>
  <c r="F73" i="1" s="1"/>
  <c r="C74" i="1"/>
  <c r="B75" i="1" l="1"/>
  <c r="D74" i="1" s="1"/>
  <c r="F74" i="1" s="1"/>
  <c r="C75" i="1"/>
  <c r="A76" i="1"/>
  <c r="B76" i="1" l="1"/>
  <c r="D75" i="1" s="1"/>
  <c r="F75" i="1" s="1"/>
  <c r="C76" i="1"/>
  <c r="A77" i="1"/>
  <c r="A78" i="1" l="1"/>
  <c r="C77" i="1"/>
  <c r="B77" i="1"/>
  <c r="D76" i="1" s="1"/>
  <c r="F76" i="1" s="1"/>
  <c r="B78" i="1" l="1"/>
  <c r="D77" i="1" s="1"/>
  <c r="F77" i="1" s="1"/>
  <c r="C78" i="1"/>
  <c r="A79" i="1"/>
  <c r="C79" i="1" l="1"/>
  <c r="A80" i="1"/>
  <c r="B79" i="1"/>
  <c r="D78" i="1" s="1"/>
  <c r="F78" i="1" s="1"/>
  <c r="A81" i="1" l="1"/>
  <c r="B80" i="1"/>
  <c r="D79" i="1" s="1"/>
  <c r="F79" i="1" s="1"/>
  <c r="C80" i="1"/>
  <c r="B81" i="1" l="1"/>
  <c r="D80" i="1" s="1"/>
  <c r="F80" i="1" s="1"/>
  <c r="C81" i="1"/>
  <c r="A82" i="1"/>
  <c r="A83" i="1" l="1"/>
  <c r="B82" i="1"/>
  <c r="D81" i="1" s="1"/>
  <c r="F81" i="1" s="1"/>
  <c r="C82" i="1"/>
  <c r="B83" i="1" l="1"/>
  <c r="D82" i="1" s="1"/>
  <c r="F82" i="1" s="1"/>
  <c r="C83" i="1"/>
  <c r="A84" i="1"/>
  <c r="B84" i="1" l="1"/>
  <c r="D83" i="1" s="1"/>
  <c r="F83" i="1" s="1"/>
  <c r="C84" i="1"/>
  <c r="A85" i="1"/>
  <c r="A86" i="1" l="1"/>
  <c r="C85" i="1"/>
  <c r="B85" i="1"/>
  <c r="D84" i="1" s="1"/>
  <c r="F84" i="1" s="1"/>
  <c r="C86" i="1" l="1"/>
  <c r="B86" i="1"/>
  <c r="D85" i="1" s="1"/>
  <c r="F85" i="1" s="1"/>
  <c r="A87" i="1"/>
  <c r="C87" i="1" l="1"/>
  <c r="A88" i="1"/>
  <c r="B87" i="1"/>
  <c r="D86" i="1" s="1"/>
  <c r="F86" i="1" s="1"/>
  <c r="A89" i="1" l="1"/>
  <c r="B88" i="1"/>
  <c r="D87" i="1" s="1"/>
  <c r="F87" i="1" s="1"/>
  <c r="C88" i="1"/>
  <c r="B89" i="1" l="1"/>
  <c r="D88" i="1" s="1"/>
  <c r="F88" i="1" s="1"/>
  <c r="C89" i="1"/>
  <c r="A90" i="1"/>
  <c r="A91" i="1" l="1"/>
  <c r="B90" i="1"/>
  <c r="D89" i="1" s="1"/>
  <c r="F89" i="1" s="1"/>
  <c r="C90" i="1"/>
  <c r="B91" i="1" l="1"/>
  <c r="D90" i="1" s="1"/>
  <c r="F90" i="1" s="1"/>
  <c r="C91" i="1"/>
  <c r="A92" i="1"/>
  <c r="B92" i="1" l="1"/>
  <c r="D91" i="1" s="1"/>
  <c r="F91" i="1" s="1"/>
  <c r="C92" i="1"/>
  <c r="A93" i="1"/>
  <c r="A94" i="1" l="1"/>
  <c r="C93" i="1"/>
  <c r="B93" i="1"/>
  <c r="D92" i="1" s="1"/>
  <c r="F92" i="1" s="1"/>
  <c r="B94" i="1" l="1"/>
  <c r="D93" i="1" s="1"/>
  <c r="F93" i="1" s="1"/>
  <c r="C94" i="1"/>
  <c r="A95" i="1"/>
  <c r="C95" i="1" l="1"/>
  <c r="A96" i="1"/>
  <c r="B95" i="1"/>
  <c r="D94" i="1" s="1"/>
  <c r="F94" i="1" s="1"/>
  <c r="A97" i="1" l="1"/>
  <c r="B96" i="1"/>
  <c r="D95" i="1" s="1"/>
  <c r="F95" i="1" s="1"/>
  <c r="C96" i="1"/>
  <c r="B97" i="1" l="1"/>
  <c r="D96" i="1" s="1"/>
  <c r="F96" i="1" s="1"/>
  <c r="C97" i="1"/>
  <c r="A98" i="1"/>
  <c r="A99" i="1" l="1"/>
  <c r="B98" i="1"/>
  <c r="D97" i="1" s="1"/>
  <c r="F97" i="1" s="1"/>
  <c r="C98" i="1"/>
  <c r="B99" i="1" l="1"/>
  <c r="D98" i="1" s="1"/>
  <c r="F98" i="1" s="1"/>
  <c r="C99" i="1"/>
  <c r="A100" i="1"/>
  <c r="B100" i="1" l="1"/>
  <c r="D99" i="1" s="1"/>
  <c r="F99" i="1" s="1"/>
  <c r="C100" i="1"/>
  <c r="A101" i="1"/>
  <c r="A102" i="1" l="1"/>
  <c r="B101" i="1"/>
  <c r="D100" i="1" s="1"/>
  <c r="F100" i="1" s="1"/>
  <c r="C101" i="1"/>
  <c r="B102" i="1" l="1"/>
  <c r="D101" i="1" s="1"/>
  <c r="F101" i="1" s="1"/>
  <c r="C102" i="1"/>
  <c r="A103" i="1"/>
  <c r="C103" i="1" l="1"/>
  <c r="A104" i="1"/>
  <c r="B103" i="1"/>
  <c r="D102" i="1" s="1"/>
  <c r="F102" i="1" s="1"/>
  <c r="A105" i="1" l="1"/>
  <c r="C104" i="1"/>
  <c r="B104" i="1"/>
  <c r="D103" i="1" s="1"/>
  <c r="F103" i="1" s="1"/>
  <c r="C105" i="1" l="1"/>
  <c r="B105" i="1"/>
  <c r="D104" i="1" s="1"/>
  <c r="F104" i="1" s="1"/>
  <c r="A106" i="1"/>
  <c r="A107" i="1" l="1"/>
  <c r="B106" i="1"/>
  <c r="D105" i="1" s="1"/>
  <c r="F105" i="1" s="1"/>
  <c r="C106" i="1"/>
  <c r="B107" i="1" l="1"/>
  <c r="D106" i="1" s="1"/>
  <c r="F106" i="1" s="1"/>
  <c r="C107" i="1"/>
  <c r="A108" i="1"/>
  <c r="B108" i="1" l="1"/>
  <c r="D107" i="1" s="1"/>
  <c r="F107" i="1" s="1"/>
  <c r="C108" i="1"/>
  <c r="A109" i="1"/>
  <c r="A110" i="1" l="1"/>
  <c r="C109" i="1"/>
  <c r="B109" i="1"/>
  <c r="D108" i="1" s="1"/>
  <c r="F108" i="1" s="1"/>
  <c r="B110" i="1" l="1"/>
  <c r="D109" i="1" s="1"/>
  <c r="F109" i="1" s="1"/>
  <c r="C110" i="1"/>
  <c r="A111" i="1"/>
  <c r="C111" i="1" l="1"/>
  <c r="B111" i="1"/>
  <c r="D110" i="1" s="1"/>
  <c r="F110" i="1" s="1"/>
  <c r="A112" i="1"/>
  <c r="A113" i="1" l="1"/>
  <c r="B112" i="1"/>
  <c r="C112" i="1"/>
  <c r="D111" i="1" l="1"/>
  <c r="F111" i="1" s="1"/>
  <c r="D113" i="1"/>
  <c r="F113" i="1" s="1"/>
  <c r="B113" i="1"/>
  <c r="D112" i="1" s="1"/>
  <c r="F112" i="1" s="1"/>
  <c r="C113" i="1"/>
</calcChain>
</file>

<file path=xl/sharedStrings.xml><?xml version="1.0" encoding="utf-8"?>
<sst xmlns="http://schemas.openxmlformats.org/spreadsheetml/2006/main" count="53" uniqueCount="30">
  <si>
    <t>f(x)=x^2*cos(x)</t>
  </si>
  <si>
    <t>f'(x)=2x*cos(x)-x^2*sin(x)</t>
  </si>
  <si>
    <t>x</t>
  </si>
  <si>
    <t>f(x)</t>
  </si>
  <si>
    <t>f'(exact)</t>
  </si>
  <si>
    <t>f'(num)</t>
  </si>
  <si>
    <t>% error</t>
  </si>
  <si>
    <t>dt=</t>
  </si>
  <si>
    <t>center</t>
  </si>
  <si>
    <t>forward</t>
  </si>
  <si>
    <t>backward</t>
  </si>
  <si>
    <t>Part a)</t>
  </si>
  <si>
    <t>Part b)</t>
  </si>
  <si>
    <t>Exact</t>
  </si>
  <si>
    <t>Trapezoidal</t>
  </si>
  <si>
    <t>dt =</t>
  </si>
  <si>
    <t>Exact = 2x*cos(x)+(x^2-2)*sin(x)</t>
  </si>
  <si>
    <t>Trapezoidal = (dt/2)*(f(x_0)+2*sum(f(x_i))+f(x_n))</t>
  </si>
  <si>
    <t>Error is very low</t>
  </si>
  <si>
    <t>T (oC)</t>
  </si>
  <si>
    <t>H (kJ/mol)</t>
  </si>
  <si>
    <t>C_p</t>
  </si>
  <si>
    <t>y = ax + b</t>
  </si>
  <si>
    <t>C_p = dH/dT = a,   so average C_p is 0.0504</t>
  </si>
  <si>
    <t>Average C_p:</t>
  </si>
  <si>
    <t>Average C_p part a is 0.0452</t>
  </si>
  <si>
    <t>Difference of 0.0052 or 11.5%</t>
  </si>
  <si>
    <t>Part c)</t>
  </si>
  <si>
    <t>Cp_NIST (kJ/mol·K)</t>
  </si>
  <si>
    <t>% error is minimal except @ T=700 and T=800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</si>
</sst>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 vs 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400437445319334"/>
                  <c:y val="-6.342592592592592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2'!$A$5:$A$19</c:f>
              <c:numCache>
                <c:formatCode>General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'Problem 2'!$B$5:$B$19</c:f>
              <c:numCache>
                <c:formatCode>General</c:formatCode>
                <c:ptCount val="15"/>
                <c:pt idx="0">
                  <c:v>25.186</c:v>
                </c:pt>
                <c:pt idx="1">
                  <c:v>27.254000000000001</c:v>
                </c:pt>
                <c:pt idx="2">
                  <c:v>29.408000000000001</c:v>
                </c:pt>
                <c:pt idx="3">
                  <c:v>31.64</c:v>
                </c:pt>
                <c:pt idx="4">
                  <c:v>33.942</c:v>
                </c:pt>
                <c:pt idx="5">
                  <c:v>36.307000000000002</c:v>
                </c:pt>
                <c:pt idx="6">
                  <c:v>38.731999999999999</c:v>
                </c:pt>
                <c:pt idx="7">
                  <c:v>41.209000000000003</c:v>
                </c:pt>
                <c:pt idx="8">
                  <c:v>43.735999999999997</c:v>
                </c:pt>
                <c:pt idx="9">
                  <c:v>46.307000000000002</c:v>
                </c:pt>
                <c:pt idx="10">
                  <c:v>48.918999999999997</c:v>
                </c:pt>
                <c:pt idx="11">
                  <c:v>51.567999999999998</c:v>
                </c:pt>
                <c:pt idx="12">
                  <c:v>54.252000000000002</c:v>
                </c:pt>
                <c:pt idx="13">
                  <c:v>58.966000000000001</c:v>
                </c:pt>
                <c:pt idx="14">
                  <c:v>59.71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0-684E-8631-E3D92DE7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769903"/>
        <c:axId val="1295587743"/>
      </c:scatterChart>
      <c:valAx>
        <c:axId val="129576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(oC)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587743"/>
        <c:crosses val="autoZero"/>
        <c:crossBetween val="midCat"/>
      </c:valAx>
      <c:valAx>
        <c:axId val="12955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(kJ/mol)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6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135082</xdr:rowOff>
    </xdr:from>
    <xdr:to>
      <xdr:col>9</xdr:col>
      <xdr:colOff>415636</xdr:colOff>
      <xdr:row>15</xdr:row>
      <xdr:rowOff>176645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B5AB09-65BB-9AB6-A574-FE860D359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1071-615F-9243-BAC6-7CE04E041833}">
  <dimension ref="A1:L120"/>
  <sheetViews>
    <sheetView zoomScale="125" workbookViewId="0">
      <selection activeCell="K118" sqref="K118"/>
    </sheetView>
  </sheetViews>
  <sheetFormatPr baseColWidth="10" defaultRowHeight="16" x14ac:dyDescent="0.2"/>
  <sheetData>
    <row r="1" spans="1:11" x14ac:dyDescent="0.2">
      <c r="A1" t="s">
        <v>0</v>
      </c>
      <c r="H1" s="1" t="s">
        <v>12</v>
      </c>
      <c r="I1" t="s">
        <v>16</v>
      </c>
    </row>
    <row r="2" spans="1:11" x14ac:dyDescent="0.2">
      <c r="A2" t="s">
        <v>1</v>
      </c>
      <c r="I2" t="s">
        <v>17</v>
      </c>
    </row>
    <row r="3" spans="1:11" x14ac:dyDescent="0.2">
      <c r="A3" s="1" t="s">
        <v>11</v>
      </c>
      <c r="H3" t="s">
        <v>15</v>
      </c>
      <c r="I3">
        <v>0.1</v>
      </c>
    </row>
    <row r="4" spans="1:11" x14ac:dyDescent="0.2">
      <c r="A4" t="s">
        <v>7</v>
      </c>
      <c r="B4">
        <v>0.1</v>
      </c>
      <c r="H4" t="s">
        <v>2</v>
      </c>
      <c r="I4" t="s">
        <v>13</v>
      </c>
      <c r="J4" t="s">
        <v>14</v>
      </c>
      <c r="K4" t="s">
        <v>6</v>
      </c>
    </row>
    <row r="5" spans="1:11" x14ac:dyDescent="0.2">
      <c r="A5" t="s">
        <v>2</v>
      </c>
      <c r="B5" t="s">
        <v>3</v>
      </c>
      <c r="C5" t="s">
        <v>4</v>
      </c>
      <c r="D5" t="s">
        <v>5</v>
      </c>
      <c r="F5" t="s">
        <v>6</v>
      </c>
      <c r="H5">
        <v>0</v>
      </c>
      <c r="I5">
        <f>2*H5*COS(H5)+(H5^2-2)*SIN(H5)</f>
        <v>0</v>
      </c>
      <c r="K5">
        <v>0</v>
      </c>
    </row>
    <row r="6" spans="1:11" x14ac:dyDescent="0.2">
      <c r="A6">
        <v>0</v>
      </c>
      <c r="B6">
        <f>A6^2*COS(A6)</f>
        <v>0</v>
      </c>
      <c r="C6">
        <f>(2*A6)*COS(A6)-(A6)^2*SIN(A6)</f>
        <v>0</v>
      </c>
      <c r="D6">
        <f>(-3*B6+B7-B8)/(2*$B$4)</f>
        <v>-0.14626310730434705</v>
      </c>
      <c r="E6" t="s">
        <v>9</v>
      </c>
      <c r="F6" t="e">
        <f>ABS((D6-C6)/C6)*100</f>
        <v>#DIV/0!</v>
      </c>
      <c r="H6">
        <f>H5+$I$3</f>
        <v>0.1</v>
      </c>
      <c r="I6">
        <f>2*H6*COS(H6)+(H6^2-2)*SIN(H6)</f>
        <v>3.3233392841713894E-4</v>
      </c>
    </row>
    <row r="7" spans="1:11" x14ac:dyDescent="0.2">
      <c r="A7">
        <f>A6+$B$4</f>
        <v>0.1</v>
      </c>
      <c r="B7">
        <f>A7^2*COS(A7)</f>
        <v>9.9500416527802601E-3</v>
      </c>
      <c r="C7">
        <f>(2*A7)*COS(A7)-(A7)^2*SIN(A7)</f>
        <v>0.1980024988891369</v>
      </c>
      <c r="D7">
        <f>(B8-B6)/(2*$B$4)</f>
        <v>0.19601331556824836</v>
      </c>
      <c r="E7" t="s">
        <v>8</v>
      </c>
      <c r="F7">
        <f t="shared" ref="F7:F16" si="0">ABS((D7-C7)/C7)*100</f>
        <v>1.0046253618255101</v>
      </c>
      <c r="H7">
        <f t="shared" ref="H7:H14" si="1">H6+$I$3</f>
        <v>0.2</v>
      </c>
      <c r="I7">
        <f t="shared" ref="I7:I14" si="2">2*H7*COS(H7)+(H7^2-2)*SIN(H7)</f>
        <v>2.6347427781766575E-3</v>
      </c>
    </row>
    <row r="8" spans="1:11" x14ac:dyDescent="0.2">
      <c r="A8">
        <f t="shared" ref="A8:A12" si="3">A7+$B$4</f>
        <v>0.2</v>
      </c>
      <c r="B8">
        <f t="shared" ref="B8:B16" si="4">A8^2*COS(A8)</f>
        <v>3.9202663113649672E-2</v>
      </c>
      <c r="C8">
        <f t="shared" ref="C8:C12" si="5">(2*A8)*COS(A8)-(A8)^2*SIN(A8)</f>
        <v>0.38407985790469423</v>
      </c>
      <c r="D8">
        <f>(B9-B7)/(2*$B$4)</f>
        <v>0.38015121184262146</v>
      </c>
      <c r="F8">
        <f t="shared" si="0"/>
        <v>1.0228721921282391</v>
      </c>
      <c r="H8">
        <f t="shared" si="1"/>
        <v>0.30000000000000004</v>
      </c>
      <c r="I8">
        <f t="shared" si="2"/>
        <v>8.7582987522050182E-3</v>
      </c>
    </row>
    <row r="9" spans="1:11" x14ac:dyDescent="0.2">
      <c r="A9">
        <f t="shared" si="3"/>
        <v>0.30000000000000004</v>
      </c>
      <c r="B9">
        <f t="shared" si="4"/>
        <v>8.5980284021304559E-2</v>
      </c>
      <c r="C9">
        <f t="shared" si="5"/>
        <v>0.54660507487584309</v>
      </c>
      <c r="D9">
        <f t="shared" ref="D9:D15" si="6">(B10-B8)/(2*$B$4)</f>
        <v>0.54083547963405987</v>
      </c>
      <c r="F9">
        <f t="shared" si="0"/>
        <v>1.0555326884028176</v>
      </c>
      <c r="H9">
        <f t="shared" si="1"/>
        <v>0.4</v>
      </c>
      <c r="I9">
        <f t="shared" si="2"/>
        <v>2.0319045354391219E-2</v>
      </c>
    </row>
    <row r="10" spans="1:11" x14ac:dyDescent="0.2">
      <c r="A10">
        <f t="shared" si="3"/>
        <v>0.4</v>
      </c>
      <c r="B10">
        <f t="shared" si="4"/>
        <v>0.14736975904046165</v>
      </c>
      <c r="C10">
        <f t="shared" si="5"/>
        <v>0.67454186043292408</v>
      </c>
      <c r="D10">
        <f t="shared" si="6"/>
        <v>0.66707678225644307</v>
      </c>
      <c r="F10">
        <f t="shared" si="0"/>
        <v>1.1066886451924405</v>
      </c>
      <c r="H10">
        <f t="shared" si="1"/>
        <v>0.5</v>
      </c>
      <c r="I10">
        <f t="shared" si="2"/>
        <v>3.8587869333017499E-2</v>
      </c>
    </row>
    <row r="11" spans="1:11" x14ac:dyDescent="0.2">
      <c r="A11">
        <f t="shared" si="3"/>
        <v>0.5</v>
      </c>
      <c r="B11">
        <f t="shared" si="4"/>
        <v>0.21939564047259319</v>
      </c>
      <c r="C11">
        <f t="shared" si="5"/>
        <v>0.75772617723932201</v>
      </c>
      <c r="D11">
        <f t="shared" si="6"/>
        <v>0.74875531163511266</v>
      </c>
      <c r="F11">
        <f t="shared" si="0"/>
        <v>1.1839191879174005</v>
      </c>
      <c r="H11">
        <f t="shared" si="1"/>
        <v>0.6</v>
      </c>
      <c r="I11">
        <f t="shared" si="2"/>
        <v>6.4389081523755887E-2</v>
      </c>
    </row>
    <row r="12" spans="1:11" x14ac:dyDescent="0.2">
      <c r="A12">
        <f t="shared" si="3"/>
        <v>0.6</v>
      </c>
      <c r="B12">
        <f t="shared" si="4"/>
        <v>0.29712082136748419</v>
      </c>
      <c r="C12">
        <f t="shared" si="5"/>
        <v>0.78713144746940122</v>
      </c>
      <c r="D12">
        <f t="shared" si="6"/>
        <v>0.77688515648403067</v>
      </c>
      <c r="F12">
        <f t="shared" si="0"/>
        <v>1.3017255273324428</v>
      </c>
      <c r="H12">
        <f t="shared" si="1"/>
        <v>0.7</v>
      </c>
      <c r="I12">
        <f t="shared" si="2"/>
        <v>9.8010354469370342E-2</v>
      </c>
    </row>
    <row r="13" spans="1:11" x14ac:dyDescent="0.2">
      <c r="A13">
        <f>A12+$B$4</f>
        <v>0.7</v>
      </c>
      <c r="B13">
        <f>A13^2*COS(A13)</f>
        <v>0.37477267176939932</v>
      </c>
      <c r="C13">
        <f>(2*A13)*COS(A13)-(A13)^2*SIN(A13)</f>
        <v>0.7551123954518153</v>
      </c>
      <c r="D13">
        <f t="shared" si="6"/>
        <v>0.74385736307350814</v>
      </c>
      <c r="F13">
        <f t="shared" si="0"/>
        <v>1.4905108757449022</v>
      </c>
      <c r="H13">
        <f t="shared" si="1"/>
        <v>0.79999999999999993</v>
      </c>
      <c r="I13">
        <f t="shared" si="2"/>
        <v>0.13912645133211377</v>
      </c>
    </row>
    <row r="14" spans="1:11" x14ac:dyDescent="0.2">
      <c r="A14">
        <f t="shared" ref="A14:A16" si="7">A13+$B$4</f>
        <v>0.79999999999999993</v>
      </c>
      <c r="B14">
        <f t="shared" si="4"/>
        <v>0.44589229398218583</v>
      </c>
      <c r="C14">
        <f t="shared" ref="C14:C16" si="8">(2*A14)*COS(A14)-(A14)^2*SIN(A14)</f>
        <v>0.65562283677977029</v>
      </c>
      <c r="D14">
        <f t="shared" si="6"/>
        <v>0.64365701264919417</v>
      </c>
      <c r="F14">
        <f t="shared" si="0"/>
        <v>1.8251078911998835</v>
      </c>
      <c r="H14">
        <f t="shared" si="1"/>
        <v>0.89999999999999991</v>
      </c>
      <c r="I14">
        <f t="shared" si="2"/>
        <v>0.18673892043049067</v>
      </c>
      <c r="J14">
        <f>($I$3/2)*(B6+2*SUM(B7:B15)+B16)</f>
        <v>0.23933394026531665</v>
      </c>
      <c r="K14" s="1">
        <f t="shared" ref="K7:K14" si="9">ABS((J14-I14)/I14)*100</f>
        <v>28.165001550602454</v>
      </c>
    </row>
    <row r="15" spans="1:11" x14ac:dyDescent="0.2">
      <c r="A15">
        <f t="shared" si="7"/>
        <v>0.89999999999999991</v>
      </c>
      <c r="B15">
        <f t="shared" si="4"/>
        <v>0.50350407429923816</v>
      </c>
      <c r="C15">
        <f t="shared" si="8"/>
        <v>0.48440314608893453</v>
      </c>
      <c r="D15">
        <f t="shared" si="6"/>
        <v>0.47205005942976913</v>
      </c>
      <c r="F15">
        <f t="shared" si="0"/>
        <v>2.5501664799050303</v>
      </c>
    </row>
    <row r="16" spans="1:11" x14ac:dyDescent="0.2">
      <c r="A16">
        <f t="shared" ref="A16" si="10">A15+$B$4</f>
        <v>0.99999999999999989</v>
      </c>
      <c r="B16">
        <f t="shared" si="4"/>
        <v>0.54030230586813965</v>
      </c>
      <c r="C16">
        <f t="shared" ref="C16" si="11">(2*A16)*COS(A16)-(A16)^2*SIN(A16)</f>
        <v>0.23913362692838314</v>
      </c>
      <c r="D16">
        <f>(3*B16-4*B15+B14)/(2*$B$4)</f>
        <v>0.26391457194826023</v>
      </c>
      <c r="E16" t="s">
        <v>10</v>
      </c>
      <c r="F16">
        <f>ABS((D16-C16)/C16)*100</f>
        <v>10.362802311905138</v>
      </c>
      <c r="H16" t="s">
        <v>15</v>
      </c>
      <c r="I16">
        <v>0.01</v>
      </c>
    </row>
    <row r="17" spans="1:11" x14ac:dyDescent="0.2">
      <c r="H17" t="s">
        <v>2</v>
      </c>
      <c r="I17" t="s">
        <v>13</v>
      </c>
      <c r="J17" t="s">
        <v>14</v>
      </c>
      <c r="K17" t="s">
        <v>6</v>
      </c>
    </row>
    <row r="18" spans="1:11" x14ac:dyDescent="0.2">
      <c r="A18" t="s">
        <v>7</v>
      </c>
      <c r="B18">
        <v>0.01</v>
      </c>
      <c r="H18">
        <v>0</v>
      </c>
      <c r="I18">
        <f>2*H18*COS(H18)+(H18^2-2)*SIN(H18)</f>
        <v>0</v>
      </c>
    </row>
    <row r="19" spans="1:11" x14ac:dyDescent="0.2">
      <c r="A19" t="s">
        <v>2</v>
      </c>
      <c r="B19" t="s">
        <v>3</v>
      </c>
      <c r="C19" t="s">
        <v>4</v>
      </c>
      <c r="D19" t="s">
        <v>5</v>
      </c>
      <c r="F19" t="s">
        <v>6</v>
      </c>
      <c r="H19">
        <f>H18+$I$16</f>
        <v>0.01</v>
      </c>
      <c r="I19">
        <f>2*H19*COS(H19)+(H19^2-2)*SIN(H19)</f>
        <v>3.3332333339297637E-7</v>
      </c>
    </row>
    <row r="20" spans="1:11" x14ac:dyDescent="0.2">
      <c r="A20">
        <v>0</v>
      </c>
      <c r="B20">
        <f>A20^2*COS(A20)</f>
        <v>0</v>
      </c>
      <c r="C20">
        <f>(2*A20)*COS(A20)-(A20)^2*SIN(A20)</f>
        <v>0</v>
      </c>
      <c r="D20">
        <f>(-3*B20+B21-B22)/(2*$B$18)</f>
        <v>-1.4996250131248232E-2</v>
      </c>
      <c r="E20" t="s">
        <v>9</v>
      </c>
      <c r="F20" t="e">
        <f>ABS((D20-C20)/C20)*100</f>
        <v>#DIV/0!</v>
      </c>
      <c r="H20">
        <f t="shared" ref="H20:H27" si="12">H19+$I$16</f>
        <v>0.02</v>
      </c>
      <c r="I20">
        <f t="shared" ref="I20:I83" si="13">2*H20*COS(H20)+(H20^2-2)*SIN(H20)</f>
        <v>2.6663466742779529E-6</v>
      </c>
    </row>
    <row r="21" spans="1:11" x14ac:dyDescent="0.2">
      <c r="A21">
        <f>A20+$B$18</f>
        <v>0.01</v>
      </c>
      <c r="B21">
        <f>A21^2*COS(A21)</f>
        <v>9.9995000041666534E-5</v>
      </c>
      <c r="C21">
        <f>(2*A21)*COS(A21)-(A21)^2*SIN(A21)</f>
        <v>1.9998000024999889E-2</v>
      </c>
      <c r="D21">
        <f>(B22-B20)/(2*$B$18)</f>
        <v>1.9996000133331557E-2</v>
      </c>
      <c r="E21" t="s">
        <v>8</v>
      </c>
      <c r="F21">
        <f t="shared" ref="F21:F30" si="14">ABS((D21-C21)/C21)*100</f>
        <v>1.0000458374996865E-2</v>
      </c>
      <c r="H21">
        <f t="shared" si="12"/>
        <v>0.03</v>
      </c>
      <c r="I21">
        <f t="shared" si="13"/>
        <v>8.9975701301689415E-6</v>
      </c>
    </row>
    <row r="22" spans="1:11" x14ac:dyDescent="0.2">
      <c r="A22">
        <f t="shared" ref="A22:A30" si="15">A21+$B$18</f>
        <v>0.02</v>
      </c>
      <c r="B22">
        <f t="shared" ref="B22:B85" si="16">A22^2*COS(A22)</f>
        <v>3.9992000266663114E-4</v>
      </c>
      <c r="C22">
        <f t="shared" ref="C22:C26" si="17">(2*A22)*COS(A22)-(A22)^2*SIN(A22)</f>
        <v>3.9984000799985778E-2</v>
      </c>
      <c r="D22">
        <f t="shared" ref="D22:D34" si="18">(B23-B21)/(2*$B$18)</f>
        <v>3.9980001516621115E-2</v>
      </c>
      <c r="F22">
        <f t="shared" si="14"/>
        <v>1.000220909525411E-2</v>
      </c>
      <c r="H22">
        <f t="shared" si="12"/>
        <v>0.04</v>
      </c>
      <c r="I22">
        <f t="shared" si="13"/>
        <v>2.1323094308522972E-5</v>
      </c>
    </row>
    <row r="23" spans="1:11" x14ac:dyDescent="0.2">
      <c r="A23">
        <f t="shared" si="15"/>
        <v>0.03</v>
      </c>
      <c r="B23">
        <f t="shared" si="16"/>
        <v>8.9959503037408876E-4</v>
      </c>
      <c r="C23">
        <f t="shared" si="17"/>
        <v>5.9946006074757002E-2</v>
      </c>
      <c r="D23">
        <f t="shared" si="18"/>
        <v>5.9940008399546676E-2</v>
      </c>
      <c r="F23">
        <f t="shared" si="14"/>
        <v>1.0005128953622463E-2</v>
      </c>
      <c r="H23">
        <f t="shared" si="12"/>
        <v>0.05</v>
      </c>
      <c r="I23">
        <f t="shared" si="13"/>
        <v>4.1635421316660315E-5</v>
      </c>
    </row>
    <row r="24" spans="1:11" x14ac:dyDescent="0.2">
      <c r="A24">
        <f t="shared" si="15"/>
        <v>0.04</v>
      </c>
      <c r="B24">
        <f t="shared" si="16"/>
        <v>1.5987201706575648E-3</v>
      </c>
      <c r="C24">
        <f t="shared" si="17"/>
        <v>7.9872025598179616E-2</v>
      </c>
      <c r="D24">
        <f t="shared" si="18"/>
        <v>7.9864031030666374E-2</v>
      </c>
      <c r="F24">
        <f t="shared" si="14"/>
        <v>1.0009220942337312E-2</v>
      </c>
      <c r="H24">
        <f t="shared" si="12"/>
        <v>6.0000000000000005E-2</v>
      </c>
      <c r="I24">
        <f t="shared" si="13"/>
        <v>7.1922256661319239E-5</v>
      </c>
    </row>
    <row r="25" spans="1:11" x14ac:dyDescent="0.2">
      <c r="A25">
        <f t="shared" si="15"/>
        <v>0.05</v>
      </c>
      <c r="B25">
        <f t="shared" si="16"/>
        <v>2.4968756509874163E-3</v>
      </c>
      <c r="C25">
        <f t="shared" si="17"/>
        <v>9.9750078116319932E-2</v>
      </c>
      <c r="D25">
        <f t="shared" si="18"/>
        <v>9.9740088655458567E-2</v>
      </c>
      <c r="F25">
        <f t="shared" si="14"/>
        <v>1.0014489261568324E-2</v>
      </c>
      <c r="H25">
        <f t="shared" si="12"/>
        <v>7.0000000000000007E-2</v>
      </c>
      <c r="I25">
        <f t="shared" si="13"/>
        <v>1.1416531234750837E-4</v>
      </c>
    </row>
    <row r="26" spans="1:11" x14ac:dyDescent="0.2">
      <c r="A26">
        <f t="shared" si="15"/>
        <v>6.0000000000000005E-2</v>
      </c>
      <c r="B26">
        <f t="shared" si="16"/>
        <v>3.5935219437667359E-3</v>
      </c>
      <c r="C26">
        <f t="shared" si="17"/>
        <v>0.11956819436889851</v>
      </c>
      <c r="D26">
        <f t="shared" si="18"/>
        <v>0.11955621251268274</v>
      </c>
      <c r="F26">
        <f t="shared" si="14"/>
        <v>1.002093933007467E-2</v>
      </c>
      <c r="H26">
        <f t="shared" si="12"/>
        <v>0.08</v>
      </c>
      <c r="I26">
        <f t="shared" si="13"/>
        <v>1.7033911147643077E-4</v>
      </c>
    </row>
    <row r="27" spans="1:11" x14ac:dyDescent="0.2">
      <c r="A27">
        <f t="shared" si="15"/>
        <v>7.0000000000000007E-2</v>
      </c>
      <c r="B27">
        <f>A27^2*COS(A27)</f>
        <v>4.887999901241071E-3</v>
      </c>
      <c r="C27">
        <f>(2*A27)*COS(A27)-(A27)^2*SIN(A27)</f>
        <v>0.13931442008350522</v>
      </c>
      <c r="D27">
        <f t="shared" si="18"/>
        <v>0.13930044882850143</v>
      </c>
      <c r="F27">
        <f t="shared" si="14"/>
        <v>1.0028577799357008E-2</v>
      </c>
      <c r="H27">
        <f t="shared" si="12"/>
        <v>0.09</v>
      </c>
      <c r="I27">
        <f t="shared" si="13"/>
        <v>2.4240979464076884E-4</v>
      </c>
    </row>
    <row r="28" spans="1:11" x14ac:dyDescent="0.2">
      <c r="A28">
        <f t="shared" si="15"/>
        <v>0.08</v>
      </c>
      <c r="B28">
        <f t="shared" si="16"/>
        <v>6.3795309203367647E-3</v>
      </c>
      <c r="C28">
        <f t="shared" ref="C28:C30" si="19">(2*A28)*COS(A28)-(A28)^2*SIN(A28)</f>
        <v>0.1589768189670164</v>
      </c>
      <c r="D28">
        <f t="shared" si="18"/>
        <v>0.15896086180780408</v>
      </c>
      <c r="F28">
        <f t="shared" si="14"/>
        <v>1.0037412571219947E-2</v>
      </c>
      <c r="H28">
        <f t="shared" ref="H28:H91" si="20">H27+$I$16</f>
        <v>9.9999999999999992E-2</v>
      </c>
      <c r="I28">
        <f t="shared" si="13"/>
        <v>3.3233392841713894E-4</v>
      </c>
    </row>
    <row r="29" spans="1:11" x14ac:dyDescent="0.2">
      <c r="A29">
        <f t="shared" si="15"/>
        <v>0.09</v>
      </c>
      <c r="B29">
        <f t="shared" si="16"/>
        <v>8.0672171373971525E-3</v>
      </c>
      <c r="C29">
        <f t="shared" si="19"/>
        <v>0.17854347569365508</v>
      </c>
      <c r="D29">
        <f t="shared" si="18"/>
        <v>0.1785255366221746</v>
      </c>
      <c r="F29">
        <f t="shared" si="14"/>
        <v>1.0047452818305528E-2</v>
      </c>
      <c r="H29">
        <f t="shared" si="20"/>
        <v>0.10999999999999999</v>
      </c>
      <c r="I29">
        <f t="shared" si="13"/>
        <v>4.4205731625349132E-4</v>
      </c>
    </row>
    <row r="30" spans="1:11" x14ac:dyDescent="0.2">
      <c r="A30">
        <f t="shared" ref="A30:A34" si="21">A29+$B$18</f>
        <v>9.9999999999999992E-2</v>
      </c>
      <c r="B30">
        <f t="shared" si="16"/>
        <v>9.9500416527802567E-3</v>
      </c>
      <c r="C30">
        <f t="shared" ref="C30:C34" si="22">(2*A30)*COS(A30)-(A30)^2*SIN(A30)</f>
        <v>0.19800249888913687</v>
      </c>
      <c r="D30">
        <f t="shared" si="18"/>
        <v>0.19798258239394384</v>
      </c>
      <c r="F30">
        <f t="shared" ref="F30:F34" si="23">ABS((D30-C30)/C30)*100</f>
        <v>1.0058709008609824E-2</v>
      </c>
      <c r="H30">
        <f t="shared" si="20"/>
        <v>0.11999999999999998</v>
      </c>
      <c r="I30">
        <f t="shared" si="13"/>
        <v>5.7351381204959195E-4</v>
      </c>
    </row>
    <row r="31" spans="1:11" x14ac:dyDescent="0.2">
      <c r="A31">
        <f t="shared" si="21"/>
        <v>0.10999999999999999</v>
      </c>
      <c r="B31">
        <f t="shared" si="16"/>
        <v>1.202686878527603E-2</v>
      </c>
      <c r="C31">
        <f t="shared" si="22"/>
        <v>0.21734202411034345</v>
      </c>
      <c r="D31">
        <f t="shared" si="18"/>
        <v>0.21732013517577067</v>
      </c>
      <c r="F31">
        <f t="shared" si="23"/>
        <v>1.0071192933063447E-2</v>
      </c>
      <c r="H31">
        <f t="shared" si="20"/>
        <v>0.12999999999999998</v>
      </c>
      <c r="I31">
        <f t="shared" si="13"/>
        <v>7.2862413672802884E-4</v>
      </c>
    </row>
    <row r="32" spans="1:11" x14ac:dyDescent="0.2">
      <c r="A32">
        <f t="shared" si="21"/>
        <v>0.11999999999999998</v>
      </c>
      <c r="B32">
        <f t="shared" si="16"/>
        <v>1.429644435629567E-2</v>
      </c>
      <c r="C32">
        <f t="shared" si="22"/>
        <v>0.23655021681996743</v>
      </c>
      <c r="D32">
        <f t="shared" si="18"/>
        <v>0.23652636092519425</v>
      </c>
      <c r="F32">
        <f t="shared" si="23"/>
        <v>1.0084917737084729E-2</v>
      </c>
      <c r="H32">
        <f t="shared" si="20"/>
        <v>0.13999999999999999</v>
      </c>
      <c r="I32">
        <f t="shared" si="13"/>
        <v>9.0929469809247765E-4</v>
      </c>
    </row>
    <row r="33" spans="1:9" x14ac:dyDescent="0.2">
      <c r="A33">
        <f t="shared" si="21"/>
        <v>0.12999999999999998</v>
      </c>
      <c r="B33">
        <f t="shared" si="16"/>
        <v>1.6757396003779915E-2</v>
      </c>
      <c r="C33">
        <f t="shared" si="22"/>
        <v>0.25561527535557199</v>
      </c>
      <c r="D33">
        <f t="shared" si="18"/>
        <v>0.25558945847360082</v>
      </c>
      <c r="F33">
        <f t="shared" si="23"/>
        <v>1.009989795612261E-2</v>
      </c>
      <c r="H33">
        <f t="shared" si="20"/>
        <v>0.15</v>
      </c>
      <c r="I33">
        <f t="shared" si="13"/>
        <v>1.1174164142702114E-3</v>
      </c>
    </row>
    <row r="34" spans="1:9" x14ac:dyDescent="0.2">
      <c r="A34">
        <f t="shared" si="21"/>
        <v>0.13999999999999999</v>
      </c>
      <c r="B34">
        <f t="shared" si="16"/>
        <v>1.9408233525767687E-2</v>
      </c>
      <c r="C34">
        <f t="shared" si="22"/>
        <v>0.27452543389251133</v>
      </c>
      <c r="D34">
        <f t="shared" si="18"/>
        <v>0.27449766248905172</v>
      </c>
      <c r="F34">
        <f t="shared" si="23"/>
        <v>1.0116149555192959E-2</v>
      </c>
      <c r="H34">
        <f t="shared" si="20"/>
        <v>0.16</v>
      </c>
      <c r="I34">
        <f t="shared" si="13"/>
        <v>1.3548635410334242E-3</v>
      </c>
    </row>
    <row r="35" spans="1:9" x14ac:dyDescent="0.2">
      <c r="A35">
        <f t="shared" ref="A35:A36" si="24">A34+$B$18</f>
        <v>0.15</v>
      </c>
      <c r="B35">
        <f t="shared" si="16"/>
        <v>2.224734925356095E-2</v>
      </c>
      <c r="C35">
        <f t="shared" ref="C35:C36" si="25">(2*A35)*COS(A35)-(A35)^2*SIN(A35)</f>
        <v>0.29326896540015668</v>
      </c>
      <c r="D35">
        <f t="shared" ref="D35:D36" si="26">(B36-B34)/(2*$B$18)</f>
        <v>0.29323924643241822</v>
      </c>
      <c r="F35">
        <f t="shared" ref="F35:F36" si="27">ABS((D35-C35)/C35)*100</f>
        <v>1.0133689972243124E-2</v>
      </c>
      <c r="H35">
        <f t="shared" si="20"/>
        <v>0.17</v>
      </c>
      <c r="I35">
        <f t="shared" si="13"/>
        <v>1.6234925032947989E-3</v>
      </c>
    </row>
    <row r="36" spans="1:9" x14ac:dyDescent="0.2">
      <c r="A36">
        <f t="shared" si="24"/>
        <v>0.16</v>
      </c>
      <c r="B36">
        <f t="shared" si="16"/>
        <v>2.5273018454416051E-2</v>
      </c>
      <c r="C36">
        <f t="shared" si="25"/>
        <v>0.31183418459087597</v>
      </c>
      <c r="D36">
        <f t="shared" si="26"/>
        <v>0.31180252550626808</v>
      </c>
      <c r="F36">
        <f t="shared" si="27"/>
        <v>1.0152538166856188E-2</v>
      </c>
      <c r="H36">
        <f t="shared" si="20"/>
        <v>0.18000000000000002</v>
      </c>
      <c r="I36">
        <f t="shared" si="13"/>
        <v>1.9251407310720836E-3</v>
      </c>
    </row>
    <row r="37" spans="1:9" x14ac:dyDescent="0.2">
      <c r="A37">
        <f t="shared" ref="A37:A51" si="28">A36+$B$18</f>
        <v>0.17</v>
      </c>
      <c r="B37">
        <f t="shared" si="16"/>
        <v>2.8483399763686312E-2</v>
      </c>
      <c r="C37">
        <f t="shared" ref="C37:C51" si="29">(2*A37)*COS(A37)-(A37)^2*SIN(A37)</f>
        <v>0.3302094508612145</v>
      </c>
      <c r="D37">
        <f t="shared" ref="D37:D51" si="30">(B38-B36)/(2*$B$18)</f>
        <v>0.33017585959595458</v>
      </c>
      <c r="F37">
        <f t="shared" ref="F37:F51" si="31">ABS((D37-C37)/C37)*100</f>
        <v>1.0172714673161451E-2</v>
      </c>
      <c r="H37">
        <f t="shared" si="20"/>
        <v>0.19000000000000003</v>
      </c>
      <c r="I37">
        <f t="shared" si="13"/>
        <v>2.261625500213249E-3</v>
      </c>
    </row>
    <row r="38" spans="1:9" x14ac:dyDescent="0.2">
      <c r="A38">
        <f t="shared" si="28"/>
        <v>0.18000000000000002</v>
      </c>
      <c r="B38">
        <f t="shared" si="16"/>
        <v>3.1876535646335143E-2</v>
      </c>
      <c r="C38">
        <f t="shared" si="29"/>
        <v>0.34838317122472706</v>
      </c>
      <c r="D38">
        <f t="shared" si="30"/>
        <v>0.34834765620235814</v>
      </c>
      <c r="F38">
        <f t="shared" si="31"/>
        <v>1.0194241657561809E-2</v>
      </c>
      <c r="H38">
        <f t="shared" si="20"/>
        <v>0.20000000000000004</v>
      </c>
      <c r="I38">
        <f t="shared" si="13"/>
        <v>2.634742778176713E-3</v>
      </c>
    </row>
    <row r="39" spans="1:9" x14ac:dyDescent="0.2">
      <c r="A39">
        <f t="shared" si="28"/>
        <v>0.19000000000000003</v>
      </c>
      <c r="B39">
        <f t="shared" si="16"/>
        <v>3.5450352887733474E-2</v>
      </c>
      <c r="C39">
        <f t="shared" si="29"/>
        <v>0.36634380323591109</v>
      </c>
      <c r="D39">
        <f t="shared" si="30"/>
        <v>0.3663063733657268</v>
      </c>
      <c r="F39">
        <f t="shared" si="31"/>
        <v>1.0217142982540872E-2</v>
      </c>
      <c r="H39">
        <f t="shared" si="20"/>
        <v>0.21000000000000005</v>
      </c>
      <c r="I39">
        <f t="shared" si="13"/>
        <v>3.0462660751561788E-3</v>
      </c>
    </row>
    <row r="40" spans="1:9" x14ac:dyDescent="0.2">
      <c r="A40">
        <f t="shared" si="28"/>
        <v>0.20000000000000004</v>
      </c>
      <c r="B40">
        <f t="shared" si="16"/>
        <v>3.9202663113649679E-2</v>
      </c>
      <c r="C40">
        <f t="shared" si="29"/>
        <v>0.38407985790469429</v>
      </c>
      <c r="D40">
        <f t="shared" si="30"/>
        <v>0.3840405225800741</v>
      </c>
      <c r="F40">
        <f t="shared" si="31"/>
        <v>1.0241444275360561E-2</v>
      </c>
      <c r="H40">
        <f t="shared" si="20"/>
        <v>0.22000000000000006</v>
      </c>
      <c r="I40">
        <f t="shared" si="13"/>
        <v>3.4979453008418537E-3</v>
      </c>
    </row>
    <row r="41" spans="1:9" x14ac:dyDescent="0.2">
      <c r="A41">
        <f t="shared" si="28"/>
        <v>0.21000000000000005</v>
      </c>
      <c r="B41">
        <f t="shared" si="16"/>
        <v>4.3131163339334956E-2</v>
      </c>
      <c r="C41">
        <f t="shared" si="29"/>
        <v>0.40157990260092935</v>
      </c>
      <c r="D41">
        <f t="shared" si="30"/>
        <v>0.40153867169758284</v>
      </c>
      <c r="F41">
        <f t="shared" si="31"/>
        <v>1.0267173003297724E-2</v>
      </c>
      <c r="H41">
        <f t="shared" si="20"/>
        <v>0.23000000000000007</v>
      </c>
      <c r="I41">
        <f t="shared" si="13"/>
        <v>3.9915056271070393E-3</v>
      </c>
    </row>
    <row r="42" spans="1:9" x14ac:dyDescent="0.2">
      <c r="A42">
        <f t="shared" si="28"/>
        <v>0.22000000000000006</v>
      </c>
      <c r="B42">
        <f t="shared" si="16"/>
        <v>4.7233436547601336E-2</v>
      </c>
      <c r="C42">
        <f t="shared" si="29"/>
        <v>0.41883256394835244</v>
      </c>
      <c r="D42">
        <f t="shared" si="30"/>
        <v>0.41878944782247002</v>
      </c>
      <c r="F42">
        <f t="shared" si="31"/>
        <v>1.0294358556070174E-2</v>
      </c>
      <c r="H42">
        <f t="shared" si="20"/>
        <v>0.24000000000000007</v>
      </c>
      <c r="I42">
        <f t="shared" si="13"/>
        <v>4.5286463569080282E-3</v>
      </c>
    </row>
    <row r="43" spans="1:9" x14ac:dyDescent="0.2">
      <c r="A43">
        <f t="shared" si="28"/>
        <v>0.23000000000000007</v>
      </c>
      <c r="B43">
        <f t="shared" si="16"/>
        <v>5.1506952295784357E-2</v>
      </c>
      <c r="C43">
        <f t="shared" si="29"/>
        <v>0.43582653070746102</v>
      </c>
      <c r="D43">
        <f t="shared" si="30"/>
        <v>0.43578154019378001</v>
      </c>
      <c r="F43">
        <f t="shared" si="31"/>
        <v>1.0323032333065571E-2</v>
      </c>
      <c r="H43">
        <f t="shared" si="20"/>
        <v>0.25000000000000006</v>
      </c>
      <c r="I43">
        <f t="shared" si="13"/>
        <v>5.1110397996841916E-3</v>
      </c>
    </row>
    <row r="44" spans="1:9" x14ac:dyDescent="0.2">
      <c r="A44">
        <f t="shared" si="28"/>
        <v>0.24000000000000007</v>
      </c>
      <c r="B44">
        <f t="shared" si="16"/>
        <v>5.5949067351476936E-2</v>
      </c>
      <c r="C44">
        <f t="shared" si="29"/>
        <v>0.45255055664677141</v>
      </c>
      <c r="D44">
        <f t="shared" si="30"/>
        <v>0.4525037030565483</v>
      </c>
      <c r="F44">
        <f t="shared" si="31"/>
        <v>1.0353227840503252E-2</v>
      </c>
      <c r="H44">
        <f t="shared" si="20"/>
        <v>0.26000000000000006</v>
      </c>
      <c r="I44">
        <f t="shared" si="13"/>
        <v>5.7403301535464135E-3</v>
      </c>
    </row>
    <row r="45" spans="1:9" x14ac:dyDescent="0.2">
      <c r="A45">
        <f t="shared" si="28"/>
        <v>0.25000000000000006</v>
      </c>
      <c r="B45">
        <f t="shared" si="16"/>
        <v>6.0557026356915324E-2</v>
      </c>
      <c r="C45">
        <f t="shared" si="29"/>
        <v>0.46899346340191478</v>
      </c>
      <c r="D45">
        <f t="shared" si="30"/>
        <v>0.46894475852080963</v>
      </c>
      <c r="F45">
        <f t="shared" si="31"/>
        <v>1.03849807952238E-2</v>
      </c>
      <c r="H45">
        <f t="shared" si="20"/>
        <v>0.27000000000000007</v>
      </c>
      <c r="I45">
        <f t="shared" si="13"/>
        <v>6.4181323945343705E-3</v>
      </c>
    </row>
    <row r="46" spans="1:9" x14ac:dyDescent="0.2">
      <c r="A46">
        <f t="shared" si="28"/>
        <v>0.26000000000000006</v>
      </c>
      <c r="B46">
        <f t="shared" si="16"/>
        <v>6.5327962521893129E-2</v>
      </c>
      <c r="C46">
        <f t="shared" si="29"/>
        <v>0.48514414332203731</v>
      </c>
      <c r="D46">
        <f t="shared" si="30"/>
        <v>0.48509359940790664</v>
      </c>
      <c r="F46">
        <f t="shared" si="31"/>
        <v>1.0418329238105043E-2</v>
      </c>
      <c r="H46">
        <f t="shared" si="20"/>
        <v>0.28000000000000008</v>
      </c>
      <c r="I46">
        <f t="shared" si="13"/>
        <v>7.1460311732307602E-3</v>
      </c>
    </row>
    <row r="47" spans="1:9" x14ac:dyDescent="0.2">
      <c r="A47">
        <f t="shared" si="28"/>
        <v>0.27000000000000007</v>
      </c>
      <c r="B47">
        <f t="shared" si="16"/>
        <v>7.0258898345073456E-2</v>
      </c>
      <c r="C47">
        <f t="shared" si="29"/>
        <v>0.50099156230296527</v>
      </c>
      <c r="D47">
        <f t="shared" si="30"/>
        <v>0.5009391920835673</v>
      </c>
      <c r="F47">
        <f t="shared" si="31"/>
        <v>1.0453313656068748E-2</v>
      </c>
      <c r="H47">
        <f t="shared" si="20"/>
        <v>0.29000000000000009</v>
      </c>
      <c r="I47">
        <f t="shared" si="13"/>
        <v>7.9255797190098676E-3</v>
      </c>
    </row>
    <row r="48" spans="1:9" x14ac:dyDescent="0.2">
      <c r="A48">
        <f t="shared" si="28"/>
        <v>0.28000000000000008</v>
      </c>
      <c r="B48">
        <f t="shared" si="16"/>
        <v>7.5346746363564476E-2</v>
      </c>
      <c r="C48">
        <f t="shared" si="29"/>
        <v>0.51652476260660529</v>
      </c>
      <c r="D48">
        <f t="shared" si="30"/>
        <v>0.5164705792772214</v>
      </c>
      <c r="F48">
        <f t="shared" si="31"/>
        <v>1.0489977113674508E-2</v>
      </c>
      <c r="H48">
        <f t="shared" si="20"/>
        <v>0.3000000000000001</v>
      </c>
      <c r="I48">
        <f t="shared" si="13"/>
        <v>8.7582987522050182E-3</v>
      </c>
    </row>
    <row r="49" spans="1:9" x14ac:dyDescent="0.2">
      <c r="A49">
        <f t="shared" si="28"/>
        <v>0.29000000000000009</v>
      </c>
      <c r="B49">
        <f t="shared" si="16"/>
        <v>8.0588309930617885E-2</v>
      </c>
      <c r="C49">
        <f t="shared" si="29"/>
        <v>0.53173286566604783</v>
      </c>
      <c r="D49">
        <f t="shared" si="30"/>
        <v>0.53167688288700621</v>
      </c>
      <c r="F49">
        <f t="shared" si="31"/>
        <v>1.0528365398571897E-2</v>
      </c>
      <c r="H49">
        <f t="shared" si="20"/>
        <v>0.31000000000000011</v>
      </c>
      <c r="I49">
        <f t="shared" si="13"/>
        <v>9.6456754044702553E-3</v>
      </c>
    </row>
    <row r="50" spans="1:9" x14ac:dyDescent="0.2">
      <c r="A50">
        <f t="shared" si="28"/>
        <v>0.3000000000000001</v>
      </c>
      <c r="B50">
        <f t="shared" si="16"/>
        <v>8.5980284021304601E-2</v>
      </c>
      <c r="C50">
        <f t="shared" si="29"/>
        <v>0.5466050748758432</v>
      </c>
      <c r="D50">
        <f t="shared" si="30"/>
        <v>0.54654730676996222</v>
      </c>
      <c r="F50">
        <f t="shared" si="31"/>
        <v>1.0568527175512557E-2</v>
      </c>
      <c r="H50">
        <f t="shared" si="20"/>
        <v>0.32000000000000012</v>
      </c>
      <c r="I50">
        <f t="shared" si="13"/>
        <v>1.0589162147617182E-2</v>
      </c>
    </row>
    <row r="51" spans="1:9" x14ac:dyDescent="0.2">
      <c r="A51">
        <f t="shared" si="28"/>
        <v>0.31000000000000011</v>
      </c>
      <c r="B51">
        <f t="shared" si="16"/>
        <v>9.1519256066017129E-2</v>
      </c>
      <c r="C51">
        <f t="shared" si="29"/>
        <v>0.56113067836692754</v>
      </c>
      <c r="D51">
        <f t="shared" si="30"/>
        <v>0.56107113951687071</v>
      </c>
      <c r="F51">
        <f t="shared" si="31"/>
        <v>1.0610514155117261E-2</v>
      </c>
      <c r="H51">
        <f t="shared" si="20"/>
        <v>0.33000000000000013</v>
      </c>
      <c r="I51">
        <f t="shared" si="13"/>
        <v>1.1590175731199803E-2</v>
      </c>
    </row>
    <row r="52" spans="1:9" x14ac:dyDescent="0.2">
      <c r="A52">
        <f t="shared" ref="A52:A115" si="32">A51+$B$18</f>
        <v>0.32000000000000012</v>
      </c>
      <c r="B52">
        <f t="shared" si="16"/>
        <v>9.7201706811642016E-2</v>
      </c>
      <c r="C52">
        <f t="shared" ref="C52:C115" si="33">(2*A52)*COS(A52)-(A52)^2*SIN(A52)</f>
        <v>0.57529905176567186</v>
      </c>
      <c r="D52">
        <f t="shared" ref="D52:D115" si="34">(B53-B51)/(2*$B$18)</f>
        <v>0.57523775721121384</v>
      </c>
      <c r="F52">
        <f t="shared" ref="F52:F115" si="35">ABS((D52-C52)/C52)*100</f>
        <v>1.0654381276990315E-2</v>
      </c>
      <c r="H52">
        <f t="shared" si="20"/>
        <v>0.34000000000000014</v>
      </c>
      <c r="I52">
        <f t="shared" si="13"/>
        <v>1.2650096129124822E-2</v>
      </c>
    </row>
    <row r="53" spans="1:9" x14ac:dyDescent="0.2">
      <c r="A53">
        <f t="shared" si="32"/>
        <v>0.33000000000000013</v>
      </c>
      <c r="B53">
        <f t="shared" si="16"/>
        <v>0.10302401121024141</v>
      </c>
      <c r="C53">
        <f t="shared" si="33"/>
        <v>0.58909966093653432</v>
      </c>
      <c r="D53">
        <f t="shared" si="34"/>
        <v>0.58903662617174468</v>
      </c>
      <c r="F53">
        <f t="shared" si="35"/>
        <v>1.0700186907157093E-2</v>
      </c>
      <c r="H53">
        <f t="shared" si="20"/>
        <v>0.35000000000000014</v>
      </c>
      <c r="I53">
        <f t="shared" si="13"/>
        <v>1.3770265495555267E-2</v>
      </c>
    </row>
    <row r="54" spans="1:9" x14ac:dyDescent="0.2">
      <c r="A54">
        <f t="shared" si="32"/>
        <v>0.34000000000000014</v>
      </c>
      <c r="B54">
        <f t="shared" si="16"/>
        <v>0.10898243933507691</v>
      </c>
      <c r="C54">
        <f t="shared" si="33"/>
        <v>0.60252206470779746</v>
      </c>
      <c r="D54">
        <f t="shared" si="34"/>
        <v>0.60245730567813005</v>
      </c>
      <c r="F54">
        <f t="shared" si="35"/>
        <v>1.0747993054629609E-2</v>
      </c>
      <c r="H54">
        <f t="shared" si="20"/>
        <v>0.36000000000000015</v>
      </c>
      <c r="I54">
        <f t="shared" si="13"/>
        <v>1.4951987130384925E-2</v>
      </c>
    </row>
    <row r="55" spans="1:9" x14ac:dyDescent="0.2">
      <c r="A55">
        <f t="shared" si="32"/>
        <v>0.35000000000000014</v>
      </c>
      <c r="B55">
        <f t="shared" si="16"/>
        <v>0.11507315732380401</v>
      </c>
      <c r="C55">
        <f t="shared" si="33"/>
        <v>0.6155559175798726</v>
      </c>
      <c r="D55">
        <f t="shared" si="34"/>
        <v>0.61548945067917693</v>
      </c>
      <c r="F55">
        <f t="shared" si="35"/>
        <v>1.0797865603663444E-2</v>
      </c>
      <c r="H55">
        <f t="shared" si="20"/>
        <v>0.37000000000000016</v>
      </c>
      <c r="I55">
        <f t="shared" si="13"/>
        <v>1.6196524454544892E-2</v>
      </c>
    </row>
    <row r="56" spans="1:9" x14ac:dyDescent="0.2">
      <c r="A56">
        <f t="shared" si="32"/>
        <v>0.36000000000000015</v>
      </c>
      <c r="B56">
        <f t="shared" si="16"/>
        <v>0.12129222834866045</v>
      </c>
      <c r="C56">
        <f t="shared" si="33"/>
        <v>0.62819097241566169</v>
      </c>
      <c r="D56">
        <f t="shared" si="34"/>
        <v>0.62812281448311125</v>
      </c>
      <c r="F56">
        <f t="shared" si="35"/>
        <v>1.0849874567337801E-2</v>
      </c>
      <c r="H56">
        <f t="shared" si="20"/>
        <v>0.38000000000000017</v>
      </c>
      <c r="I56">
        <f t="shared" si="13"/>
        <v>1.7505099995417051E-2</v>
      </c>
    </row>
    <row r="57" spans="1:9" x14ac:dyDescent="0.2">
      <c r="A57">
        <f t="shared" si="32"/>
        <v>0.37000000000000016</v>
      </c>
      <c r="B57">
        <f t="shared" si="16"/>
        <v>0.12763561361346623</v>
      </c>
      <c r="C57">
        <f t="shared" si="33"/>
        <v>0.64041708311246237</v>
      </c>
      <c r="D57">
        <f t="shared" si="34"/>
        <v>0.6403472514293872</v>
      </c>
      <c r="F57">
        <f t="shared" si="35"/>
        <v>1.0904094365469819E-2</v>
      </c>
      <c r="H57">
        <f t="shared" si="20"/>
        <v>0.39000000000000018</v>
      </c>
      <c r="I57">
        <f t="shared" si="13"/>
        <v>1.8878894382614142E-2</v>
      </c>
    </row>
    <row r="58" spans="1:9" x14ac:dyDescent="0.2">
      <c r="A58">
        <f t="shared" si="32"/>
        <v>0.38000000000000017</v>
      </c>
      <c r="B58">
        <f t="shared" si="16"/>
        <v>0.13409917337724819</v>
      </c>
      <c r="C58">
        <f t="shared" si="33"/>
        <v>0.65222420725491326</v>
      </c>
      <c r="D58">
        <f t="shared" si="34"/>
        <v>0.65215271954155996</v>
      </c>
      <c r="F58">
        <f t="shared" si="35"/>
        <v>1.0960604123263096E-2</v>
      </c>
      <c r="H58">
        <f t="shared" si="20"/>
        <v>0.40000000000000019</v>
      </c>
      <c r="I58">
        <f t="shared" si="13"/>
        <v>2.0319045354391219E-2</v>
      </c>
    </row>
    <row r="59" spans="1:9" x14ac:dyDescent="0.2">
      <c r="A59">
        <f t="shared" si="32"/>
        <v>0.39000000000000018</v>
      </c>
      <c r="B59">
        <f t="shared" si="16"/>
        <v>0.14067866800429743</v>
      </c>
      <c r="C59">
        <f t="shared" si="33"/>
        <v>0.66360240874847154</v>
      </c>
      <c r="D59">
        <f t="shared" si="34"/>
        <v>0.66352928316067705</v>
      </c>
      <c r="F59">
        <f t="shared" si="35"/>
        <v>1.1019487999207085E-2</v>
      </c>
      <c r="H59">
        <f t="shared" si="20"/>
        <v>0.4100000000000002</v>
      </c>
      <c r="I59">
        <f t="shared" si="13"/>
        <v>2.1826646774951941E-2</v>
      </c>
    </row>
    <row r="60" spans="1:9" x14ac:dyDescent="0.2">
      <c r="A60">
        <f t="shared" si="32"/>
        <v>0.40000000000000019</v>
      </c>
      <c r="B60">
        <f t="shared" si="16"/>
        <v>0.14736975904046173</v>
      </c>
      <c r="C60">
        <f t="shared" si="33"/>
        <v>0.67454186043292419</v>
      </c>
      <c r="D60">
        <f t="shared" si="34"/>
        <v>0.67446711555870087</v>
      </c>
      <c r="F60">
        <f t="shared" si="35"/>
        <v>1.1080835543008214E-2</v>
      </c>
      <c r="H60">
        <f t="shared" si="20"/>
        <v>0.42000000000000021</v>
      </c>
      <c r="I60">
        <f t="shared" si="13"/>
        <v>2.3402747662906731E-2</v>
      </c>
    </row>
    <row r="61" spans="1:9" x14ac:dyDescent="0.2">
      <c r="A61">
        <f t="shared" si="32"/>
        <v>0.4100000000000002</v>
      </c>
      <c r="B61">
        <f t="shared" si="16"/>
        <v>0.15416801031547145</v>
      </c>
      <c r="C61">
        <f t="shared" si="33"/>
        <v>0.68503284667543496</v>
      </c>
      <c r="D61">
        <f t="shared" si="34"/>
        <v>0.68495650153147924</v>
      </c>
      <c r="F61">
        <f t="shared" si="35"/>
        <v>1.1144742084445746E-2</v>
      </c>
      <c r="H61">
        <f t="shared" si="20"/>
        <v>0.43000000000000022</v>
      </c>
      <c r="I61">
        <f t="shared" si="13"/>
        <v>2.5048351231140797E-2</v>
      </c>
    </row>
    <row r="62" spans="1:9" x14ac:dyDescent="0.2">
      <c r="A62">
        <f t="shared" si="32"/>
        <v>0.42000000000000021</v>
      </c>
      <c r="B62">
        <f t="shared" si="16"/>
        <v>0.16106888907109132</v>
      </c>
      <c r="C62">
        <f t="shared" si="33"/>
        <v>0.69506576594263092</v>
      </c>
      <c r="D62">
        <f t="shared" si="34"/>
        <v>0.6949878399707482</v>
      </c>
      <c r="F62">
        <f t="shared" si="35"/>
        <v>1.1211309159650294E-2</v>
      </c>
      <c r="H62">
        <f t="shared" si="20"/>
        <v>0.44000000000000022</v>
      </c>
      <c r="I62">
        <f t="shared" si="13"/>
        <v>2.6764413938346165E-2</v>
      </c>
    </row>
    <row r="63" spans="1:9" x14ac:dyDescent="0.2">
      <c r="A63">
        <f t="shared" si="32"/>
        <v>0.43000000000000022</v>
      </c>
      <c r="B63">
        <f t="shared" si="16"/>
        <v>0.16806776711488641</v>
      </c>
      <c r="C63">
        <f t="shared" si="33"/>
        <v>0.70463113335124039</v>
      </c>
      <c r="D63">
        <f t="shared" si="34"/>
        <v>0.70455164641468748</v>
      </c>
      <c r="F63">
        <f t="shared" si="35"/>
        <v>1.128064497730419E-2</v>
      </c>
      <c r="H63">
        <f t="shared" si="20"/>
        <v>0.45000000000000023</v>
      </c>
      <c r="I63">
        <f t="shared" si="13"/>
        <v>2.8551844552472949E-2</v>
      </c>
    </row>
    <row r="64" spans="1:9" x14ac:dyDescent="0.2">
      <c r="A64">
        <f t="shared" si="32"/>
        <v>0.44000000000000022</v>
      </c>
      <c r="B64">
        <f t="shared" si="16"/>
        <v>0.17515992199938507</v>
      </c>
      <c r="C64">
        <f t="shared" si="33"/>
        <v>0.71371958319679052</v>
      </c>
      <c r="D64">
        <f t="shared" si="34"/>
        <v>0.71363855557654143</v>
      </c>
      <c r="F64">
        <f t="shared" si="35"/>
        <v>1.1352864928570168E-2</v>
      </c>
      <c r="H64">
        <f t="shared" si="20"/>
        <v>0.46000000000000024</v>
      </c>
      <c r="I64">
        <f t="shared" si="13"/>
        <v>3.041150322634778E-2</v>
      </c>
    </row>
    <row r="65" spans="1:9" x14ac:dyDescent="0.2">
      <c r="A65">
        <f t="shared" si="32"/>
        <v>0.45000000000000023</v>
      </c>
      <c r="B65">
        <f t="shared" si="16"/>
        <v>0.18234053822641724</v>
      </c>
      <c r="C65">
        <f t="shared" si="33"/>
        <v>0.72232187145988525</v>
      </c>
      <c r="D65">
        <f t="shared" si="34"/>
        <v>0.72223932385081369</v>
      </c>
      <c r="F65">
        <f t="shared" si="35"/>
        <v>1.1428092147441459E-2</v>
      </c>
      <c r="H65">
        <f t="shared" si="20"/>
        <v>0.47000000000000025</v>
      </c>
      <c r="I65">
        <f t="shared" si="13"/>
        <v>3.2344200585708971E-2</v>
      </c>
    </row>
    <row r="66" spans="1:9" x14ac:dyDescent="0.2">
      <c r="A66">
        <f t="shared" si="32"/>
        <v>0.46000000000000024</v>
      </c>
      <c r="B66">
        <f t="shared" si="16"/>
        <v>0.18960470847640135</v>
      </c>
      <c r="C66">
        <f t="shared" si="33"/>
        <v>0.73042887828957948</v>
      </c>
      <c r="D66">
        <f t="shared" si="34"/>
        <v>0.73034483179655607</v>
      </c>
      <c r="F66">
        <f t="shared" si="35"/>
        <v>1.1506458126383637E-2</v>
      </c>
      <c r="H66">
        <f t="shared" si="20"/>
        <v>0.48000000000000026</v>
      </c>
      <c r="I66">
        <f t="shared" si="13"/>
        <v>3.435069682990477E-2</v>
      </c>
    </row>
    <row r="67" spans="1:9" x14ac:dyDescent="0.2">
      <c r="A67">
        <f t="shared" si="32"/>
        <v>0.47000000000000025</v>
      </c>
      <c r="B67">
        <f t="shared" si="16"/>
        <v>0.19694743486234836</v>
      </c>
      <c r="C67">
        <f t="shared" si="33"/>
        <v>0.73803161046337329</v>
      </c>
      <c r="D67">
        <f t="shared" si="34"/>
        <v>0.73794608659729499</v>
      </c>
      <c r="F67">
        <f t="shared" si="35"/>
        <v>1.158810339093745E-2</v>
      </c>
      <c r="H67">
        <f t="shared" si="20"/>
        <v>0.49000000000000027</v>
      </c>
      <c r="I67">
        <f t="shared" si="13"/>
        <v>3.6431700845497961E-2</v>
      </c>
    </row>
    <row r="68" spans="1:9" x14ac:dyDescent="0.2">
      <c r="A68">
        <f t="shared" si="32"/>
        <v>0.48000000000000026</v>
      </c>
      <c r="B68">
        <f t="shared" si="16"/>
        <v>0.20436363020834725</v>
      </c>
      <c r="C68">
        <f t="shared" si="33"/>
        <v>0.74512120382335534</v>
      </c>
      <c r="D68">
        <f t="shared" si="34"/>
        <v>0.74503422449709999</v>
      </c>
      <c r="F68">
        <f t="shared" si="35"/>
        <v>1.1673178243893211E-2</v>
      </c>
      <c r="H68">
        <f t="shared" si="20"/>
        <v>0.50000000000000022</v>
      </c>
      <c r="I68">
        <f t="shared" si="13"/>
        <v>3.858786933301761E-2</v>
      </c>
    </row>
    <row r="69" spans="1:9" x14ac:dyDescent="0.2">
      <c r="A69">
        <f t="shared" si="32"/>
        <v>0.49000000000000027</v>
      </c>
      <c r="B69">
        <f t="shared" si="16"/>
        <v>0.21184811935229036</v>
      </c>
      <c r="C69">
        <f t="shared" si="33"/>
        <v>0.75168892568802415</v>
      </c>
      <c r="D69">
        <f t="shared" si="34"/>
        <v>0.75160051321230548</v>
      </c>
      <c r="F69">
        <f t="shared" si="35"/>
        <v>1.1761843589453511E-2</v>
      </c>
      <c r="H69">
        <f t="shared" si="20"/>
        <v>0.51000000000000023</v>
      </c>
      <c r="I69">
        <f t="shared" si="13"/>
        <v>4.0819805947095666E-2</v>
      </c>
    </row>
    <row r="70" spans="1:9" x14ac:dyDescent="0.2">
      <c r="A70">
        <f t="shared" si="32"/>
        <v>0.50000000000000022</v>
      </c>
      <c r="B70">
        <f t="shared" si="16"/>
        <v>0.21939564047259336</v>
      </c>
      <c r="C70">
        <f t="shared" si="33"/>
        <v>0.75772617723932223</v>
      </c>
      <c r="D70">
        <f t="shared" si="34"/>
        <v>0.75763635431848608</v>
      </c>
      <c r="F70">
        <f t="shared" si="35"/>
        <v>1.1854271837803597E-2</v>
      </c>
      <c r="H70">
        <f t="shared" si="20"/>
        <v>0.52000000000000024</v>
      </c>
      <c r="I70">
        <f t="shared" si="13"/>
        <v>4.3128060450228878E-2</v>
      </c>
    </row>
    <row r="71" spans="1:9" x14ac:dyDescent="0.2">
      <c r="A71">
        <f t="shared" si="32"/>
        <v>0.51000000000000023</v>
      </c>
      <c r="B71">
        <f t="shared" si="16"/>
        <v>0.22700084643866009</v>
      </c>
      <c r="C71">
        <f t="shared" si="33"/>
        <v>0.7632244958844222</v>
      </c>
      <c r="D71">
        <f t="shared" si="34"/>
        <v>0.76313328561216776</v>
      </c>
      <c r="F71">
        <f t="shared" si="35"/>
        <v>1.1950647908484024E-2</v>
      </c>
      <c r="H71">
        <f t="shared" si="20"/>
        <v>0.53000000000000025</v>
      </c>
      <c r="I71">
        <f t="shared" si="13"/>
        <v>4.5513127880394411E-2</v>
      </c>
    </row>
    <row r="72" spans="1:9" x14ac:dyDescent="0.2">
      <c r="A72">
        <f t="shared" si="32"/>
        <v>0.52000000000000024</v>
      </c>
      <c r="B72">
        <f t="shared" si="16"/>
        <v>0.23465830618483671</v>
      </c>
      <c r="C72">
        <f t="shared" si="33"/>
        <v>0.76817555759180955</v>
      </c>
      <c r="D72">
        <f t="shared" si="34"/>
        <v>0.76808298344682446</v>
      </c>
      <c r="F72">
        <f t="shared" si="35"/>
        <v>1.2051170343834756E-2</v>
      </c>
      <c r="H72">
        <f t="shared" si="20"/>
        <v>0.54000000000000026</v>
      </c>
      <c r="I72">
        <f t="shared" si="13"/>
        <v>4.7975447732751642E-2</v>
      </c>
    </row>
    <row r="73" spans="1:9" x14ac:dyDescent="0.2">
      <c r="A73">
        <f t="shared" si="32"/>
        <v>0.53000000000000025</v>
      </c>
      <c r="B73">
        <f t="shared" si="16"/>
        <v>0.24236250610759658</v>
      </c>
      <c r="C73">
        <f t="shared" si="33"/>
        <v>0.77257117920120533</v>
      </c>
      <c r="D73">
        <f t="shared" si="34"/>
        <v>0.77247726504272995</v>
      </c>
      <c r="F73">
        <f t="shared" si="35"/>
        <v>1.2156052542948097E-2</v>
      </c>
      <c r="H73">
        <f t="shared" si="20"/>
        <v>0.55000000000000027</v>
      </c>
      <c r="I73">
        <f t="shared" si="13"/>
        <v>5.0515403155662275E-2</v>
      </c>
    </row>
    <row r="74" spans="1:9" x14ac:dyDescent="0.2">
      <c r="A74">
        <f t="shared" si="32"/>
        <v>0.54000000000000026</v>
      </c>
      <c r="B74">
        <f t="shared" si="16"/>
        <v>0.25010785148569131</v>
      </c>
      <c r="C74">
        <f t="shared" si="33"/>
        <v>0.77640332070688234</v>
      </c>
      <c r="D74">
        <f t="shared" si="34"/>
        <v>0.77630809077020579</v>
      </c>
      <c r="F74">
        <f t="shared" si="35"/>
        <v>1.2265524133750651E-2</v>
      </c>
      <c r="H74">
        <f t="shared" si="20"/>
        <v>0.56000000000000028</v>
      </c>
      <c r="I74">
        <f t="shared" si="13"/>
        <v>5.3133320161248498E-2</v>
      </c>
    </row>
    <row r="75" spans="1:9" x14ac:dyDescent="0.2">
      <c r="A75">
        <f t="shared" si="32"/>
        <v>0.55000000000000027</v>
      </c>
      <c r="B75">
        <f t="shared" si="16"/>
        <v>0.25788866792300069</v>
      </c>
      <c r="C75">
        <f t="shared" si="33"/>
        <v>0.77966408751393201</v>
      </c>
      <c r="D75">
        <f t="shared" si="34"/>
        <v>0.7795675664058116</v>
      </c>
      <c r="F75">
        <f t="shared" si="35"/>
        <v>1.237983250301917E-2</v>
      </c>
      <c r="H75">
        <f t="shared" si="20"/>
        <v>0.57000000000000028</v>
      </c>
      <c r="I75">
        <f t="shared" si="13"/>
        <v>5.5829466850714549E-2</v>
      </c>
    </row>
    <row r="76" spans="1:9" x14ac:dyDescent="0.2">
      <c r="A76">
        <f t="shared" si="32"/>
        <v>0.56000000000000028</v>
      </c>
      <c r="B76">
        <f t="shared" si="16"/>
        <v>0.26569920281380754</v>
      </c>
      <c r="C76">
        <f t="shared" si="33"/>
        <v>0.78234573266703711</v>
      </c>
      <c r="D76">
        <f t="shared" si="34"/>
        <v>0.78224794536103093</v>
      </c>
      <c r="F76">
        <f t="shared" si="35"/>
        <v>1.2499244505727819E-2</v>
      </c>
      <c r="H76">
        <f t="shared" si="20"/>
        <v>0.58000000000000029</v>
      </c>
      <c r="I76">
        <f t="shared" si="13"/>
        <v>5.8604052654656069E-2</v>
      </c>
    </row>
    <row r="77" spans="1:9" x14ac:dyDescent="0.2">
      <c r="A77">
        <f t="shared" si="32"/>
        <v>0.57000000000000028</v>
      </c>
      <c r="B77">
        <f t="shared" si="16"/>
        <v>0.27353362683022131</v>
      </c>
      <c r="C77">
        <f t="shared" si="33"/>
        <v>0.78444065905131977</v>
      </c>
      <c r="D77">
        <f t="shared" si="34"/>
        <v>0.78434163088307862</v>
      </c>
      <c r="F77">
        <f t="shared" si="35"/>
        <v>1.2624048371091077E-2</v>
      </c>
      <c r="H77">
        <f t="shared" si="20"/>
        <v>0.5900000000000003</v>
      </c>
      <c r="I77">
        <f t="shared" si="13"/>
        <v>6.1457227588565533E-2</v>
      </c>
    </row>
    <row r="78" spans="1:9" x14ac:dyDescent="0.2">
      <c r="A78">
        <f t="shared" si="32"/>
        <v>0.58000000000000029</v>
      </c>
      <c r="B78">
        <f t="shared" si="16"/>
        <v>0.28138603543146912</v>
      </c>
      <c r="C78">
        <f t="shared" si="33"/>
        <v>0.7859414215648306</v>
      </c>
      <c r="D78">
        <f t="shared" si="34"/>
        <v>0.78584117822729227</v>
      </c>
      <c r="F78">
        <f t="shared" si="35"/>
        <v>1.2754555847017618E-2</v>
      </c>
      <c r="H78">
        <f t="shared" si="20"/>
        <v>0.60000000000000031</v>
      </c>
      <c r="I78">
        <f t="shared" si="13"/>
        <v>6.4389081523756109E-2</v>
      </c>
    </row>
    <row r="79" spans="1:9" x14ac:dyDescent="0.2">
      <c r="A79">
        <f t="shared" si="32"/>
        <v>0.5900000000000003</v>
      </c>
      <c r="B79">
        <f t="shared" si="16"/>
        <v>0.28925045039476716</v>
      </c>
      <c r="C79">
        <f t="shared" si="33"/>
        <v>0.7868407292622529</v>
      </c>
      <c r="D79">
        <f t="shared" si="34"/>
        <v>0.78673929680076471</v>
      </c>
      <c r="F79">
        <f t="shared" si="35"/>
        <v>1.289110460554033E-2</v>
      </c>
      <c r="H79">
        <f t="shared" si="20"/>
        <v>0.61000000000000032</v>
      </c>
      <c r="I79">
        <f t="shared" si="13"/>
        <v>6.7399643473911697E-2</v>
      </c>
    </row>
    <row r="80" spans="1:9" x14ac:dyDescent="0.2">
      <c r="A80">
        <f t="shared" si="32"/>
        <v>0.60000000000000031</v>
      </c>
      <c r="B80">
        <f t="shared" si="16"/>
        <v>0.29712082136748441</v>
      </c>
      <c r="C80">
        <f t="shared" si="33"/>
        <v>0.78713144746940122</v>
      </c>
      <c r="D80">
        <f t="shared" si="34"/>
        <v>0.78702885227679986</v>
      </c>
      <c r="F80">
        <f t="shared" si="35"/>
        <v>1.3034060947660292E-2</v>
      </c>
      <c r="H80">
        <f t="shared" si="20"/>
        <v>0.62000000000000033</v>
      </c>
      <c r="I80">
        <f t="shared" si="13"/>
        <v>7.0488880897472184E-2</v>
      </c>
    </row>
    <row r="81" spans="1:9" x14ac:dyDescent="0.2">
      <c r="A81">
        <f t="shared" si="32"/>
        <v>0.61000000000000032</v>
      </c>
      <c r="B81">
        <f t="shared" si="16"/>
        <v>0.30499102744030315</v>
      </c>
      <c r="C81">
        <f t="shared" si="33"/>
        <v>0.78680659986809598</v>
      </c>
      <c r="D81">
        <f t="shared" si="34"/>
        <v>0.78670286867969508</v>
      </c>
      <c r="F81">
        <f t="shared" si="35"/>
        <v>1.3183822862987141E-2</v>
      </c>
      <c r="H81">
        <f t="shared" si="20"/>
        <v>0.63000000000000034</v>
      </c>
      <c r="I81">
        <f t="shared" si="13"/>
        <v>7.3656699016059091E-2</v>
      </c>
    </row>
    <row r="82" spans="1:9" x14ac:dyDescent="0.2">
      <c r="A82">
        <f t="shared" si="32"/>
        <v>0.62000000000000033</v>
      </c>
      <c r="B82">
        <f t="shared" si="16"/>
        <v>0.31285487874107831</v>
      </c>
      <c r="C82">
        <f t="shared" si="33"/>
        <v>0.78585937055100208</v>
      </c>
      <c r="D82">
        <f t="shared" si="34"/>
        <v>0.7857545304395086</v>
      </c>
      <c r="F82">
        <f t="shared" si="35"/>
        <v>1.3340823488554681E-2</v>
      </c>
      <c r="H82">
        <f t="shared" si="20"/>
        <v>0.64000000000000035</v>
      </c>
      <c r="I82">
        <f t="shared" si="13"/>
        <v>7.6902940149146337E-2</v>
      </c>
    </row>
    <row r="83" spans="1:9" x14ac:dyDescent="0.2">
      <c r="A83">
        <f t="shared" si="32"/>
        <v>0.63000000000000034</v>
      </c>
      <c r="B83">
        <f t="shared" si="16"/>
        <v>0.32070611804909332</v>
      </c>
      <c r="C83">
        <f t="shared" si="33"/>
        <v>0.78428310604602447</v>
      </c>
      <c r="D83">
        <f t="shared" si="34"/>
        <v>0.78417718441641249</v>
      </c>
      <c r="F83">
        <f t="shared" si="35"/>
        <v>1.350553502879694E-2</v>
      </c>
      <c r="H83">
        <f t="shared" si="20"/>
        <v>0.65000000000000036</v>
      </c>
      <c r="I83">
        <f t="shared" si="13"/>
        <v>8.0227383065170299E-2</v>
      </c>
    </row>
    <row r="84" spans="1:9" x14ac:dyDescent="0.2">
      <c r="A84">
        <f t="shared" si="32"/>
        <v>0.64000000000000035</v>
      </c>
      <c r="B84">
        <f t="shared" si="16"/>
        <v>0.32853842242940656</v>
      </c>
      <c r="C84">
        <f t="shared" si="33"/>
        <v>0.78207131730985868</v>
      </c>
      <c r="D84">
        <f t="shared" si="34"/>
        <v>0.78196434189415354</v>
      </c>
      <c r="F84">
        <f t="shared" si="35"/>
        <v>1.3678473220718078E-2</v>
      </c>
      <c r="H84">
        <f t="shared" si="20"/>
        <v>0.66000000000000036</v>
      </c>
      <c r="I84">
        <f t="shared" ref="I84:I118" si="36">2*H84*COS(H84)+(H84^2-2)*SIN(H84)</f>
        <v>8.3629742349282221E-2</v>
      </c>
    </row>
    <row r="85" spans="1:9" x14ac:dyDescent="0.2">
      <c r="A85">
        <f t="shared" si="32"/>
        <v>0.65000000000000036</v>
      </c>
      <c r="B85">
        <f t="shared" si="16"/>
        <v>0.3363454048869764</v>
      </c>
      <c r="C85">
        <f t="shared" si="33"/>
        <v>0.7792176816902957</v>
      </c>
      <c r="D85">
        <f t="shared" si="34"/>
        <v>0.77910968054229757</v>
      </c>
      <c r="F85">
        <f t="shared" si="35"/>
        <v>1.3860202423007081E-2</v>
      </c>
      <c r="H85">
        <f t="shared" si="20"/>
        <v>0.67000000000000037</v>
      </c>
      <c r="I85">
        <f t="shared" si="36"/>
        <v>8.7109667787930389E-2</v>
      </c>
    </row>
    <row r="86" spans="1:9" x14ac:dyDescent="0.2">
      <c r="A86">
        <f t="shared" si="32"/>
        <v>0.66000000000000036</v>
      </c>
      <c r="B86">
        <f t="shared" ref="B86:B120" si="37">A86^2*COS(A86)</f>
        <v>0.34412061604025251</v>
      </c>
      <c r="C86">
        <f t="shared" si="33"/>
        <v>0.77571604485689405</v>
      </c>
      <c r="D86">
        <f t="shared" si="34"/>
        <v>0.77560704634685729</v>
      </c>
      <c r="F86">
        <f t="shared" si="35"/>
        <v>1.4051341436010929E-2</v>
      </c>
      <c r="H86">
        <f t="shared" si="20"/>
        <v>0.68000000000000038</v>
      </c>
      <c r="I86">
        <f t="shared" si="36"/>
        <v>9.0666743770465019E-2</v>
      </c>
    </row>
    <row r="87" spans="1:9" x14ac:dyDescent="0.2">
      <c r="A87">
        <f t="shared" si="32"/>
        <v>0.67000000000000037</v>
      </c>
      <c r="B87">
        <f t="shared" si="37"/>
        <v>0.35185754581391354</v>
      </c>
      <c r="C87">
        <f t="shared" si="33"/>
        <v>0.77156042269962621</v>
      </c>
      <c r="D87">
        <f t="shared" si="34"/>
        <v>0.77145045550884306</v>
      </c>
      <c r="F87">
        <f t="shared" si="35"/>
        <v>1.4252570187359988E-2</v>
      </c>
      <c r="H87">
        <f t="shared" si="20"/>
        <v>0.69000000000000039</v>
      </c>
      <c r="I87">
        <f t="shared" si="36"/>
        <v>9.4300488707950381E-2</v>
      </c>
    </row>
    <row r="88" spans="1:9" x14ac:dyDescent="0.2">
      <c r="A88">
        <f t="shared" si="32"/>
        <v>0.68000000000000038</v>
      </c>
      <c r="B88">
        <f t="shared" si="37"/>
        <v>0.35954962515042937</v>
      </c>
      <c r="C88">
        <f t="shared" si="33"/>
        <v>0.76674500319512195</v>
      </c>
      <c r="D88">
        <f t="shared" si="34"/>
        <v>0.76663409631045898</v>
      </c>
      <c r="F88">
        <f t="shared" si="35"/>
        <v>1.446463742193466E-2</v>
      </c>
      <c r="H88">
        <f t="shared" si="20"/>
        <v>0.7000000000000004</v>
      </c>
      <c r="I88">
        <f t="shared" si="36"/>
        <v>9.8010354469370453E-2</v>
      </c>
    </row>
    <row r="89" spans="1:9" x14ac:dyDescent="0.2">
      <c r="A89">
        <f t="shared" si="32"/>
        <v>0.69000000000000039</v>
      </c>
      <c r="B89">
        <f t="shared" si="37"/>
        <v>0.36719022774012272</v>
      </c>
      <c r="C89">
        <f t="shared" si="33"/>
        <v>0.76126414824012789</v>
      </c>
      <c r="D89">
        <f t="shared" si="34"/>
        <v>0.76115233094851131</v>
      </c>
      <c r="F89">
        <f t="shared" si="35"/>
        <v>1.4688369585652339E-2</v>
      </c>
      <c r="H89">
        <f t="shared" si="20"/>
        <v>0.71000000000000041</v>
      </c>
      <c r="I89">
        <f t="shared" si="36"/>
        <v>0.10179572583540497</v>
      </c>
    </row>
    <row r="90" spans="1:9" x14ac:dyDescent="0.2">
      <c r="A90">
        <f t="shared" si="32"/>
        <v>0.7000000000000004</v>
      </c>
      <c r="B90">
        <f t="shared" si="37"/>
        <v>0.3747726717693996</v>
      </c>
      <c r="C90">
        <f t="shared" si="33"/>
        <v>0.75511239545181486</v>
      </c>
      <c r="D90">
        <f t="shared" si="34"/>
        <v>0.75499969733463512</v>
      </c>
      <c r="F90">
        <f t="shared" si="35"/>
        <v>1.4924681128072414E-2</v>
      </c>
      <c r="H90">
        <f t="shared" si="20"/>
        <v>0.72000000000000042</v>
      </c>
      <c r="I90">
        <f t="shared" si="36"/>
        <v>0.10565591996995449</v>
      </c>
    </row>
    <row r="91" spans="1:9" x14ac:dyDescent="0.2">
      <c r="A91">
        <f t="shared" si="32"/>
        <v>0.71000000000000041</v>
      </c>
      <c r="B91">
        <f t="shared" si="37"/>
        <v>0.38229022168681542</v>
      </c>
      <c r="C91">
        <f t="shared" si="33"/>
        <v>0.74828445993456461</v>
      </c>
      <c r="D91">
        <f t="shared" si="34"/>
        <v>0.7481709108620338</v>
      </c>
      <c r="F91">
        <f t="shared" si="35"/>
        <v>1.5174586485563902E-2</v>
      </c>
      <c r="H91">
        <f t="shared" si="20"/>
        <v>0.73000000000000043</v>
      </c>
      <c r="I91">
        <f t="shared" si="36"/>
        <v>0.10959018590958569</v>
      </c>
    </row>
    <row r="92" spans="1:9" x14ac:dyDescent="0.2">
      <c r="A92">
        <f t="shared" si="32"/>
        <v>0.72000000000000042</v>
      </c>
      <c r="B92">
        <f t="shared" si="37"/>
        <v>0.38973608998664028</v>
      </c>
      <c r="C92">
        <f t="shared" si="33"/>
        <v>0.74077523601287676</v>
      </c>
      <c r="D92">
        <f t="shared" si="34"/>
        <v>0.74066086613831517</v>
      </c>
      <c r="F92">
        <f t="shared" si="35"/>
        <v>1.5439214082961703E-2</v>
      </c>
      <c r="H92">
        <f t="shared" ref="H92:H118" si="38">H91+$I$16</f>
        <v>0.74000000000000044</v>
      </c>
      <c r="I92">
        <f t="shared" si="36"/>
        <v>0.11359770407107228</v>
      </c>
    </row>
    <row r="93" spans="1:9" x14ac:dyDescent="0.2">
      <c r="A93">
        <f t="shared" si="32"/>
        <v>0.73000000000000043</v>
      </c>
      <c r="B93">
        <f t="shared" si="37"/>
        <v>0.39710343900958173</v>
      </c>
      <c r="C93">
        <f t="shared" si="33"/>
        <v>0.73257979893003977</v>
      </c>
      <c r="D93">
        <f t="shared" si="34"/>
        <v>0.73246463868411882</v>
      </c>
      <c r="F93">
        <f t="shared" si="35"/>
        <v>1.57198227536644E-2</v>
      </c>
      <c r="H93">
        <f t="shared" si="38"/>
        <v>0.75000000000000044</v>
      </c>
      <c r="I93">
        <f t="shared" si="36"/>
        <v>0.11767758577718868</v>
      </c>
    </row>
    <row r="94" spans="1:9" x14ac:dyDescent="0.2">
      <c r="A94">
        <f t="shared" si="32"/>
        <v>0.74000000000000044</v>
      </c>
      <c r="B94">
        <f t="shared" si="37"/>
        <v>0.40438538276032265</v>
      </c>
      <c r="C94">
        <f t="shared" si="33"/>
        <v>0.72369340651221747</v>
      </c>
      <c r="D94">
        <f t="shared" si="34"/>
        <v>0.72357748659714061</v>
      </c>
      <c r="F94">
        <f t="shared" si="35"/>
        <v>1.6017821087459434E-2</v>
      </c>
      <c r="H94">
        <f t="shared" si="38"/>
        <v>0.76000000000000045</v>
      </c>
      <c r="I94">
        <f t="shared" si="36"/>
        <v>0.12182887280092791</v>
      </c>
    </row>
    <row r="95" spans="1:9" x14ac:dyDescent="0.2">
      <c r="A95">
        <f t="shared" si="32"/>
        <v>0.75000000000000044</v>
      </c>
      <c r="B95">
        <f t="shared" si="37"/>
        <v>0.41157498874152454</v>
      </c>
      <c r="C95">
        <f t="shared" si="33"/>
        <v>0.71411150079760544</v>
      </c>
      <c r="D95">
        <f t="shared" si="34"/>
        <v>0.71399485218122394</v>
      </c>
      <c r="F95">
        <f t="shared" si="35"/>
        <v>1.6334790330531184E-2</v>
      </c>
      <c r="H95">
        <f t="shared" si="38"/>
        <v>0.77000000000000046</v>
      </c>
      <c r="I95">
        <f t="shared" si="36"/>
        <v>0.12605053692829948</v>
      </c>
    </row>
    <row r="96" spans="1:9" x14ac:dyDescent="0.2">
      <c r="A96">
        <f t="shared" si="32"/>
        <v>0.76000000000000045</v>
      </c>
      <c r="B96">
        <f t="shared" si="37"/>
        <v>0.41866527980394713</v>
      </c>
      <c r="C96">
        <f t="shared" si="33"/>
        <v>0.70382970963032099</v>
      </c>
      <c r="D96">
        <f t="shared" si="34"/>
        <v>0.70371236354020705</v>
      </c>
      <c r="F96">
        <f t="shared" si="35"/>
        <v>1.6672511618693854E-2</v>
      </c>
      <c r="H96">
        <f t="shared" si="38"/>
        <v>0.78000000000000047</v>
      </c>
      <c r="I96">
        <f t="shared" si="36"/>
        <v>0.13034147953986219</v>
      </c>
    </row>
    <row r="97" spans="1:9" x14ac:dyDescent="0.2">
      <c r="A97">
        <f t="shared" si="32"/>
        <v>0.77000000000000046</v>
      </c>
      <c r="B97">
        <f t="shared" si="37"/>
        <v>0.42564923601232868</v>
      </c>
      <c r="C97">
        <f t="shared" si="33"/>
        <v>0.69284384821869249</v>
      </c>
      <c r="D97">
        <f t="shared" si="34"/>
        <v>0.6927258361361377</v>
      </c>
      <c r="F97">
        <f t="shared" si="35"/>
        <v>1.7032998540465805E-2</v>
      </c>
      <c r="H97">
        <f t="shared" si="38"/>
        <v>0.79000000000000048</v>
      </c>
      <c r="I97">
        <f t="shared" si="36"/>
        <v>0.13470053121114656</v>
      </c>
    </row>
    <row r="98" spans="1:9" x14ac:dyDescent="0.2">
      <c r="A98">
        <f t="shared" si="32"/>
        <v>0.78000000000000047</v>
      </c>
      <c r="B98">
        <f t="shared" si="37"/>
        <v>0.43251979652666989</v>
      </c>
      <c r="C98">
        <f t="shared" si="33"/>
        <v>0.6811499206576227</v>
      </c>
      <c r="D98">
        <f t="shared" si="34"/>
        <v>0.68103127431160815</v>
      </c>
      <c r="F98">
        <f t="shared" si="35"/>
        <v>1.7418536274657732E-2</v>
      </c>
      <c r="H98">
        <f t="shared" si="38"/>
        <v>0.80000000000000049</v>
      </c>
      <c r="I98">
        <f t="shared" si="36"/>
        <v>0.13912645133211388</v>
      </c>
    </row>
    <row r="99" spans="1:9" x14ac:dyDescent="0.2">
      <c r="A99">
        <f t="shared" si="32"/>
        <v>0.79000000000000048</v>
      </c>
      <c r="B99">
        <f t="shared" si="37"/>
        <v>0.43926986149856084</v>
      </c>
      <c r="C99">
        <f t="shared" si="33"/>
        <v>0.6687441214147033</v>
      </c>
      <c r="D99">
        <f t="shared" si="34"/>
        <v>0.66862487277581373</v>
      </c>
      <c r="F99">
        <f t="shared" si="35"/>
        <v>1.7831728918573903E-2</v>
      </c>
      <c r="H99">
        <f t="shared" si="38"/>
        <v>0.8100000000000005</v>
      </c>
      <c r="I99">
        <f t="shared" si="36"/>
        <v>0.14361792774579574</v>
      </c>
    </row>
    <row r="100" spans="1:9" x14ac:dyDescent="0.2">
      <c r="A100">
        <f t="shared" si="32"/>
        <v>0.80000000000000049</v>
      </c>
      <c r="B100">
        <f t="shared" si="37"/>
        <v>0.44589229398218616</v>
      </c>
      <c r="C100">
        <f t="shared" si="33"/>
        <v>0.6556228367797694</v>
      </c>
      <c r="D100">
        <f t="shared" si="34"/>
        <v>0.65550301805403222</v>
      </c>
      <c r="F100">
        <f t="shared" si="35"/>
        <v>1.827555707572686E-2</v>
      </c>
      <c r="H100">
        <f t="shared" si="38"/>
        <v>0.82000000000000051</v>
      </c>
      <c r="I100">
        <f t="shared" si="36"/>
        <v>0.14817357640625939</v>
      </c>
    </row>
    <row r="101" spans="1:9" x14ac:dyDescent="0.2">
      <c r="A101">
        <f t="shared" si="32"/>
        <v>0.8100000000000005</v>
      </c>
      <c r="B101">
        <f t="shared" si="37"/>
        <v>0.45237992185964149</v>
      </c>
      <c r="C101">
        <f t="shared" si="33"/>
        <v>0.64178264627757886</v>
      </c>
      <c r="D101">
        <f t="shared" si="34"/>
        <v>0.64166228990027163</v>
      </c>
      <c r="F101">
        <f t="shared" si="35"/>
        <v>1.8753448384014663E-2</v>
      </c>
      <c r="H101">
        <f t="shared" si="38"/>
        <v>0.83000000000000052</v>
      </c>
      <c r="I101">
        <f t="shared" si="36"/>
        <v>0.15279194105603144</v>
      </c>
    </row>
    <row r="102" spans="1:9" x14ac:dyDescent="0.2">
      <c r="A102">
        <f t="shared" si="32"/>
        <v>0.82000000000000051</v>
      </c>
      <c r="B102">
        <f t="shared" si="37"/>
        <v>0.45872553978019159</v>
      </c>
      <c r="C102">
        <f t="shared" si="33"/>
        <v>0.62722032404332062</v>
      </c>
      <c r="D102">
        <f t="shared" si="34"/>
        <v>0.62709946267273664</v>
      </c>
      <c r="F102">
        <f t="shared" si="35"/>
        <v>1.9269364520087272E-2</v>
      </c>
      <c r="H102">
        <f t="shared" si="38"/>
        <v>0.84000000000000052</v>
      </c>
      <c r="I102">
        <f t="shared" si="36"/>
        <v>0.15747149292311746</v>
      </c>
    </row>
    <row r="103" spans="1:9" x14ac:dyDescent="0.2">
      <c r="A103">
        <f t="shared" si="32"/>
        <v>0.83000000000000052</v>
      </c>
      <c r="B103">
        <f t="shared" si="37"/>
        <v>0.46492191111309622</v>
      </c>
      <c r="C103">
        <f t="shared" si="33"/>
        <v>0.61193284016064931</v>
      </c>
      <c r="D103">
        <f t="shared" si="34"/>
        <v>0.61181150667178608</v>
      </c>
      <c r="F103">
        <f t="shared" si="35"/>
        <v>1.9827909355440956E-2</v>
      </c>
      <c r="H103">
        <f t="shared" si="38"/>
        <v>0.85000000000000053</v>
      </c>
      <c r="I103">
        <f t="shared" si="36"/>
        <v>0.16221063043774619</v>
      </c>
    </row>
    <row r="104" spans="1:9" x14ac:dyDescent="0.2">
      <c r="A104">
        <f t="shared" si="32"/>
        <v>0.84000000000000052</v>
      </c>
      <c r="B104">
        <f t="shared" si="37"/>
        <v>0.47096176991362732</v>
      </c>
      <c r="C104">
        <f t="shared" si="33"/>
        <v>0.59591736196195833</v>
      </c>
      <c r="D104">
        <f t="shared" si="34"/>
        <v>0.59579558944018451</v>
      </c>
      <c r="F104">
        <f t="shared" si="35"/>
        <v>2.0434464499053215E-2</v>
      </c>
      <c r="H104">
        <f t="shared" si="38"/>
        <v>0.86000000000000054</v>
      </c>
      <c r="I104">
        <f t="shared" si="36"/>
        <v>0.1670076789689624</v>
      </c>
    </row>
    <row r="105" spans="1:9" x14ac:dyDescent="0.2">
      <c r="A105">
        <f t="shared" si="32"/>
        <v>0.85000000000000053</v>
      </c>
      <c r="B105">
        <f t="shared" si="37"/>
        <v>0.47683782290189991</v>
      </c>
      <c r="C105">
        <f t="shared" si="33"/>
        <v>0.57917125529060731</v>
      </c>
      <c r="D105">
        <f t="shared" si="34"/>
        <v>0.57904907702528707</v>
      </c>
      <c r="F105">
        <f t="shared" si="35"/>
        <v>2.1095360690670657E-2</v>
      </c>
      <c r="H105">
        <f t="shared" si="38"/>
        <v>0.87000000000000055</v>
      </c>
      <c r="I105">
        <f t="shared" si="36"/>
        <v>0.17186089058119691</v>
      </c>
    </row>
    <row r="106" spans="1:9" x14ac:dyDescent="0.2">
      <c r="A106">
        <f t="shared" si="32"/>
        <v>0.86000000000000054</v>
      </c>
      <c r="B106">
        <f t="shared" si="37"/>
        <v>0.48254275145413306</v>
      </c>
      <c r="C106">
        <f t="shared" si="33"/>
        <v>0.56169208572482143</v>
      </c>
      <c r="D106">
        <f t="shared" si="34"/>
        <v>0.56156953520286323</v>
      </c>
      <c r="F106">
        <f t="shared" si="35"/>
        <v>2.1818096617839237E-2</v>
      </c>
      <c r="H106">
        <f t="shared" si="38"/>
        <v>0.88000000000000056</v>
      </c>
      <c r="I106">
        <f t="shared" si="36"/>
        <v>0.1767684438109246</v>
      </c>
    </row>
    <row r="107" spans="1:9" x14ac:dyDescent="0.2">
      <c r="A107">
        <f t="shared" si="32"/>
        <v>0.87000000000000055</v>
      </c>
      <c r="B107">
        <f t="shared" si="37"/>
        <v>0.48806921360595718</v>
      </c>
      <c r="C107">
        <f t="shared" si="33"/>
        <v>0.54347761976299636</v>
      </c>
      <c r="D107">
        <f t="shared" si="34"/>
        <v>0.5433547306623876</v>
      </c>
      <c r="F107">
        <f t="shared" si="35"/>
        <v>2.2611621185495888E-2</v>
      </c>
      <c r="H107">
        <f t="shared" si="38"/>
        <v>0.89000000000000057</v>
      </c>
      <c r="I107">
        <f t="shared" si="36"/>
        <v>0.18172844346353001</v>
      </c>
    </row>
    <row r="108" spans="1:9" x14ac:dyDescent="0.2">
      <c r="A108">
        <f t="shared" si="32"/>
        <v>0.88000000000000056</v>
      </c>
      <c r="B108">
        <f t="shared" si="37"/>
        <v>0.49340984606738081</v>
      </c>
      <c r="C108">
        <f t="shared" si="33"/>
        <v>0.5245258259701383</v>
      </c>
      <c r="D108">
        <f t="shared" si="34"/>
        <v>0.52440263215342009</v>
      </c>
      <c r="F108">
        <f t="shared" si="35"/>
        <v>2.3486701820708448E-2</v>
      </c>
      <c r="H108">
        <f t="shared" si="38"/>
        <v>0.90000000000000058</v>
      </c>
      <c r="I108">
        <f t="shared" si="36"/>
        <v>0.18673892043049101</v>
      </c>
    </row>
    <row r="109" spans="1:9" x14ac:dyDescent="0.2">
      <c r="A109">
        <f t="shared" si="32"/>
        <v>0.89000000000000057</v>
      </c>
      <c r="B109">
        <f t="shared" si="37"/>
        <v>0.49855726624902558</v>
      </c>
      <c r="C109">
        <f t="shared" si="33"/>
        <v>0.50483487608518207</v>
      </c>
      <c r="D109">
        <f t="shared" si="34"/>
        <v>0.50471141159288413</v>
      </c>
      <c r="F109">
        <f t="shared" si="35"/>
        <v>2.4456411025990551E-2</v>
      </c>
      <c r="H109">
        <f t="shared" si="38"/>
        <v>0.91000000000000059</v>
      </c>
      <c r="I109">
        <f t="shared" si="36"/>
        <v>0.19179783152698437</v>
      </c>
    </row>
    <row r="110" spans="1:9" x14ac:dyDescent="0.2">
      <c r="A110">
        <f t="shared" si="32"/>
        <v>0.90000000000000058</v>
      </c>
      <c r="B110">
        <f t="shared" si="37"/>
        <v>0.50350407429923849</v>
      </c>
      <c r="C110">
        <f t="shared" si="33"/>
        <v>0.4844031460889332</v>
      </c>
      <c r="D110">
        <f t="shared" si="34"/>
        <v>0.48427944513297627</v>
      </c>
      <c r="F110">
        <f t="shared" si="35"/>
        <v>2.5536777982490315E-2</v>
      </c>
      <c r="H110">
        <f t="shared" si="38"/>
        <v>0.9200000000000006</v>
      </c>
      <c r="I110">
        <f t="shared" si="36"/>
        <v>0.19690305935001995</v>
      </c>
    </row>
    <row r="111" spans="1:9" x14ac:dyDescent="0.2">
      <c r="A111">
        <f t="shared" si="32"/>
        <v>0.91000000000000059</v>
      </c>
      <c r="B111">
        <f t="shared" si="37"/>
        <v>0.5082428551516851</v>
      </c>
      <c r="C111">
        <f t="shared" si="33"/>
        <v>0.46322921723238786</v>
      </c>
      <c r="D111">
        <f t="shared" si="34"/>
        <v>0.46310531418943257</v>
      </c>
      <c r="F111">
        <f t="shared" si="35"/>
        <v>2.6747674444103208E-2</v>
      </c>
      <c r="H111">
        <f t="shared" si="38"/>
        <v>0.9300000000000006</v>
      </c>
      <c r="I111">
        <f t="shared" si="36"/>
        <v>0.2020524121571996</v>
      </c>
    </row>
    <row r="112" spans="1:9" x14ac:dyDescent="0.2">
      <c r="A112">
        <f t="shared" si="32"/>
        <v>0.9200000000000006</v>
      </c>
      <c r="B112">
        <f t="shared" si="37"/>
        <v>0.51276618058302714</v>
      </c>
      <c r="C112">
        <f t="shared" si="33"/>
        <v>0.44131187702519015</v>
      </c>
      <c r="D112">
        <f t="shared" si="34"/>
        <v>0.44118780642997124</v>
      </c>
      <c r="F112">
        <f t="shared" si="35"/>
        <v>2.8114039453287561E-2</v>
      </c>
      <c r="H112">
        <f t="shared" si="38"/>
        <v>0.94000000000000061</v>
      </c>
      <c r="I112">
        <f t="shared" si="36"/>
        <v>0.20724362376619543</v>
      </c>
    </row>
    <row r="113" spans="1:12" x14ac:dyDescent="0.2">
      <c r="A113">
        <f t="shared" si="32"/>
        <v>0.9300000000000006</v>
      </c>
      <c r="B113">
        <f t="shared" si="37"/>
        <v>0.51706661128028453</v>
      </c>
      <c r="C113">
        <f t="shared" si="33"/>
        <v>0.4186501201839945</v>
      </c>
      <c r="D113">
        <f t="shared" si="34"/>
        <v>0.418525916722573</v>
      </c>
      <c r="F113">
        <f t="shared" si="35"/>
        <v>2.9667604386907798E-2</v>
      </c>
      <c r="H113">
        <f t="shared" si="38"/>
        <v>0.95000000000000062</v>
      </c>
      <c r="I113">
        <f t="shared" si="36"/>
        <v>0.2124743534750414</v>
      </c>
    </row>
    <row r="114" spans="1:12" x14ac:dyDescent="0.2">
      <c r="A114">
        <f t="shared" si="32"/>
        <v>0.94000000000000061</v>
      </c>
      <c r="B114">
        <f t="shared" si="37"/>
        <v>0.5211366989174786</v>
      </c>
      <c r="C114">
        <f t="shared" si="33"/>
        <v>0.3952431495405041</v>
      </c>
      <c r="D114">
        <f t="shared" si="34"/>
        <v>0.3951188480435297</v>
      </c>
      <c r="F114">
        <f t="shared" si="35"/>
        <v>3.1449374168510701E-2</v>
      </c>
      <c r="H114">
        <f t="shared" si="38"/>
        <v>0.96000000000000063</v>
      </c>
      <c r="I114">
        <f t="shared" si="36"/>
        <v>0.21774218600332063</v>
      </c>
    </row>
    <row r="115" spans="1:12" x14ac:dyDescent="0.2">
      <c r="A115">
        <f t="shared" si="32"/>
        <v>0.95000000000000062</v>
      </c>
      <c r="B115">
        <f t="shared" si="37"/>
        <v>0.52496898824115512</v>
      </c>
      <c r="C115">
        <f t="shared" si="33"/>
        <v>0.3710903769089674</v>
      </c>
      <c r="D115">
        <f t="shared" si="34"/>
        <v>0.37096601234488102</v>
      </c>
      <c r="F115">
        <f t="shared" si="35"/>
        <v>3.3513281891673699E-2</v>
      </c>
      <c r="H115">
        <f t="shared" si="38"/>
        <v>0.97000000000000064</v>
      </c>
      <c r="I115">
        <f t="shared" si="36"/>
        <v>0.2230446314543354</v>
      </c>
    </row>
    <row r="116" spans="1:12" x14ac:dyDescent="0.2">
      <c r="A116">
        <f t="shared" ref="A116:A120" si="39">A115+$B$18</f>
        <v>0.96000000000000063</v>
      </c>
      <c r="B116">
        <f t="shared" si="37"/>
        <v>0.52855601916437622</v>
      </c>
      <c r="C116">
        <f t="shared" ref="C116:C120" si="40">(2*A116)*COS(A116)-(A116)^2*SIN(A116)</f>
        <v>0.34619142391291535</v>
      </c>
      <c r="D116">
        <f t="shared" ref="D116:D120" si="41">(B117-B115)/(2*$B$18)</f>
        <v>0.34606703138112538</v>
      </c>
      <c r="F116">
        <f t="shared" ref="F116:F120" si="42">ABS((D116-C116)/C116)*100</f>
        <v>3.5931719620317673E-2</v>
      </c>
      <c r="H116">
        <f t="shared" si="38"/>
        <v>0.98000000000000065</v>
      </c>
      <c r="I116">
        <f t="shared" si="36"/>
        <v>0.22837912529833371</v>
      </c>
    </row>
    <row r="117" spans="1:12" x14ac:dyDescent="0.2">
      <c r="A117">
        <f t="shared" si="39"/>
        <v>0.97000000000000064</v>
      </c>
      <c r="B117">
        <f t="shared" si="37"/>
        <v>0.53189032886877763</v>
      </c>
      <c r="C117">
        <f t="shared" si="40"/>
        <v>0.32054612277093808</v>
      </c>
      <c r="D117">
        <f t="shared" si="41"/>
        <v>0.32042173749495251</v>
      </c>
      <c r="F117">
        <f t="shared" si="42"/>
        <v>3.88041742356241E-2</v>
      </c>
      <c r="H117">
        <f t="shared" si="38"/>
        <v>0.99000000000000066</v>
      </c>
      <c r="I117">
        <f t="shared" si="36"/>
        <v>0.23374302837687277</v>
      </c>
    </row>
    <row r="118" spans="1:12" x14ac:dyDescent="0.2">
      <c r="A118">
        <f t="shared" si="39"/>
        <v>0.98000000000000065</v>
      </c>
      <c r="B118">
        <f t="shared" si="37"/>
        <v>0.53496445391427527</v>
      </c>
      <c r="C118">
        <f t="shared" si="40"/>
        <v>0.29415451704129569</v>
      </c>
      <c r="D118">
        <f t="shared" si="41"/>
        <v>0.29403017436182566</v>
      </c>
      <c r="F118">
        <f t="shared" si="42"/>
        <v>4.2271211987738783E-2</v>
      </c>
      <c r="H118">
        <f t="shared" si="38"/>
        <v>1.0000000000000007</v>
      </c>
      <c r="I118">
        <f t="shared" si="36"/>
        <v>0.23913362692838314</v>
      </c>
      <c r="J118">
        <f>($I$16/2)*(B20+2*SUM(B21:B119)+B120)</f>
        <v>0.23913561981206888</v>
      </c>
      <c r="K118" s="1">
        <f>ABS(J118-I118)/I118*100</f>
        <v>8.3337659840652467E-4</v>
      </c>
      <c r="L118" t="s">
        <v>18</v>
      </c>
    </row>
    <row r="119" spans="1:12" x14ac:dyDescent="0.2">
      <c r="A119">
        <f t="shared" si="39"/>
        <v>0.99000000000000066</v>
      </c>
      <c r="B119">
        <f t="shared" si="37"/>
        <v>0.53777093235601414</v>
      </c>
      <c r="C119">
        <f t="shared" si="40"/>
        <v>0.2670168623251713</v>
      </c>
      <c r="D119">
        <f>(B120-B118)/(2*$B$18)</f>
        <v>0.2668925976932246</v>
      </c>
      <c r="F119">
        <f t="shared" si="42"/>
        <v>4.6538121549557276E-2</v>
      </c>
    </row>
    <row r="120" spans="1:12" x14ac:dyDescent="0.2">
      <c r="A120">
        <f t="shared" si="39"/>
        <v>1.0000000000000007</v>
      </c>
      <c r="B120">
        <f t="shared" si="37"/>
        <v>0.54030230586813977</v>
      </c>
      <c r="C120">
        <f t="shared" si="40"/>
        <v>0.23913362692838092</v>
      </c>
      <c r="D120">
        <f>(3*B120-4*B119+B118)/(2*$B$18)</f>
        <v>0.23938210473190003</v>
      </c>
      <c r="E120" t="s">
        <v>10</v>
      </c>
      <c r="F120">
        <f t="shared" si="42"/>
        <v>0.10390751259484177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2160-DE05-FE49-AAFB-96C2F3CE3998}">
  <dimension ref="A1:E41"/>
  <sheetViews>
    <sheetView tabSelected="1" zoomScale="110" workbookViewId="0">
      <selection activeCell="A42" sqref="A42"/>
    </sheetView>
  </sheetViews>
  <sheetFormatPr baseColWidth="10" defaultRowHeight="16" x14ac:dyDescent="0.2"/>
  <sheetData>
    <row r="1" spans="1:5" x14ac:dyDescent="0.2">
      <c r="A1" s="1" t="s">
        <v>11</v>
      </c>
      <c r="E1" s="1" t="s">
        <v>12</v>
      </c>
    </row>
    <row r="3" spans="1:5" x14ac:dyDescent="0.2">
      <c r="A3" t="s">
        <v>7</v>
      </c>
      <c r="B3">
        <v>50</v>
      </c>
    </row>
    <row r="4" spans="1:5" x14ac:dyDescent="0.2">
      <c r="A4" t="s">
        <v>19</v>
      </c>
      <c r="B4" t="s">
        <v>20</v>
      </c>
      <c r="C4" t="s">
        <v>21</v>
      </c>
    </row>
    <row r="5" spans="1:5" x14ac:dyDescent="0.2">
      <c r="A5">
        <v>100</v>
      </c>
      <c r="B5">
        <v>25.186</v>
      </c>
      <c r="C5">
        <f>(-3*B5+4*B6-B7)/(2*$B$3)</f>
        <v>4.0500000000000112E-2</v>
      </c>
    </row>
    <row r="6" spans="1:5" x14ac:dyDescent="0.2">
      <c r="A6">
        <f>A5+$B$3</f>
        <v>150</v>
      </c>
      <c r="B6">
        <v>27.254000000000001</v>
      </c>
      <c r="C6">
        <f>(B7-B5)/(2*$B$3)</f>
        <v>4.2220000000000014E-2</v>
      </c>
    </row>
    <row r="7" spans="1:5" x14ac:dyDescent="0.2">
      <c r="A7">
        <f t="shared" ref="A7:A19" si="0">A6+$B$3</f>
        <v>200</v>
      </c>
      <c r="B7">
        <v>29.408000000000001</v>
      </c>
      <c r="C7">
        <f t="shared" ref="C7:C18" si="1">(B8-B6)/(2*$B$3)</f>
        <v>4.3859999999999989E-2</v>
      </c>
    </row>
    <row r="8" spans="1:5" x14ac:dyDescent="0.2">
      <c r="A8">
        <f t="shared" si="0"/>
        <v>250</v>
      </c>
      <c r="B8">
        <v>31.64</v>
      </c>
      <c r="C8">
        <f t="shared" si="1"/>
        <v>4.5339999999999991E-2</v>
      </c>
    </row>
    <row r="9" spans="1:5" x14ac:dyDescent="0.2">
      <c r="A9">
        <f t="shared" si="0"/>
        <v>300</v>
      </c>
      <c r="B9">
        <v>33.942</v>
      </c>
      <c r="C9">
        <f t="shared" si="1"/>
        <v>4.6670000000000017E-2</v>
      </c>
    </row>
    <row r="10" spans="1:5" x14ac:dyDescent="0.2">
      <c r="A10">
        <f t="shared" si="0"/>
        <v>350</v>
      </c>
      <c r="B10">
        <v>36.307000000000002</v>
      </c>
      <c r="C10">
        <f t="shared" si="1"/>
        <v>4.7899999999999991E-2</v>
      </c>
    </row>
    <row r="11" spans="1:5" x14ac:dyDescent="0.2">
      <c r="A11">
        <f t="shared" si="0"/>
        <v>400</v>
      </c>
      <c r="B11">
        <v>38.731999999999999</v>
      </c>
      <c r="C11">
        <f t="shared" si="1"/>
        <v>4.9020000000000008E-2</v>
      </c>
    </row>
    <row r="12" spans="1:5" x14ac:dyDescent="0.2">
      <c r="A12">
        <f t="shared" si="0"/>
        <v>450</v>
      </c>
      <c r="B12">
        <v>41.209000000000003</v>
      </c>
      <c r="C12">
        <f t="shared" si="1"/>
        <v>5.003999999999998E-2</v>
      </c>
    </row>
    <row r="13" spans="1:5" x14ac:dyDescent="0.2">
      <c r="A13">
        <f t="shared" si="0"/>
        <v>500</v>
      </c>
      <c r="B13">
        <v>43.735999999999997</v>
      </c>
      <c r="C13">
        <f t="shared" si="1"/>
        <v>5.0979999999999991E-2</v>
      </c>
    </row>
    <row r="14" spans="1:5" x14ac:dyDescent="0.2">
      <c r="A14">
        <f t="shared" si="0"/>
        <v>550</v>
      </c>
      <c r="B14">
        <v>46.307000000000002</v>
      </c>
      <c r="C14">
        <f t="shared" si="1"/>
        <v>5.1830000000000001E-2</v>
      </c>
    </row>
    <row r="15" spans="1:5" x14ac:dyDescent="0.2">
      <c r="A15">
        <f t="shared" si="0"/>
        <v>600</v>
      </c>
      <c r="B15">
        <v>48.918999999999997</v>
      </c>
      <c r="C15">
        <f t="shared" si="1"/>
        <v>5.2609999999999955E-2</v>
      </c>
    </row>
    <row r="16" spans="1:5" x14ac:dyDescent="0.2">
      <c r="A16">
        <f t="shared" si="0"/>
        <v>650</v>
      </c>
      <c r="B16">
        <v>51.567999999999998</v>
      </c>
      <c r="C16">
        <f t="shared" si="1"/>
        <v>5.3330000000000058E-2</v>
      </c>
    </row>
    <row r="17" spans="1:5" x14ac:dyDescent="0.2">
      <c r="A17">
        <f t="shared" si="0"/>
        <v>700</v>
      </c>
      <c r="B17">
        <v>54.252000000000002</v>
      </c>
      <c r="C17">
        <f t="shared" si="1"/>
        <v>7.3980000000000032E-2</v>
      </c>
      <c r="E17" t="s">
        <v>22</v>
      </c>
    </row>
    <row r="18" spans="1:5" x14ac:dyDescent="0.2">
      <c r="A18">
        <f t="shared" si="0"/>
        <v>750</v>
      </c>
      <c r="B18">
        <v>58.966000000000001</v>
      </c>
      <c r="C18">
        <f t="shared" si="1"/>
        <v>5.4579999999999983E-2</v>
      </c>
      <c r="E18" t="s">
        <v>23</v>
      </c>
    </row>
    <row r="19" spans="1:5" x14ac:dyDescent="0.2">
      <c r="A19">
        <f t="shared" si="0"/>
        <v>800</v>
      </c>
      <c r="B19">
        <v>59.71</v>
      </c>
      <c r="C19">
        <f>(3*B19-4*B18+B17)/(2*$B$3)</f>
        <v>-2.4820000000000064E-2</v>
      </c>
      <c r="E19" t="s">
        <v>25</v>
      </c>
    </row>
    <row r="20" spans="1:5" x14ac:dyDescent="0.2">
      <c r="E20" t="s">
        <v>26</v>
      </c>
    </row>
    <row r="21" spans="1:5" x14ac:dyDescent="0.2">
      <c r="A21" t="s">
        <v>24</v>
      </c>
      <c r="B21">
        <f>AVERAGE(C5:C19)</f>
        <v>4.5202666666666676E-2</v>
      </c>
    </row>
    <row r="23" spans="1:5" x14ac:dyDescent="0.2">
      <c r="A23" s="1" t="s">
        <v>27</v>
      </c>
    </row>
    <row r="24" spans="1:5" x14ac:dyDescent="0.2">
      <c r="A24" t="s">
        <v>19</v>
      </c>
      <c r="B24" t="s">
        <v>20</v>
      </c>
      <c r="C24" t="s">
        <v>21</v>
      </c>
      <c r="D24" s="2" t="s">
        <v>28</v>
      </c>
      <c r="E24" t="s">
        <v>6</v>
      </c>
    </row>
    <row r="25" spans="1:5" x14ac:dyDescent="0.2">
      <c r="A25">
        <v>100</v>
      </c>
      <c r="B25">
        <v>25.186</v>
      </c>
      <c r="C25">
        <f>(-3*B25+4*B26-B27)/(2*$B$3)</f>
        <v>4.0500000000000112E-2</v>
      </c>
      <c r="D25" s="2">
        <v>4.0329999999999998E-2</v>
      </c>
      <c r="E25">
        <f>ABS((C25-D25)/D25)*100</f>
        <v>0.42152243987134763</v>
      </c>
    </row>
    <row r="26" spans="1:5" x14ac:dyDescent="0.2">
      <c r="A26">
        <f>A25+$B$3</f>
        <v>150</v>
      </c>
      <c r="B26">
        <v>27.254000000000001</v>
      </c>
      <c r="C26">
        <f>(B27-B25)/(2*$B$3)</f>
        <v>4.2220000000000014E-2</v>
      </c>
      <c r="D26" s="2">
        <v>4.2160000000000003E-2</v>
      </c>
      <c r="E26">
        <f t="shared" ref="E26:E39" si="2">ABS((C26-D26)/D26)*100</f>
        <v>0.14231499051236107</v>
      </c>
    </row>
    <row r="27" spans="1:5" x14ac:dyDescent="0.2">
      <c r="A27">
        <f t="shared" ref="A27:A39" si="3">A26+$B$3</f>
        <v>200</v>
      </c>
      <c r="B27">
        <v>29.408000000000001</v>
      </c>
      <c r="C27">
        <f t="shared" ref="C27:C38" si="4">(B28-B26)/(2*$B$3)</f>
        <v>4.3859999999999989E-2</v>
      </c>
      <c r="D27" s="2">
        <v>4.3799999999999999E-2</v>
      </c>
      <c r="E27">
        <f t="shared" si="2"/>
        <v>0.13698630136984158</v>
      </c>
    </row>
    <row r="28" spans="1:5" x14ac:dyDescent="0.2">
      <c r="A28">
        <f t="shared" si="3"/>
        <v>250</v>
      </c>
      <c r="B28">
        <v>31.64</v>
      </c>
      <c r="C28">
        <f t="shared" si="4"/>
        <v>4.5339999999999991E-2</v>
      </c>
      <c r="D28" s="2">
        <v>4.5289999999999997E-2</v>
      </c>
      <c r="E28">
        <f t="shared" si="2"/>
        <v>0.11039964672111835</v>
      </c>
    </row>
    <row r="29" spans="1:5" x14ac:dyDescent="0.2">
      <c r="A29">
        <f t="shared" si="3"/>
        <v>300</v>
      </c>
      <c r="B29">
        <v>33.942</v>
      </c>
      <c r="C29">
        <f t="shared" si="4"/>
        <v>4.6670000000000017E-2</v>
      </c>
      <c r="D29" s="2">
        <v>4.6640000000000001E-2</v>
      </c>
      <c r="E29">
        <f t="shared" si="2"/>
        <v>6.4322469982881908E-2</v>
      </c>
    </row>
    <row r="30" spans="1:5" x14ac:dyDescent="0.2">
      <c r="A30">
        <f t="shared" si="3"/>
        <v>350</v>
      </c>
      <c r="B30">
        <v>36.307000000000002</v>
      </c>
      <c r="C30">
        <f t="shared" si="4"/>
        <v>4.7899999999999991E-2</v>
      </c>
      <c r="D30" s="2">
        <v>4.7879999999999999E-2</v>
      </c>
      <c r="E30">
        <f t="shared" si="2"/>
        <v>4.1771094402657152E-2</v>
      </c>
    </row>
    <row r="31" spans="1:5" x14ac:dyDescent="0.2">
      <c r="A31">
        <f t="shared" si="3"/>
        <v>400</v>
      </c>
      <c r="B31">
        <v>38.731999999999999</v>
      </c>
      <c r="C31">
        <f t="shared" si="4"/>
        <v>4.9020000000000008E-2</v>
      </c>
      <c r="D31" s="2">
        <v>4.9000000000000002E-2</v>
      </c>
      <c r="E31">
        <f t="shared" si="2"/>
        <v>4.0816326530624739E-2</v>
      </c>
    </row>
    <row r="32" spans="1:5" x14ac:dyDescent="0.2">
      <c r="A32">
        <f t="shared" si="3"/>
        <v>450</v>
      </c>
      <c r="B32">
        <v>41.209000000000003</v>
      </c>
      <c r="C32">
        <f t="shared" si="4"/>
        <v>5.003999999999998E-2</v>
      </c>
      <c r="D32" s="2">
        <v>5.0029999999999998E-2</v>
      </c>
      <c r="E32">
        <f t="shared" si="2"/>
        <v>1.9988007195647101E-2</v>
      </c>
    </row>
    <row r="33" spans="1:5" x14ac:dyDescent="0.2">
      <c r="A33">
        <f t="shared" si="3"/>
        <v>500</v>
      </c>
      <c r="B33">
        <v>43.735999999999997</v>
      </c>
      <c r="C33">
        <f t="shared" si="4"/>
        <v>5.0979999999999991E-2</v>
      </c>
      <c r="D33" s="2">
        <v>5.0970000000000001E-2</v>
      </c>
      <c r="E33">
        <f t="shared" si="2"/>
        <v>1.9619383951322709E-2</v>
      </c>
    </row>
    <row r="34" spans="1:5" x14ac:dyDescent="0.2">
      <c r="A34">
        <f t="shared" si="3"/>
        <v>550</v>
      </c>
      <c r="B34">
        <v>46.307000000000002</v>
      </c>
      <c r="C34">
        <f t="shared" si="4"/>
        <v>5.1830000000000001E-2</v>
      </c>
      <c r="D34" s="2">
        <v>5.1830000000000001E-2</v>
      </c>
      <c r="E34">
        <f t="shared" si="2"/>
        <v>0</v>
      </c>
    </row>
    <row r="35" spans="1:5" x14ac:dyDescent="0.2">
      <c r="A35">
        <f t="shared" si="3"/>
        <v>600</v>
      </c>
      <c r="B35">
        <v>48.918999999999997</v>
      </c>
      <c r="C35">
        <f t="shared" si="4"/>
        <v>5.2609999999999955E-2</v>
      </c>
      <c r="D35" s="2">
        <v>5.2609999999999997E-2</v>
      </c>
      <c r="E35">
        <f t="shared" si="2"/>
        <v>7.9135836197383332E-14</v>
      </c>
    </row>
    <row r="36" spans="1:5" x14ac:dyDescent="0.2">
      <c r="A36">
        <f t="shared" si="3"/>
        <v>650</v>
      </c>
      <c r="B36">
        <v>51.567999999999998</v>
      </c>
      <c r="C36">
        <f t="shared" si="4"/>
        <v>5.3330000000000058E-2</v>
      </c>
      <c r="D36" s="2">
        <v>5.3319999999999999E-2</v>
      </c>
      <c r="E36">
        <f t="shared" si="2"/>
        <v>1.8754688672277895E-2</v>
      </c>
    </row>
    <row r="37" spans="1:5" x14ac:dyDescent="0.2">
      <c r="A37">
        <f t="shared" si="3"/>
        <v>700</v>
      </c>
      <c r="B37">
        <v>54.252000000000002</v>
      </c>
      <c r="C37">
        <f t="shared" si="4"/>
        <v>7.3980000000000032E-2</v>
      </c>
      <c r="D37" s="2">
        <v>5.398E-2</v>
      </c>
      <c r="E37">
        <f t="shared" si="2"/>
        <v>37.050759540570638</v>
      </c>
    </row>
    <row r="38" spans="1:5" x14ac:dyDescent="0.2">
      <c r="A38">
        <f t="shared" si="3"/>
        <v>750</v>
      </c>
      <c r="B38">
        <v>58.966000000000001</v>
      </c>
      <c r="C38">
        <f t="shared" si="4"/>
        <v>5.4579999999999983E-2</v>
      </c>
      <c r="D38" s="2">
        <v>5.4579999999999997E-2</v>
      </c>
      <c r="E38">
        <f t="shared" si="2"/>
        <v>2.5426507526226561E-14</v>
      </c>
    </row>
    <row r="39" spans="1:5" x14ac:dyDescent="0.2">
      <c r="A39">
        <f t="shared" si="3"/>
        <v>800</v>
      </c>
      <c r="B39">
        <v>59.71</v>
      </c>
      <c r="C39">
        <f>(3*B39-4*B38+B37)/(2*$B$3)</f>
        <v>-2.4820000000000064E-2</v>
      </c>
      <c r="D39" s="2">
        <v>5.5129999999999998E-2</v>
      </c>
      <c r="E39">
        <f t="shared" si="2"/>
        <v>145.02085978596057</v>
      </c>
    </row>
    <row r="41" spans="1:5" x14ac:dyDescent="0.2">
      <c r="A4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Bielicz</dc:creator>
  <cp:lastModifiedBy>Bartosz Bielicz</cp:lastModifiedBy>
  <dcterms:created xsi:type="dcterms:W3CDTF">2025-10-17T19:47:21Z</dcterms:created>
  <dcterms:modified xsi:type="dcterms:W3CDTF">2025-10-18T03:31:00Z</dcterms:modified>
</cp:coreProperties>
</file>