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vworo_uic_edu/Documents/"/>
    </mc:Choice>
  </mc:AlternateContent>
  <xr:revisionPtr revIDLastSave="392" documentId="8_{B12001ED-ABC3-E040-8B43-1113C29BCAA6}" xr6:coauthVersionLast="47" xr6:coauthVersionMax="47" xr10:uidLastSave="{113846A9-7600-F94B-BB3B-189E855C8AA2}"/>
  <bookViews>
    <workbookView xWindow="14660" yWindow="760" windowWidth="14740" windowHeight="17140" activeTab="2" xr2:uid="{A2967896-F6AD-5F47-843D-5752B78C114E}"/>
  </bookViews>
  <sheets>
    <sheet name="exercise 3.1(b)+(c)" sheetId="1" r:id="rId1"/>
    <sheet name="exercise 3.3" sheetId="2" r:id="rId2"/>
    <sheet name="exercise 3.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3" l="1"/>
  <c r="B46" i="3"/>
  <c r="B47" i="3"/>
  <c r="B45" i="3"/>
  <c r="B43" i="3" s="1"/>
  <c r="B29" i="3"/>
  <c r="B50" i="3"/>
  <c r="B51" i="3"/>
  <c r="B52" i="3"/>
  <c r="B49" i="3"/>
  <c r="B30" i="3"/>
  <c r="B36" i="3"/>
  <c r="B37" i="3"/>
  <c r="B38" i="3"/>
  <c r="B35" i="3"/>
  <c r="B32" i="3"/>
  <c r="B33" i="3"/>
  <c r="B34" i="3"/>
  <c r="B31" i="3"/>
  <c r="B22" i="3"/>
  <c r="B7" i="3"/>
  <c r="B8" i="3"/>
  <c r="B9" i="3"/>
  <c r="B10" i="3"/>
  <c r="B15" i="3"/>
  <c r="B19" i="3" s="1"/>
  <c r="B16" i="3"/>
  <c r="B17" i="3"/>
  <c r="B18" i="3"/>
  <c r="B12" i="2" a="1"/>
  <c r="B12" i="2" s="1"/>
  <c r="A7" i="2" a="1"/>
  <c r="A7" i="2" s="1"/>
  <c r="E4" i="2"/>
  <c r="D4" i="2"/>
  <c r="C4" i="2"/>
  <c r="B4" i="2"/>
  <c r="E3" i="2"/>
  <c r="D3" i="2"/>
  <c r="C3" i="2"/>
  <c r="B3" i="2"/>
  <c r="E2" i="2"/>
  <c r="D2" i="2"/>
  <c r="C2" i="2"/>
  <c r="B2" i="2"/>
  <c r="L2" i="1" a="1"/>
  <c r="L2" i="1" s="1"/>
  <c r="G17" i="1" a="1"/>
  <c r="G17" i="1" s="1"/>
  <c r="G12" i="1" a="1"/>
  <c r="G12" i="1" s="1"/>
  <c r="G7" i="1" a="1"/>
  <c r="G7" i="1" s="1"/>
  <c r="G2" i="1" a="1"/>
  <c r="G2" i="1" s="1"/>
  <c r="A13" i="1" a="1"/>
  <c r="A13" i="1" s="1"/>
  <c r="B44" i="3" l="1"/>
  <c r="B23" i="3"/>
  <c r="B21" i="3"/>
  <c r="B20" i="3"/>
  <c r="A8" i="1" a="1"/>
  <c r="A8" i="1" s="1"/>
  <c r="B2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<sst xmlns="http://schemas.openxmlformats.org/spreadsheetml/2006/main" count="97" uniqueCount="87">
  <si>
    <t>A matrix</t>
  </si>
  <si>
    <t>P1</t>
  </si>
  <si>
    <t>F2</t>
  </si>
  <si>
    <t>P2</t>
  </si>
  <si>
    <t>b vector</t>
  </si>
  <si>
    <t xml:space="preserve">b </t>
  </si>
  <si>
    <t>A^-1 (Inverse of A)</t>
  </si>
  <si>
    <t>Solution x + [P1,F2,P2]</t>
  </si>
  <si>
    <t>Transpose of A (A^t)</t>
  </si>
  <si>
    <t>A^t x A</t>
  </si>
  <si>
    <t>Inverse of A^tA</t>
  </si>
  <si>
    <t>Psuedo-Inverse A^+</t>
  </si>
  <si>
    <t>Solution Vector x</t>
  </si>
  <si>
    <t>&lt;=part (b)</t>
  </si>
  <si>
    <t>&lt;=part (c)</t>
  </si>
  <si>
    <t>Component</t>
  </si>
  <si>
    <t>V1 Coeff</t>
  </si>
  <si>
    <t>V2 Coeff</t>
  </si>
  <si>
    <t>L2 Coeff</t>
  </si>
  <si>
    <t>RHS (kg/min)</t>
  </si>
  <si>
    <t>Methanol</t>
  </si>
  <si>
    <t>Ethanol</t>
  </si>
  <si>
    <t>Butanol</t>
  </si>
  <si>
    <t>Inverse of A</t>
  </si>
  <si>
    <t>Solution x=A^-1b</t>
  </si>
  <si>
    <t>V1</t>
  </si>
  <si>
    <t>V2</t>
  </si>
  <si>
    <t>L2</t>
  </si>
  <si>
    <t>Feed rate (A)</t>
  </si>
  <si>
    <t>Benzene % (A)</t>
  </si>
  <si>
    <t>Styrene % (A)</t>
  </si>
  <si>
    <t>Toluene % (A)</t>
  </si>
  <si>
    <t>Xylene % (A)</t>
  </si>
  <si>
    <t>Benzene in A</t>
  </si>
  <si>
    <t>Styrene in A</t>
  </si>
  <si>
    <t>Toluene in A</t>
  </si>
  <si>
    <t>Xylene in A</t>
  </si>
  <si>
    <t>Benzene in B</t>
  </si>
  <si>
    <t>Styrene in B</t>
  </si>
  <si>
    <t>Toluene in B</t>
  </si>
  <si>
    <t>Xylene in B</t>
  </si>
  <si>
    <t>Total flow in B</t>
  </si>
  <si>
    <t>Benzene in C</t>
  </si>
  <si>
    <t>Styrene in C</t>
  </si>
  <si>
    <t>Toluene in C</t>
  </si>
  <si>
    <t>Xylene in C</t>
  </si>
  <si>
    <t>Total flow in C</t>
  </si>
  <si>
    <t>Label</t>
  </si>
  <si>
    <t>Value/Formula</t>
  </si>
  <si>
    <t>% Benzene to B</t>
  </si>
  <si>
    <t>% Styrene to B</t>
  </si>
  <si>
    <t>% Toluene to B</t>
  </si>
  <si>
    <t>% Xylene to B</t>
  </si>
  <si>
    <t>% Benzene to D</t>
  </si>
  <si>
    <t>% Styrene to D</t>
  </si>
  <si>
    <t>% Toluene to D</t>
  </si>
  <si>
    <t>% Xylene to D</t>
  </si>
  <si>
    <t>Benzene in D</t>
  </si>
  <si>
    <t>Styrene in D</t>
  </si>
  <si>
    <t>Toluene in D</t>
  </si>
  <si>
    <t>Xylene in D</t>
  </si>
  <si>
    <t>Benzene in E</t>
  </si>
  <si>
    <t>Styrene in E</t>
  </si>
  <si>
    <t>Toluene in E</t>
  </si>
  <si>
    <t>Xylene in E</t>
  </si>
  <si>
    <t>% Benzene to F</t>
  </si>
  <si>
    <t>% Styrene to F</t>
  </si>
  <si>
    <t>% Toluene to F</t>
  </si>
  <si>
    <t>% Xylene to F</t>
  </si>
  <si>
    <t>Benzene in F</t>
  </si>
  <si>
    <t>Styrene in F</t>
  </si>
  <si>
    <t>Toluene in F</t>
  </si>
  <si>
    <t>Xylene in F</t>
  </si>
  <si>
    <t>Benzene in G</t>
  </si>
  <si>
    <t>Styrene in G</t>
  </si>
  <si>
    <t>Toluene in G</t>
  </si>
  <si>
    <t>Xylene in G</t>
  </si>
  <si>
    <t>Total flow in D</t>
  </si>
  <si>
    <t>Total flow in E</t>
  </si>
  <si>
    <t>Total flow in G</t>
  </si>
  <si>
    <t>Total flow in F</t>
  </si>
  <si>
    <t>Percentage values</t>
  </si>
  <si>
    <t>Blue cells -</t>
  </si>
  <si>
    <t>Pink cells -</t>
  </si>
  <si>
    <t>Total flow rates of each stream</t>
  </si>
  <si>
    <t>kg/min</t>
  </si>
  <si>
    <t>mol/min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</si>
</sst>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7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9" xfId="0" applyFill="1" applyBorder="1"/>
    <xf numFmtId="0" fontId="0" fillId="4" borderId="9" xfId="0" applyFill="1" applyBorder="1"/>
    <xf numFmtId="0" fontId="0" fillId="3" borderId="8" xfId="0" applyFill="1" applyBorder="1"/>
    <xf numFmtId="0" fontId="0" fillId="4" borderId="10" xfId="0" applyFill="1" applyBorder="1"/>
    <xf numFmtId="0" fontId="0" fillId="5" borderId="0" xfId="0" applyFill="1" applyAlignment="1">
      <alignment horizontal="right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256134</xdr:colOff>
      <xdr:row>5</xdr:row>
      <xdr:rowOff>106723</xdr:rowOff>
    </xdr:from>
    <xdr:to>
      <xdr:col>11</xdr:col>
      <xdr:colOff>320167</xdr:colOff>
      <xdr:row>10</xdr:row>
      <xdr:rowOff>160085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2CC065-8236-FDA4-D1DE-0C3E0F688460}"/>
            </a:ext>
          </a:extLst>
        </xdr:cNvPr>
        <xdr:cNvSpPr txBox="1"/>
      </xdr:nvSpPr>
      <xdr:spPr>
        <a:xfrm>
          <a:off x="2721428" y="1163278"/>
          <a:ext cx="6638151" cy="10672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Methanol:  0.71*V1 +</a:t>
          </a:r>
          <a:r>
            <a:rPr lang="en-US" sz="1800" baseline="0"/>
            <a:t> </a:t>
          </a:r>
          <a:r>
            <a:rPr lang="en-US" sz="1800"/>
            <a:t>0.44*V2 + 0.08*L2 = 300     (0.3*1000 = 300)</a:t>
          </a:r>
        </a:p>
        <a:p>
          <a:r>
            <a:rPr lang="en-US" sz="1800"/>
            <a:t>Ethanol:   0.27*V1 + 0.55*V2 + 0.3*L2 = 400     (0.4*1000 = 400)</a:t>
          </a:r>
        </a:p>
        <a:p>
          <a:r>
            <a:rPr lang="en-US" sz="1800"/>
            <a:t>Butanol:   0.02*V1 + 0.01*V2 + 0.53*L2 = 300     (0.3*1000 = 300)</a:t>
          </a:r>
        </a:p>
        <a:p>
          <a:endParaRPr lang="en-US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321733</xdr:colOff>
      <xdr:row>4</xdr:row>
      <xdr:rowOff>33868</xdr:rowOff>
    </xdr:from>
    <xdr:to>
      <xdr:col>16</xdr:col>
      <xdr:colOff>389466</xdr:colOff>
      <xdr:row>12</xdr:row>
      <xdr:rowOff>67733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66AEE5-B7B6-CADF-5CF2-914CB6C0793D}"/>
            </a:ext>
          </a:extLst>
        </xdr:cNvPr>
        <xdr:cNvSpPr txBox="1"/>
      </xdr:nvSpPr>
      <xdr:spPr>
        <a:xfrm>
          <a:off x="2438400" y="846668"/>
          <a:ext cx="11904133" cy="16933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D</a:t>
          </a:r>
          <a:r>
            <a:rPr lang="en-US" sz="2000" baseline="0"/>
            <a:t> (stream II overhead) </a:t>
          </a:r>
          <a:r>
            <a:rPr lang="en-US" sz="2000"/>
            <a:t>=  0.7*(0.8*10)</a:t>
          </a:r>
          <a:r>
            <a:rPr lang="en-US" sz="2000" baseline="0"/>
            <a:t> </a:t>
          </a:r>
          <a:r>
            <a:rPr lang="en-US" sz="2000"/>
            <a:t>+</a:t>
          </a:r>
          <a:r>
            <a:rPr lang="en-US" sz="2000" baseline="0"/>
            <a:t> </a:t>
          </a:r>
          <a:r>
            <a:rPr lang="en-US" sz="2000"/>
            <a:t>0.65*(0.6*15)</a:t>
          </a:r>
          <a:r>
            <a:rPr lang="en-US" sz="2000" baseline="0"/>
            <a:t> </a:t>
          </a:r>
          <a:r>
            <a:rPr lang="en-US" sz="2000"/>
            <a:t>+ 0.25*(0.3*35)</a:t>
          </a:r>
          <a:r>
            <a:rPr lang="en-US" sz="2000" baseline="0"/>
            <a:t> </a:t>
          </a:r>
          <a:r>
            <a:rPr lang="en-US" sz="2000"/>
            <a:t>+ 0.05*(0.1*40)</a:t>
          </a:r>
        </a:p>
        <a:p>
          <a:r>
            <a:rPr lang="en-US" sz="2000"/>
            <a:t>E (stream II bottom) = (1-0.7)*(0.8*10) + (1-0.65)*(0.6*15) + (1-0.25)*(0.3*35) + (1-0.05)*(0.1*40)</a:t>
          </a:r>
        </a:p>
        <a:p>
          <a:r>
            <a:rPr lang="en-US" sz="2000"/>
            <a:t>F</a:t>
          </a:r>
          <a:r>
            <a:rPr lang="en-US" sz="2000" baseline="0"/>
            <a:t> (stream III overhead) = 0.85*((1-0.8)*10) + 0.65*((1-0.6)*15) + 0.20*((1-0.3)*35) + 0.10*((1-0.1)*40)</a:t>
          </a:r>
        </a:p>
        <a:p>
          <a:r>
            <a:rPr lang="en-US" sz="2000"/>
            <a:t>G</a:t>
          </a:r>
          <a:r>
            <a:rPr lang="en-US" sz="2000" baseline="0"/>
            <a:t> (stream III bottom) = (1-0.85)*((1-0.8)*10) + (1-0.65)*((1-0.6)*15) + (1-0.20)*((1-0.3)*35) + (1-0.10)*((1-0.1)*40)</a:t>
          </a:r>
        </a:p>
        <a:p>
          <a:endParaRPr lang="en-US" sz="2000"/>
        </a:p>
      </xdr:txBody>
    </xdr:sp>
    <xdr:clientData/>
  </xdr:twoCellAnchor>
  <xdr:twoCellAnchor>
    <xdr:from>
      <xdr:col>2</xdr:col>
      <xdr:colOff>389466</xdr:colOff>
      <xdr:row>13</xdr:row>
      <xdr:rowOff>50800</xdr:rowOff>
    </xdr:from>
    <xdr:to>
      <xdr:col>6</xdr:col>
      <xdr:colOff>677334</xdr:colOff>
      <xdr:row>23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352791-1EA7-A068-09BB-4160A59CC7C5}"/>
            </a:ext>
          </a:extLst>
        </xdr:cNvPr>
        <xdr:cNvSpPr txBox="1"/>
      </xdr:nvSpPr>
      <xdr:spPr>
        <a:xfrm>
          <a:off x="2506133" y="2726267"/>
          <a:ext cx="3826934" cy="2048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Results:</a:t>
          </a:r>
          <a:endParaRPr lang="en-US" sz="2000"/>
        </a:p>
        <a:p>
          <a:r>
            <a:rPr lang="en-US" sz="2000"/>
            <a:t>Stream D: 14.275 mol/hr</a:t>
          </a:r>
        </a:p>
        <a:p>
          <a:r>
            <a:rPr lang="en-US" sz="2000"/>
            <a:t>Stream E: 17.225 mol/hr</a:t>
          </a:r>
        </a:p>
        <a:p>
          <a:r>
            <a:rPr lang="en-US" sz="2000"/>
            <a:t>Stream F: 14.100 mol/hr</a:t>
          </a:r>
        </a:p>
        <a:p>
          <a:r>
            <a:rPr lang="en-US" sz="2000"/>
            <a:t>Stream G: 54.400 mol/hr</a:t>
          </a:r>
        </a:p>
        <a:p>
          <a:r>
            <a:rPr lang="en-US" sz="2000"/>
            <a:t>Total = 100 mol/hr (matches feed)</a:t>
          </a:r>
        </a:p>
        <a:p>
          <a:endParaRPr lang="en-US" sz="20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D9C4-FBD6-2B4E-A760-EC937BB3F415}">
  <dimension ref="A1:M19"/>
  <sheetViews>
    <sheetView zoomScale="110" workbookViewId="0">
      <selection activeCell="N8" sqref="N8"/>
    </sheetView>
  </sheetViews>
  <sheetFormatPr baseColWidth="10" defaultRowHeight="16" x14ac:dyDescent="0.2"/>
  <sheetData>
    <row r="1" spans="1:13" x14ac:dyDescent="0.2">
      <c r="A1" s="1" t="s">
        <v>0</v>
      </c>
      <c r="E1" t="s">
        <v>4</v>
      </c>
      <c r="F1" s="5" t="s">
        <v>13</v>
      </c>
      <c r="G1" s="1" t="s">
        <v>8</v>
      </c>
      <c r="K1" s="1" t="s">
        <v>12</v>
      </c>
      <c r="M1" s="5" t="s">
        <v>14</v>
      </c>
    </row>
    <row r="2" spans="1:13" x14ac:dyDescent="0.2">
      <c r="A2" t="s">
        <v>1</v>
      </c>
      <c r="B2" t="s">
        <v>2</v>
      </c>
      <c r="C2" t="s">
        <v>3</v>
      </c>
      <c r="E2" t="s">
        <v>5</v>
      </c>
      <c r="G2" cm="1">
        <f t="array" ref="G2:I4">TRANSPOSE(A3:C5)</f>
        <v>1.7000000000000001E-2</v>
      </c>
      <c r="H2">
        <v>0</v>
      </c>
      <c r="I2">
        <v>-1</v>
      </c>
      <c r="K2" t="s">
        <v>1</v>
      </c>
      <c r="L2" s="2" cm="1">
        <f t="array" ref="L2:L4">MMULT(_xlfn.ANCHORARRAY(G17),E3:E5)</f>
        <v>210.18062397415633</v>
      </c>
      <c r="M2" t="s">
        <v>86</v>
      </c>
    </row>
    <row r="3" spans="1:13" x14ac:dyDescent="0.2">
      <c r="A3">
        <v>1.7000000000000001E-2</v>
      </c>
      <c r="B3">
        <v>-0.02</v>
      </c>
      <c r="C3">
        <v>-2.2000000000000001E-3</v>
      </c>
      <c r="E3">
        <v>0</v>
      </c>
      <c r="G3">
        <v>-0.02</v>
      </c>
      <c r="H3">
        <v>-0.9</v>
      </c>
      <c r="I3">
        <v>1</v>
      </c>
      <c r="K3" t="s">
        <v>2</v>
      </c>
      <c r="L3" s="2">
        <v>162.39737274245272</v>
      </c>
      <c r="M3" t="s">
        <v>86</v>
      </c>
    </row>
    <row r="4" spans="1:13" x14ac:dyDescent="0.2">
      <c r="A4">
        <v>0</v>
      </c>
      <c r="B4">
        <v>-0.9</v>
      </c>
      <c r="C4">
        <v>0.98899999999999999</v>
      </c>
      <c r="E4">
        <v>0</v>
      </c>
      <c r="G4">
        <v>-2.2000000000000001E-3</v>
      </c>
      <c r="H4">
        <v>0.98899999999999999</v>
      </c>
      <c r="I4">
        <v>1</v>
      </c>
      <c r="K4" t="s">
        <v>3</v>
      </c>
      <c r="L4" s="2">
        <v>147.78325123170362</v>
      </c>
      <c r="M4" t="s">
        <v>86</v>
      </c>
    </row>
    <row r="5" spans="1:13" x14ac:dyDescent="0.2">
      <c r="A5">
        <v>-1</v>
      </c>
      <c r="B5">
        <v>1</v>
      </c>
      <c r="C5">
        <v>1</v>
      </c>
      <c r="E5">
        <v>100</v>
      </c>
      <c r="G5" s="1"/>
    </row>
    <row r="6" spans="1:13" x14ac:dyDescent="0.2">
      <c r="G6" s="1" t="s">
        <v>9</v>
      </c>
    </row>
    <row r="7" spans="1:13" x14ac:dyDescent="0.2">
      <c r="A7" s="1" t="s">
        <v>6</v>
      </c>
      <c r="G7" cm="1">
        <f t="array" ref="G7:I9">MMULT(_xlfn.ANCHORARRAY(G2), A3:C5)</f>
        <v>1.000289</v>
      </c>
      <c r="H7">
        <v>-1.00034</v>
      </c>
      <c r="I7">
        <v>-1.0000374000000001</v>
      </c>
    </row>
    <row r="8" spans="1:13" x14ac:dyDescent="0.2">
      <c r="A8" cm="1">
        <f t="array" ref="A8:C10">MINVERSE(A3:C5)</f>
        <v>182.45919057278081</v>
      </c>
      <c r="B8">
        <v>-1.7193084130203804</v>
      </c>
      <c r="C8">
        <v>2.1018062397372743</v>
      </c>
      <c r="G8">
        <v>-1.00034</v>
      </c>
      <c r="H8">
        <v>1.8104</v>
      </c>
      <c r="I8">
        <v>0.10994400000000004</v>
      </c>
    </row>
    <row r="9" spans="1:13" x14ac:dyDescent="0.2">
      <c r="A9">
        <v>95.527866318941363</v>
      </c>
      <c r="B9">
        <v>-1.4295373321742488</v>
      </c>
      <c r="C9">
        <v>1.6239737274220032</v>
      </c>
      <c r="G9">
        <v>-1.0000374000000001</v>
      </c>
      <c r="H9">
        <v>0.10994400000000004</v>
      </c>
      <c r="I9">
        <v>1.9781258400000001</v>
      </c>
    </row>
    <row r="10" spans="1:13" x14ac:dyDescent="0.2">
      <c r="A10">
        <v>86.931324253839463</v>
      </c>
      <c r="B10">
        <v>-0.28977108084613146</v>
      </c>
      <c r="C10">
        <v>1.4778325123152709</v>
      </c>
    </row>
    <row r="11" spans="1:13" x14ac:dyDescent="0.2">
      <c r="G11" s="1" t="s">
        <v>10</v>
      </c>
    </row>
    <row r="12" spans="1:13" x14ac:dyDescent="0.2">
      <c r="A12" s="1" t="s">
        <v>7</v>
      </c>
      <c r="G12" cm="1">
        <f t="array" ref="G12:I14">MINVERSE(_xlfn.ANCHORARRAY(G7))</f>
        <v>33298.72983539592</v>
      </c>
      <c r="H12">
        <v>17435.808259391579</v>
      </c>
      <c r="I12">
        <v>15865.023382244082</v>
      </c>
    </row>
    <row r="13" spans="1:13" x14ac:dyDescent="0.2">
      <c r="A13" s="2" cm="1">
        <f t="array" ref="A13:A15">MMULT(_xlfn.ANCHORARRAY(A8),E3:E5)</f>
        <v>210.18062397372742</v>
      </c>
      <c r="B13" t="s">
        <v>86</v>
      </c>
      <c r="G13">
        <v>17435.808259391575</v>
      </c>
      <c r="H13">
        <v>9130.25411111004</v>
      </c>
      <c r="I13">
        <v>8307.1781220089597</v>
      </c>
    </row>
    <row r="14" spans="1:13" x14ac:dyDescent="0.2">
      <c r="A14" s="2">
        <v>162.39737274220033</v>
      </c>
      <c r="B14" t="s">
        <v>86</v>
      </c>
      <c r="G14">
        <v>15865.023382244079</v>
      </c>
      <c r="H14">
        <v>8307.1781220089579</v>
      </c>
      <c r="I14">
        <v>7559.3230927474378</v>
      </c>
    </row>
    <row r="15" spans="1:13" x14ac:dyDescent="0.2">
      <c r="A15" s="2">
        <v>147.78325123152709</v>
      </c>
      <c r="B15" t="s">
        <v>86</v>
      </c>
    </row>
    <row r="16" spans="1:13" x14ac:dyDescent="0.2">
      <c r="G16" s="1" t="s">
        <v>11</v>
      </c>
    </row>
    <row r="17" spans="7:9" x14ac:dyDescent="0.2">
      <c r="G17" cm="1">
        <f t="array" ref="G17:I19">MMULT(_xlfn.ANCHORARRAY(G12),_xlfn.ANCHORARRAY( G2))</f>
        <v>182.45919057296211</v>
      </c>
      <c r="H17">
        <v>-1.7193084130231</v>
      </c>
      <c r="I17">
        <v>2.1018062397415633</v>
      </c>
    </row>
    <row r="18" spans="7:9" x14ac:dyDescent="0.2">
      <c r="G18">
        <v>95.527866319036278</v>
      </c>
      <c r="H18">
        <v>-1.429537332174732</v>
      </c>
      <c r="I18">
        <v>1.6239737274245272</v>
      </c>
    </row>
    <row r="19" spans="7:9" x14ac:dyDescent="0.2">
      <c r="G19">
        <v>86.931324253925837</v>
      </c>
      <c r="H19">
        <v>-0.28977108084654901</v>
      </c>
      <c r="I19">
        <v>1.4778325123170362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9D5A-5B25-7D43-BDE2-68450DEC98FC}">
  <dimension ref="A1:F14"/>
  <sheetViews>
    <sheetView zoomScale="119" workbookViewId="0">
      <selection activeCell="D19" sqref="D19"/>
    </sheetView>
  </sheetViews>
  <sheetFormatPr baseColWidth="10" defaultRowHeight="16" x14ac:dyDescent="0.2"/>
  <sheetData>
    <row r="1" spans="1:6" x14ac:dyDescent="0.2">
      <c r="A1" s="3" t="s">
        <v>15</v>
      </c>
      <c r="B1" t="s">
        <v>16</v>
      </c>
      <c r="C1" t="s">
        <v>17</v>
      </c>
      <c r="D1" t="s">
        <v>18</v>
      </c>
      <c r="E1" t="s">
        <v>19</v>
      </c>
      <c r="F1" s="3"/>
    </row>
    <row r="2" spans="1:6" ht="17" x14ac:dyDescent="0.25">
      <c r="A2" t="s">
        <v>20</v>
      </c>
      <c r="B2" s="4">
        <f>0.71</f>
        <v>0.71</v>
      </c>
      <c r="C2" s="4">
        <f>0.44</f>
        <v>0.44</v>
      </c>
      <c r="D2" s="4">
        <f>0.08</f>
        <v>0.08</v>
      </c>
      <c r="E2" s="4">
        <f>300</f>
        <v>300</v>
      </c>
    </row>
    <row r="3" spans="1:6" ht="17" x14ac:dyDescent="0.25">
      <c r="A3" t="s">
        <v>21</v>
      </c>
      <c r="B3" s="4">
        <f>0.27</f>
        <v>0.27</v>
      </c>
      <c r="C3" s="4">
        <f>0.55</f>
        <v>0.55000000000000004</v>
      </c>
      <c r="D3" s="4">
        <f>0.39</f>
        <v>0.39</v>
      </c>
      <c r="E3" s="4">
        <f>400</f>
        <v>400</v>
      </c>
      <c r="F3" s="4"/>
    </row>
    <row r="4" spans="1:6" ht="17" x14ac:dyDescent="0.25">
      <c r="A4" t="s">
        <v>22</v>
      </c>
      <c r="B4" s="4">
        <f>0.02</f>
        <v>0.02</v>
      </c>
      <c r="C4" s="4">
        <f>0.01</f>
        <v>0.01</v>
      </c>
      <c r="D4" s="4">
        <f>0.53</f>
        <v>0.53</v>
      </c>
      <c r="E4" s="4">
        <f>300</f>
        <v>300</v>
      </c>
      <c r="F4" s="4"/>
    </row>
    <row r="5" spans="1:6" ht="17" x14ac:dyDescent="0.25">
      <c r="A5" s="3"/>
      <c r="C5" s="4"/>
      <c r="D5" s="4"/>
      <c r="E5" s="4"/>
      <c r="F5" s="4"/>
    </row>
    <row r="6" spans="1:6" x14ac:dyDescent="0.2">
      <c r="A6" s="1" t="s">
        <v>23</v>
      </c>
    </row>
    <row r="7" spans="1:6" x14ac:dyDescent="0.2">
      <c r="A7" cm="1">
        <f t="array" ref="A7:C9">MINVERSE(B2:D4)</f>
        <v>1.9972222222222225</v>
      </c>
      <c r="B7">
        <v>-1.6138888888888885</v>
      </c>
      <c r="C7">
        <v>0.88611111111111107</v>
      </c>
    </row>
    <row r="8" spans="1:6" x14ac:dyDescent="0.2">
      <c r="A8">
        <v>-0.93958333333333344</v>
      </c>
      <c r="B8">
        <v>2.6020833333333329</v>
      </c>
      <c r="C8">
        <v>-1.7729166666666665</v>
      </c>
    </row>
    <row r="9" spans="1:6" x14ac:dyDescent="0.2">
      <c r="A9">
        <v>-5.7638888888888885E-2</v>
      </c>
      <c r="B9">
        <v>1.1805555555555552E-2</v>
      </c>
      <c r="C9">
        <v>1.8868055555555554</v>
      </c>
    </row>
    <row r="11" spans="1:6" x14ac:dyDescent="0.2">
      <c r="A11" s="1" t="s">
        <v>24</v>
      </c>
    </row>
    <row r="12" spans="1:6" x14ac:dyDescent="0.2">
      <c r="A12" t="s">
        <v>25</v>
      </c>
      <c r="B12" s="2" cm="1">
        <f t="array" ref="B12:B14">MMULT(_xlfn.ANCHORARRAY(A7),E2:E4)</f>
        <v>219.44444444444463</v>
      </c>
      <c r="C12" t="s">
        <v>85</v>
      </c>
    </row>
    <row r="13" spans="1:6" x14ac:dyDescent="0.2">
      <c r="A13" t="s">
        <v>26</v>
      </c>
      <c r="B13" s="2">
        <v>227.08333333333314</v>
      </c>
      <c r="C13" t="s">
        <v>85</v>
      </c>
    </row>
    <row r="14" spans="1:6" x14ac:dyDescent="0.2">
      <c r="A14" t="s">
        <v>27</v>
      </c>
      <c r="B14" s="2">
        <v>553.47222222222217</v>
      </c>
      <c r="C14" t="s">
        <v>85</v>
      </c>
    </row>
  </sheetData>
  <pageMargins left="0.7" right="0.7" top="0.75" bottom="0.75" header="0.3" footer="0.3"/>
  <ignoredErrors>
    <ignoredError sqref="E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0997-4FD5-1343-BE13-8EACCF2F4C32}">
  <dimension ref="A1:E52"/>
  <sheetViews>
    <sheetView tabSelected="1" zoomScale="75" workbookViewId="0">
      <selection activeCell="H22" sqref="H22"/>
    </sheetView>
  </sheetViews>
  <sheetFormatPr baseColWidth="10" defaultRowHeight="16" x14ac:dyDescent="0.2"/>
  <cols>
    <col min="1" max="1" width="16.83203125" customWidth="1"/>
    <col min="4" max="4" width="13.6640625" customWidth="1"/>
  </cols>
  <sheetData>
    <row r="1" spans="1:5" x14ac:dyDescent="0.2">
      <c r="A1" s="1" t="s">
        <v>47</v>
      </c>
      <c r="B1" s="1" t="s">
        <v>48</v>
      </c>
    </row>
    <row r="2" spans="1:5" x14ac:dyDescent="0.2">
      <c r="A2" s="6" t="s">
        <v>28</v>
      </c>
      <c r="B2" s="6">
        <v>100</v>
      </c>
      <c r="D2" s="19" t="s">
        <v>82</v>
      </c>
      <c r="E2" t="s">
        <v>81</v>
      </c>
    </row>
    <row r="3" spans="1:5" x14ac:dyDescent="0.2">
      <c r="A3" s="6" t="s">
        <v>29</v>
      </c>
      <c r="B3" s="6">
        <v>0.1</v>
      </c>
      <c r="D3" s="20" t="s">
        <v>83</v>
      </c>
      <c r="E3" t="s">
        <v>84</v>
      </c>
    </row>
    <row r="4" spans="1:5" x14ac:dyDescent="0.2">
      <c r="A4" s="6" t="s">
        <v>30</v>
      </c>
      <c r="B4" s="6">
        <v>0.15</v>
      </c>
    </row>
    <row r="5" spans="1:5" x14ac:dyDescent="0.2">
      <c r="A5" s="6" t="s">
        <v>31</v>
      </c>
      <c r="B5" s="6">
        <v>0.35</v>
      </c>
    </row>
    <row r="6" spans="1:5" ht="17" thickBot="1" x14ac:dyDescent="0.25">
      <c r="A6" s="17" t="s">
        <v>32</v>
      </c>
      <c r="B6" s="17">
        <v>0.4</v>
      </c>
    </row>
    <row r="7" spans="1:5" x14ac:dyDescent="0.2">
      <c r="A7" s="9" t="s">
        <v>33</v>
      </c>
      <c r="B7" s="10">
        <f>B3*B2</f>
        <v>10</v>
      </c>
    </row>
    <row r="8" spans="1:5" x14ac:dyDescent="0.2">
      <c r="A8" s="11" t="s">
        <v>34</v>
      </c>
      <c r="B8" s="12">
        <f>B4*B2</f>
        <v>15</v>
      </c>
    </row>
    <row r="9" spans="1:5" x14ac:dyDescent="0.2">
      <c r="A9" s="11" t="s">
        <v>35</v>
      </c>
      <c r="B9" s="12">
        <f>B5*B2</f>
        <v>35</v>
      </c>
    </row>
    <row r="10" spans="1:5" ht="17" thickBot="1" x14ac:dyDescent="0.25">
      <c r="A10" s="13" t="s">
        <v>36</v>
      </c>
      <c r="B10" s="14">
        <f>B6*B2</f>
        <v>40</v>
      </c>
    </row>
    <row r="11" spans="1:5" x14ac:dyDescent="0.2">
      <c r="A11" s="15" t="s">
        <v>49</v>
      </c>
      <c r="B11" s="15">
        <v>0.8</v>
      </c>
    </row>
    <row r="12" spans="1:5" x14ac:dyDescent="0.2">
      <c r="A12" s="6" t="s">
        <v>50</v>
      </c>
      <c r="B12" s="6">
        <v>0.6</v>
      </c>
    </row>
    <row r="13" spans="1:5" x14ac:dyDescent="0.2">
      <c r="A13" s="6" t="s">
        <v>51</v>
      </c>
      <c r="B13" s="6">
        <v>0.3</v>
      </c>
    </row>
    <row r="14" spans="1:5" ht="17" thickBot="1" x14ac:dyDescent="0.25">
      <c r="A14" s="17" t="s">
        <v>52</v>
      </c>
      <c r="B14" s="17">
        <v>0.1</v>
      </c>
    </row>
    <row r="15" spans="1:5" x14ac:dyDescent="0.2">
      <c r="A15" s="9" t="s">
        <v>37</v>
      </c>
      <c r="B15" s="10">
        <f>B7*B11</f>
        <v>8</v>
      </c>
    </row>
    <row r="16" spans="1:5" x14ac:dyDescent="0.2">
      <c r="A16" s="11" t="s">
        <v>38</v>
      </c>
      <c r="B16" s="12">
        <f>B8*B12</f>
        <v>9</v>
      </c>
    </row>
    <row r="17" spans="1:2" x14ac:dyDescent="0.2">
      <c r="A17" s="11" t="s">
        <v>39</v>
      </c>
      <c r="B17" s="12">
        <f>B9*B13</f>
        <v>10.5</v>
      </c>
    </row>
    <row r="18" spans="1:2" ht="17" thickBot="1" x14ac:dyDescent="0.25">
      <c r="A18" s="13" t="s">
        <v>40</v>
      </c>
      <c r="B18" s="14">
        <f>B10*B14</f>
        <v>4</v>
      </c>
    </row>
    <row r="19" spans="1:2" ht="17" thickBot="1" x14ac:dyDescent="0.25">
      <c r="A19" s="18" t="s">
        <v>41</v>
      </c>
      <c r="B19" s="18">
        <f>SUM(B15:B18)</f>
        <v>31.5</v>
      </c>
    </row>
    <row r="20" spans="1:2" x14ac:dyDescent="0.2">
      <c r="A20" s="9" t="s">
        <v>42</v>
      </c>
      <c r="B20" s="10">
        <f>B7-B15</f>
        <v>2</v>
      </c>
    </row>
    <row r="21" spans="1:2" x14ac:dyDescent="0.2">
      <c r="A21" s="11" t="s">
        <v>43</v>
      </c>
      <c r="B21" s="12">
        <f>B8-B16</f>
        <v>6</v>
      </c>
    </row>
    <row r="22" spans="1:2" x14ac:dyDescent="0.2">
      <c r="A22" s="11" t="s">
        <v>44</v>
      </c>
      <c r="B22" s="12">
        <f>B9-B17</f>
        <v>24.5</v>
      </c>
    </row>
    <row r="23" spans="1:2" ht="17" thickBot="1" x14ac:dyDescent="0.25">
      <c r="A23" s="13" t="s">
        <v>45</v>
      </c>
      <c r="B23" s="14">
        <f>B10-B18</f>
        <v>36</v>
      </c>
    </row>
    <row r="24" spans="1:2" x14ac:dyDescent="0.2">
      <c r="A24" s="16" t="s">
        <v>46</v>
      </c>
      <c r="B24" s="16">
        <f>SUM(B20:B23)</f>
        <v>68.5</v>
      </c>
    </row>
    <row r="25" spans="1:2" x14ac:dyDescent="0.2">
      <c r="A25" s="6" t="s">
        <v>53</v>
      </c>
      <c r="B25" s="6">
        <v>0.7</v>
      </c>
    </row>
    <row r="26" spans="1:2" x14ac:dyDescent="0.2">
      <c r="A26" s="6" t="s">
        <v>54</v>
      </c>
      <c r="B26" s="6">
        <v>0.65</v>
      </c>
    </row>
    <row r="27" spans="1:2" x14ac:dyDescent="0.2">
      <c r="A27" s="6" t="s">
        <v>55</v>
      </c>
      <c r="B27" s="6">
        <v>0.25</v>
      </c>
    </row>
    <row r="28" spans="1:2" x14ac:dyDescent="0.2">
      <c r="A28" s="6" t="s">
        <v>56</v>
      </c>
      <c r="B28" s="6">
        <v>0.05</v>
      </c>
    </row>
    <row r="29" spans="1:2" x14ac:dyDescent="0.2">
      <c r="A29" s="7" t="s">
        <v>77</v>
      </c>
      <c r="B29" s="7">
        <f>SUM(B31:B34)</f>
        <v>14.274999999999999</v>
      </c>
    </row>
    <row r="30" spans="1:2" ht="17" thickBot="1" x14ac:dyDescent="0.25">
      <c r="A30" s="8" t="s">
        <v>78</v>
      </c>
      <c r="B30" s="8">
        <f>SUM(B35:B38)</f>
        <v>17.225000000000001</v>
      </c>
    </row>
    <row r="31" spans="1:2" x14ac:dyDescent="0.2">
      <c r="A31" s="9" t="s">
        <v>57</v>
      </c>
      <c r="B31" s="10">
        <f>B25*B15</f>
        <v>5.6</v>
      </c>
    </row>
    <row r="32" spans="1:2" x14ac:dyDescent="0.2">
      <c r="A32" s="11" t="s">
        <v>58</v>
      </c>
      <c r="B32" s="12">
        <f t="shared" ref="B32:B34" si="0">B26*B16</f>
        <v>5.8500000000000005</v>
      </c>
    </row>
    <row r="33" spans="1:2" x14ac:dyDescent="0.2">
      <c r="A33" s="11" t="s">
        <v>59</v>
      </c>
      <c r="B33" s="12">
        <f t="shared" si="0"/>
        <v>2.625</v>
      </c>
    </row>
    <row r="34" spans="1:2" ht="17" thickBot="1" x14ac:dyDescent="0.25">
      <c r="A34" s="13" t="s">
        <v>60</v>
      </c>
      <c r="B34" s="14">
        <f t="shared" si="0"/>
        <v>0.2</v>
      </c>
    </row>
    <row r="35" spans="1:2" x14ac:dyDescent="0.2">
      <c r="A35" s="9" t="s">
        <v>61</v>
      </c>
      <c r="B35" s="10">
        <f>B15 - B31</f>
        <v>2.4000000000000004</v>
      </c>
    </row>
    <row r="36" spans="1:2" x14ac:dyDescent="0.2">
      <c r="A36" s="11" t="s">
        <v>62</v>
      </c>
      <c r="B36" s="12">
        <f t="shared" ref="B36:B38" si="1">B16 - B32</f>
        <v>3.1499999999999995</v>
      </c>
    </row>
    <row r="37" spans="1:2" x14ac:dyDescent="0.2">
      <c r="A37" s="11" t="s">
        <v>63</v>
      </c>
      <c r="B37" s="12">
        <f t="shared" si="1"/>
        <v>7.875</v>
      </c>
    </row>
    <row r="38" spans="1:2" ht="17" thickBot="1" x14ac:dyDescent="0.25">
      <c r="A38" s="13" t="s">
        <v>64</v>
      </c>
      <c r="B38" s="14">
        <f t="shared" si="1"/>
        <v>3.8</v>
      </c>
    </row>
    <row r="39" spans="1:2" x14ac:dyDescent="0.2">
      <c r="A39" s="15" t="s">
        <v>65</v>
      </c>
      <c r="B39" s="15">
        <v>0.85</v>
      </c>
    </row>
    <row r="40" spans="1:2" x14ac:dyDescent="0.2">
      <c r="A40" s="6" t="s">
        <v>66</v>
      </c>
      <c r="B40" s="6">
        <v>0.65</v>
      </c>
    </row>
    <row r="41" spans="1:2" x14ac:dyDescent="0.2">
      <c r="A41" s="6" t="s">
        <v>67</v>
      </c>
      <c r="B41" s="6">
        <v>0.2</v>
      </c>
    </row>
    <row r="42" spans="1:2" x14ac:dyDescent="0.2">
      <c r="A42" s="6" t="s">
        <v>68</v>
      </c>
      <c r="B42" s="6">
        <v>0.1</v>
      </c>
    </row>
    <row r="43" spans="1:2" x14ac:dyDescent="0.2">
      <c r="A43" s="7" t="s">
        <v>80</v>
      </c>
      <c r="B43" s="7">
        <f>SUM(B45:B48)</f>
        <v>14.1</v>
      </c>
    </row>
    <row r="44" spans="1:2" ht="17" thickBot="1" x14ac:dyDescent="0.25">
      <c r="A44" s="8" t="s">
        <v>79</v>
      </c>
      <c r="B44" s="8">
        <f>SUM(B49:B52)</f>
        <v>54.4</v>
      </c>
    </row>
    <row r="45" spans="1:2" x14ac:dyDescent="0.2">
      <c r="A45" s="9" t="s">
        <v>69</v>
      </c>
      <c r="B45" s="10">
        <f>B39*B20</f>
        <v>1.7</v>
      </c>
    </row>
    <row r="46" spans="1:2" x14ac:dyDescent="0.2">
      <c r="A46" s="11" t="s">
        <v>70</v>
      </c>
      <c r="B46" s="12">
        <f t="shared" ref="B46:B48" si="2">B40*B21</f>
        <v>3.9000000000000004</v>
      </c>
    </row>
    <row r="47" spans="1:2" x14ac:dyDescent="0.2">
      <c r="A47" s="11" t="s">
        <v>71</v>
      </c>
      <c r="B47" s="12">
        <f t="shared" si="2"/>
        <v>4.9000000000000004</v>
      </c>
    </row>
    <row r="48" spans="1:2" ht="17" thickBot="1" x14ac:dyDescent="0.25">
      <c r="A48" s="13" t="s">
        <v>72</v>
      </c>
      <c r="B48" s="14">
        <f t="shared" si="2"/>
        <v>3.6</v>
      </c>
    </row>
    <row r="49" spans="1:2" x14ac:dyDescent="0.2">
      <c r="A49" s="9" t="s">
        <v>73</v>
      </c>
      <c r="B49" s="10">
        <f>B20-B45</f>
        <v>0.30000000000000004</v>
      </c>
    </row>
    <row r="50" spans="1:2" x14ac:dyDescent="0.2">
      <c r="A50" s="11" t="s">
        <v>74</v>
      </c>
      <c r="B50" s="12">
        <f t="shared" ref="B50:B52" si="3">B21-B46</f>
        <v>2.0999999999999996</v>
      </c>
    </row>
    <row r="51" spans="1:2" x14ac:dyDescent="0.2">
      <c r="A51" s="11" t="s">
        <v>75</v>
      </c>
      <c r="B51" s="12">
        <f t="shared" si="3"/>
        <v>19.600000000000001</v>
      </c>
    </row>
    <row r="52" spans="1:2" ht="17" thickBot="1" x14ac:dyDescent="0.25">
      <c r="A52" s="13" t="s">
        <v>76</v>
      </c>
      <c r="B52" s="14">
        <f t="shared" si="3"/>
        <v>32.4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3.1(b)+(c)</vt:lpstr>
      <vt:lpstr>exercise 3.3</vt:lpstr>
      <vt:lpstr>exercise 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Worotniak, Victoria</dc:creator>
  <cp:lastModifiedBy>Worotniak, Victoria</cp:lastModifiedBy>
  <dcterms:created xsi:type="dcterms:W3CDTF">2025-10-04T22:40:49Z</dcterms:created>
  <dcterms:modified xsi:type="dcterms:W3CDTF">2025-10-10T03:35:52Z</dcterms:modified>
</cp:coreProperties>
</file>