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F9EF9FD1CA60D/Documents/"/>
    </mc:Choice>
  </mc:AlternateContent>
  <xr:revisionPtr revIDLastSave="140" documentId="8_{DD8654F4-F21D-4A4A-AE05-4DF206956965}" xr6:coauthVersionLast="47" xr6:coauthVersionMax="47" xr10:uidLastSave="{8ED8DE5F-1FE8-4415-BA59-44001726E378}"/>
  <bookViews>
    <workbookView xWindow="10718" yWindow="0" windowWidth="10965" windowHeight="14483" activeTab="2" xr2:uid="{BA80E75C-F148-48E0-9B78-512293A6A873}"/>
  </bookViews>
  <sheets>
    <sheet name="3.1B and 3.1C" sheetId="1" r:id="rId1"/>
    <sheet name="3.3" sheetId="2" r:id="rId2"/>
    <sheet name="3.5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B6" i="3"/>
  <c r="G5" i="3"/>
  <c r="H5" i="3" s="1"/>
  <c r="G4" i="3"/>
  <c r="H4" i="3" s="1"/>
  <c r="E5" i="3"/>
  <c r="E4" i="3"/>
  <c r="G3" i="3"/>
  <c r="H3" i="3" s="1"/>
  <c r="E3" i="3"/>
  <c r="F3" i="3" s="1"/>
  <c r="F4" i="3"/>
  <c r="F5" i="3"/>
  <c r="H2" i="3"/>
  <c r="G2" i="3"/>
  <c r="F2" i="3"/>
  <c r="E2" i="3"/>
  <c r="D5" i="3"/>
  <c r="D4" i="3"/>
  <c r="D3" i="3"/>
  <c r="C5" i="3"/>
  <c r="C4" i="3"/>
  <c r="C3" i="3"/>
  <c r="D2" i="3"/>
  <c r="C2" i="3"/>
  <c r="E7" i="2" a="1"/>
  <c r="E7" i="2" s="1"/>
  <c r="E9" i="2"/>
  <c r="A7" i="2" a="1"/>
  <c r="A7" i="2" s="1"/>
  <c r="A8" i="2"/>
  <c r="B8" i="2"/>
  <c r="C8" i="2"/>
  <c r="A9" i="2"/>
  <c r="B9" i="2"/>
  <c r="C9" i="2"/>
  <c r="E12" i="1" a="1"/>
  <c r="E12" i="1" s="1"/>
  <c r="E13" i="1"/>
  <c r="E14" i="1"/>
  <c r="E7" i="1" a="1"/>
  <c r="E8" i="1" s="1"/>
  <c r="A7" i="1" a="1"/>
  <c r="A7" i="1"/>
  <c r="B7" i="1"/>
  <c r="C7" i="1"/>
  <c r="A8" i="1"/>
  <c r="B8" i="1"/>
  <c r="C8" i="1"/>
  <c r="A9" i="1"/>
  <c r="B9" i="1"/>
  <c r="C9" i="1"/>
  <c r="A12" i="1" a="1"/>
  <c r="E8" i="2" l="1"/>
  <c r="B7" i="2"/>
  <c r="C7" i="2"/>
  <c r="A12" i="1"/>
  <c r="B14" i="1"/>
  <c r="C13" i="1"/>
  <c r="C12" i="1"/>
  <c r="A14" i="1"/>
  <c r="A13" i="1"/>
  <c r="B12" i="1"/>
  <c r="C14" i="1"/>
  <c r="B13" i="1"/>
  <c r="E7" i="1"/>
  <c r="E9" i="1"/>
</calcChain>
</file>

<file path=xl/sharedStrings.xml><?xml version="1.0" encoding="utf-8"?>
<sst xmlns="http://schemas.openxmlformats.org/spreadsheetml/2006/main" count="25" uniqueCount="23">
  <si>
    <t>Matrix A</t>
  </si>
  <si>
    <t>Vector B</t>
  </si>
  <si>
    <t>Inverse of A( A^-1)</t>
  </si>
  <si>
    <t>Solution x = [P1, F2, P2]</t>
  </si>
  <si>
    <t>Pseudo-Inverse of A (A+)</t>
  </si>
  <si>
    <t>Solution x = [P1, F2, P2].</t>
  </si>
  <si>
    <t>&lt;---- 3.1B</t>
  </si>
  <si>
    <t>&lt;---- 3.1C</t>
  </si>
  <si>
    <t>Inverse of A</t>
  </si>
  <si>
    <t>Solution x = [V1, V2, L2]</t>
  </si>
  <si>
    <t>Component</t>
  </si>
  <si>
    <t>Feed (A)</t>
  </si>
  <si>
    <t>To Stream B</t>
  </si>
  <si>
    <t>To Stream C</t>
  </si>
  <si>
    <t>To Stream D</t>
  </si>
  <si>
    <t>To Stream G</t>
  </si>
  <si>
    <t>To Stream F</t>
  </si>
  <si>
    <t>To Stream E</t>
  </si>
  <si>
    <t>Benzene</t>
  </si>
  <si>
    <t>Styrene</t>
  </si>
  <si>
    <t>Toluene</t>
  </si>
  <si>
    <t>Xylene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</si>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</sst>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128589</xdr:rowOff>
    </xdr:from>
    <xdr:ext cx="4057650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B19FE0-3BE2-10EE-F9DE-CB1198535D00}"/>
            </a:ext>
          </a:extLst>
        </xdr:cNvPr>
        <xdr:cNvSpPr txBox="1"/>
      </xdr:nvSpPr>
      <xdr:spPr>
        <a:xfrm>
          <a:off x="3905250" y="128589"/>
          <a:ext cx="4057650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1. Methanol Balance: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 * (mass fr. in F) = (V₁ * mass fr. in V₁) + (V₂ * mass fr. in V₂) + (L₂ * mass fr. in L₂)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1000 * 0.3 = (V₁ * 0.71) + (V₂ * 0.44) + (L₂ * 0.08)</a:t>
          </a:r>
          <a:r>
            <a:rPr lang="en-US"/>
            <a:t>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=&gt; 0.71V₁ + 0.44V₂ + 0.08L₂ = 300</a:t>
          </a:r>
          <a:endParaRPr lang="en-US"/>
        </a:p>
        <a:p>
          <a:r>
            <a:rPr lang="en-US" b="1"/>
            <a:t>2. Ethanol Balance: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1000 * 0.4 = (V₁ * 0.27) + (V₂ * 0.55) + (L₂ * 0.39)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=&gt; 0.27V₁ + 0.55V₂ + 0.39L₂ = 400</a:t>
          </a:r>
          <a:endParaRPr lang="en-US"/>
        </a:p>
        <a:p>
          <a:r>
            <a:rPr lang="en-US" b="1"/>
            <a:t>3. Butanol Balance: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1000 * 0.3 = (V₁ * 0.02) + (V₂ * 0.01) + (L₂ * 0.53)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=&gt; 0.02V₁ + 0.01V₂ + 0.53L₂ = 300</a:t>
          </a:r>
          <a:endParaRPr lang="en-US"/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gvi\Downloads\matrix\matrix.xla" TargetMode="External"/><Relationship Id="rId1" Type="http://schemas.openxmlformats.org/officeDocument/2006/relationships/externalLinkPath" Target="file:///C:\Users\digvi\Downloads\matrix\matrix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x"/>
      <sheetName val="WorkArea"/>
      <sheetName val="CommandBarMenu"/>
      <sheetName val="Functions"/>
    </sheetNames>
    <definedNames>
      <definedName name="Mpseudoinv"/>
    </defined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2A81-851C-4BC6-8E7F-B1E75615B723}">
  <dimension ref="A1:H14"/>
  <sheetViews>
    <sheetView workbookViewId="0">
      <selection activeCell="F24" sqref="F24"/>
    </sheetView>
  </sheetViews>
  <sheetFormatPr defaultRowHeight="14.25"/>
  <sheetData>
    <row r="1" spans="1:8">
      <c r="A1" t="s">
        <v>0</v>
      </c>
      <c r="E1" t="s">
        <v>1</v>
      </c>
    </row>
    <row r="2" spans="1:8">
      <c r="A2">
        <v>-1</v>
      </c>
      <c r="B2">
        <v>1</v>
      </c>
      <c r="C2">
        <v>-1</v>
      </c>
      <c r="E2">
        <v>-100</v>
      </c>
    </row>
    <row r="3" spans="1:8">
      <c r="A3">
        <v>-1.7000000000000001E-2</v>
      </c>
      <c r="B3">
        <v>0.02</v>
      </c>
      <c r="C3">
        <v>-2.2000000000000001E-3</v>
      </c>
      <c r="E3">
        <v>0</v>
      </c>
      <c r="H3" t="s">
        <v>6</v>
      </c>
    </row>
    <row r="4" spans="1:8">
      <c r="A4">
        <v>0</v>
      </c>
      <c r="B4">
        <v>0.9</v>
      </c>
      <c r="C4">
        <v>-0.98899999999999999</v>
      </c>
      <c r="E4">
        <v>0</v>
      </c>
    </row>
    <row r="6" spans="1:8">
      <c r="A6" t="s">
        <v>2</v>
      </c>
      <c r="E6" t="s">
        <v>3</v>
      </c>
    </row>
    <row r="7" spans="1:8">
      <c r="A7">
        <f t="array" ref="A7:C9">MINVERSE(A2:C4)</f>
        <v>-1.0928961748633881</v>
      </c>
      <c r="B7">
        <v>5.4644808743169406</v>
      </c>
      <c r="C7">
        <v>1.0928961748633879</v>
      </c>
      <c r="E7">
        <f t="array" ref="E7:E9">MMULT(A7:C9, E2:E4)</f>
        <v>109.28961748633881</v>
      </c>
    </row>
    <row r="8" spans="1:8">
      <c r="A8">
        <v>-1.0322956959538281</v>
      </c>
      <c r="B8">
        <v>60.723276232578129</v>
      </c>
      <c r="C8">
        <v>0.9087001903358507</v>
      </c>
      <c r="E8">
        <v>103.22956959538281</v>
      </c>
    </row>
    <row r="9" spans="1:8">
      <c r="A9">
        <v>-0.93939952109044023</v>
      </c>
      <c r="B9">
        <v>55.258795358261189</v>
      </c>
      <c r="C9">
        <v>-0.18419598452753724</v>
      </c>
      <c r="E9">
        <v>93.939952109044029</v>
      </c>
    </row>
    <row r="11" spans="1:8">
      <c r="A11" t="s">
        <v>4</v>
      </c>
      <c r="E11" t="s">
        <v>5</v>
      </c>
    </row>
    <row r="12" spans="1:8">
      <c r="A12">
        <f t="array" ref="A12:C14">[1]!Mpseudoinv(A2:C4)</f>
        <v>-1.0928961748633879</v>
      </c>
      <c r="B12">
        <v>5.4644808743169335</v>
      </c>
      <c r="C12">
        <v>1.0928961748633865</v>
      </c>
      <c r="E12">
        <f t="array" ref="E12:E14">MMULT(A12:C14, E2:E4)</f>
        <v>109.28961748633878</v>
      </c>
      <c r="H12" t="s">
        <v>7</v>
      </c>
    </row>
    <row r="13" spans="1:8">
      <c r="A13">
        <v>-1.032295695953829</v>
      </c>
      <c r="B13">
        <v>60.723276232578193</v>
      </c>
      <c r="C13">
        <v>0.9087001903358437</v>
      </c>
      <c r="E13">
        <v>103.2295695953829</v>
      </c>
    </row>
    <row r="14" spans="1:8">
      <c r="A14">
        <v>-0.93939952109044067</v>
      </c>
      <c r="B14">
        <v>55.258795358261217</v>
      </c>
      <c r="C14">
        <v>-0.1841959845275441</v>
      </c>
      <c r="E14">
        <v>93.939952109044071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5E7A-F9B0-4260-A21F-DCEB879431EC}">
  <dimension ref="A1:E9"/>
  <sheetViews>
    <sheetView workbookViewId="0">
      <selection activeCell="C11" sqref="C11"/>
    </sheetView>
  </sheetViews>
  <sheetFormatPr defaultRowHeight="14.25"/>
  <sheetData>
    <row r="1" spans="1:5">
      <c r="A1" t="s">
        <v>0</v>
      </c>
      <c r="E1" t="s">
        <v>1</v>
      </c>
    </row>
    <row r="2" spans="1:5">
      <c r="A2">
        <v>0.71</v>
      </c>
      <c r="B2">
        <v>0.44</v>
      </c>
      <c r="C2">
        <v>0.08</v>
      </c>
      <c r="E2">
        <v>300</v>
      </c>
    </row>
    <row r="3" spans="1:5">
      <c r="A3">
        <v>0.27</v>
      </c>
      <c r="B3">
        <v>0.55000000000000004</v>
      </c>
      <c r="C3">
        <v>0.39</v>
      </c>
      <c r="E3">
        <v>400</v>
      </c>
    </row>
    <row r="4" spans="1:5">
      <c r="A4">
        <v>0.02</v>
      </c>
      <c r="B4">
        <v>0.01</v>
      </c>
      <c r="C4">
        <v>0.53</v>
      </c>
      <c r="E4">
        <v>300</v>
      </c>
    </row>
    <row r="6" spans="1:5">
      <c r="A6" t="s">
        <v>8</v>
      </c>
      <c r="E6" t="s">
        <v>9</v>
      </c>
    </row>
    <row r="7" spans="1:5">
      <c r="A7">
        <f t="array" ref="A7:C9">MINVERSE(A2:C4)</f>
        <v>1.9972222222222225</v>
      </c>
      <c r="B7">
        <v>-1.6138888888888885</v>
      </c>
      <c r="C7">
        <v>0.88611111111111107</v>
      </c>
      <c r="E7">
        <f t="array" ref="E7:E9">MMULT(A7:C9, E2:E4)</f>
        <v>219.44444444444463</v>
      </c>
    </row>
    <row r="8" spans="1:5">
      <c r="A8">
        <v>-0.93958333333333344</v>
      </c>
      <c r="B8">
        <v>2.6020833333333329</v>
      </c>
      <c r="C8">
        <v>-1.7729166666666665</v>
      </c>
      <c r="E8">
        <v>227.08333333333314</v>
      </c>
    </row>
    <row r="9" spans="1:5">
      <c r="A9">
        <v>-5.7638888888888885E-2</v>
      </c>
      <c r="B9">
        <v>1.1805555555555552E-2</v>
      </c>
      <c r="C9">
        <v>1.8868055555555554</v>
      </c>
      <c r="E9">
        <v>553.47222222222217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85D8-7254-4AD7-A1DF-C112243EAA5A}">
  <dimension ref="A1:H6"/>
  <sheetViews>
    <sheetView tabSelected="1" zoomScale="75" workbookViewId="0">
      <selection activeCell="B6" sqref="B6:H6"/>
    </sheetView>
  </sheetViews>
  <sheetFormatPr defaultRowHeight="14.25"/>
  <cols>
    <col min="1" max="1" width="12.86328125" customWidth="1"/>
    <col min="2" max="2" width="15.19921875" customWidth="1"/>
    <col min="3" max="3" width="14.53125" customWidth="1"/>
    <col min="4" max="4" width="13.06640625" customWidth="1"/>
    <col min="5" max="5" width="12.9296875" customWidth="1"/>
    <col min="6" max="6" width="11.796875" customWidth="1"/>
    <col min="7" max="7" width="11.6640625" customWidth="1"/>
    <col min="8" max="8" width="12.06640625" customWidth="1"/>
  </cols>
  <sheetData>
    <row r="1" spans="1:8" ht="36.4" customHeight="1">
      <c r="A1" t="s">
        <v>10</v>
      </c>
      <c r="B1" t="s">
        <v>11</v>
      </c>
      <c r="C1" s="1" t="s">
        <v>12</v>
      </c>
      <c r="D1" s="1" t="s">
        <v>13</v>
      </c>
      <c r="E1" t="s">
        <v>14</v>
      </c>
      <c r="F1" s="2" t="s">
        <v>17</v>
      </c>
      <c r="G1" s="3" t="s">
        <v>16</v>
      </c>
      <c r="H1" s="1" t="s">
        <v>15</v>
      </c>
    </row>
    <row r="2" spans="1:8">
      <c r="A2" t="s">
        <v>18</v>
      </c>
      <c r="B2">
        <v>10</v>
      </c>
      <c r="C2">
        <f>B2*0.8</f>
        <v>8</v>
      </c>
      <c r="D2">
        <f>B2-C2</f>
        <v>2</v>
      </c>
      <c r="E2">
        <f>C2*0.7</f>
        <v>5.6</v>
      </c>
      <c r="F2">
        <f>C2-E2</f>
        <v>2.4000000000000004</v>
      </c>
      <c r="G2">
        <f>D2*0.85</f>
        <v>1.7</v>
      </c>
      <c r="H2">
        <f>D2-G2</f>
        <v>0.30000000000000004</v>
      </c>
    </row>
    <row r="3" spans="1:8">
      <c r="A3" t="s">
        <v>19</v>
      </c>
      <c r="B3">
        <v>15</v>
      </c>
      <c r="C3">
        <f>B3*0.6</f>
        <v>9</v>
      </c>
      <c r="D3">
        <f>B3-C3</f>
        <v>6</v>
      </c>
      <c r="E3">
        <f>C3*0.65</f>
        <v>5.8500000000000005</v>
      </c>
      <c r="F3">
        <f t="shared" ref="F3:F5" si="0">C3-E3</f>
        <v>3.1499999999999995</v>
      </c>
      <c r="G3">
        <f>D3*0.65</f>
        <v>3.9000000000000004</v>
      </c>
      <c r="H3">
        <f t="shared" ref="H3:H5" si="1">D3-G3</f>
        <v>2.0999999999999996</v>
      </c>
    </row>
    <row r="4" spans="1:8">
      <c r="A4" t="s">
        <v>20</v>
      </c>
      <c r="B4">
        <v>35</v>
      </c>
      <c r="C4">
        <f>B4*0.3</f>
        <v>10.5</v>
      </c>
      <c r="D4">
        <f>B4-C4</f>
        <v>24.5</v>
      </c>
      <c r="E4">
        <f>C4*0.25</f>
        <v>2.625</v>
      </c>
      <c r="F4">
        <f t="shared" si="0"/>
        <v>7.875</v>
      </c>
      <c r="G4">
        <f>D4*0.2</f>
        <v>4.9000000000000004</v>
      </c>
      <c r="H4">
        <f t="shared" si="1"/>
        <v>19.600000000000001</v>
      </c>
    </row>
    <row r="5" spans="1:8">
      <c r="A5" t="s">
        <v>21</v>
      </c>
      <c r="B5">
        <v>40</v>
      </c>
      <c r="C5">
        <f>B5*0.1</f>
        <v>4</v>
      </c>
      <c r="D5">
        <f>B5-C5</f>
        <v>36</v>
      </c>
      <c r="E5">
        <f>C5*0.05</f>
        <v>0.2</v>
      </c>
      <c r="F5">
        <f t="shared" si="0"/>
        <v>3.8</v>
      </c>
      <c r="G5">
        <f>D5*0.1</f>
        <v>3.6</v>
      </c>
      <c r="H5">
        <f t="shared" si="1"/>
        <v>32.4</v>
      </c>
    </row>
    <row r="6" spans="1:8">
      <c r="A6" t="s">
        <v>22</v>
      </c>
      <c r="B6">
        <f>SUM(B2:B5)</f>
        <v>100</v>
      </c>
      <c r="C6">
        <f t="shared" ref="C6:H6" si="2">SUM(C2:C5)</f>
        <v>31.5</v>
      </c>
      <c r="D6">
        <f t="shared" si="2"/>
        <v>68.5</v>
      </c>
      <c r="E6">
        <f t="shared" si="2"/>
        <v>14.274999999999999</v>
      </c>
      <c r="F6">
        <f t="shared" si="2"/>
        <v>17.225000000000001</v>
      </c>
      <c r="G6">
        <f t="shared" si="2"/>
        <v>14.1</v>
      </c>
      <c r="H6">
        <f t="shared" si="2"/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3.1B and 3.1C</vt:lpstr>
      <vt:lpstr>3.3</vt:lpstr>
      <vt:lpstr>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Digvijay Tomar</dc:creator>
  <cp:lastModifiedBy>Digvijay Tomar</cp:lastModifiedBy>
  <dcterms:created xsi:type="dcterms:W3CDTF">2025-10-11T00:18:25Z</dcterms:created>
  <dcterms:modified xsi:type="dcterms:W3CDTF">2025-10-11T01:05:51Z</dcterms:modified>
</cp:coreProperties>
</file>