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zy\Desktop\CHE 205\"/>
    </mc:Choice>
  </mc:AlternateContent>
  <xr:revisionPtr revIDLastSave="0" documentId="13_ncr:1_{F897C70F-EB76-4BE7-9036-F721D1E4A9ED}" xr6:coauthVersionLast="47" xr6:coauthVersionMax="47" xr10:uidLastSave="{00000000-0000-0000-0000-000000000000}"/>
  <bookViews>
    <workbookView xWindow="-108" yWindow="288" windowWidth="23256" windowHeight="12180" xr2:uid="{B905A74C-E1A1-4DB1-8FD9-38C897677F6A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9" i="4" l="1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18" i="4"/>
  <c r="N13" i="4"/>
  <c r="M42" i="4"/>
  <c r="M43" i="4" s="1"/>
  <c r="M20" i="4"/>
  <c r="M21" i="4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19" i="4"/>
  <c r="N4" i="4"/>
  <c r="N8" i="4"/>
  <c r="B18" i="4"/>
  <c r="B24" i="4"/>
  <c r="B21" i="4"/>
  <c r="B4" i="4"/>
  <c r="A10" i="4"/>
  <c r="A11" i="4" s="1"/>
  <c r="A9" i="4"/>
  <c r="B9" i="4"/>
  <c r="A5" i="4"/>
  <c r="B5" i="4" s="1"/>
  <c r="H14" i="3"/>
  <c r="J14" i="3" s="1"/>
  <c r="I14" i="3"/>
  <c r="K14" i="3" s="1"/>
  <c r="M13" i="3"/>
  <c r="L13" i="3"/>
  <c r="K13" i="3"/>
  <c r="J13" i="3"/>
  <c r="I13" i="3"/>
  <c r="H13" i="3"/>
  <c r="M12" i="3"/>
  <c r="L12" i="3"/>
  <c r="K12" i="3"/>
  <c r="J12" i="3"/>
  <c r="J16" i="2"/>
  <c r="A14" i="3"/>
  <c r="B14" i="3"/>
  <c r="D14" i="3" s="1"/>
  <c r="E14" i="3" s="1"/>
  <c r="C14" i="3"/>
  <c r="A15" i="3"/>
  <c r="C15" i="3" s="1"/>
  <c r="F13" i="3"/>
  <c r="E13" i="3"/>
  <c r="D13" i="3"/>
  <c r="C13" i="3"/>
  <c r="B13" i="3"/>
  <c r="A13" i="3"/>
  <c r="F12" i="3"/>
  <c r="E12" i="3"/>
  <c r="D12" i="3"/>
  <c r="C12" i="3"/>
  <c r="C16" i="2"/>
  <c r="H6" i="3"/>
  <c r="I6" i="3"/>
  <c r="K6" i="3" s="1"/>
  <c r="J6" i="3"/>
  <c r="M5" i="3"/>
  <c r="L5" i="3"/>
  <c r="K5" i="3"/>
  <c r="J5" i="3"/>
  <c r="I5" i="3"/>
  <c r="B5" i="3"/>
  <c r="H5" i="3"/>
  <c r="A5" i="3"/>
  <c r="M4" i="3"/>
  <c r="L4" i="3"/>
  <c r="K4" i="3"/>
  <c r="J4" i="3"/>
  <c r="A6" i="3"/>
  <c r="B6" i="3"/>
  <c r="D6" i="3" s="1"/>
  <c r="C6" i="3"/>
  <c r="F5" i="3"/>
  <c r="E5" i="3"/>
  <c r="E4" i="3"/>
  <c r="D5" i="3"/>
  <c r="C5" i="3"/>
  <c r="F4" i="3"/>
  <c r="D4" i="3"/>
  <c r="C4" i="3"/>
  <c r="C5" i="2"/>
  <c r="K17" i="2"/>
  <c r="H17" i="2"/>
  <c r="J17" i="2" s="1"/>
  <c r="I17" i="2"/>
  <c r="M16" i="2"/>
  <c r="L16" i="2"/>
  <c r="K16" i="2"/>
  <c r="Q19" i="1"/>
  <c r="D17" i="2"/>
  <c r="B17" i="2"/>
  <c r="A17" i="2"/>
  <c r="E17" i="2" s="1"/>
  <c r="F17" i="2" s="1"/>
  <c r="B18" i="2" s="1"/>
  <c r="D18" i="2" s="1"/>
  <c r="F16" i="2"/>
  <c r="E16" i="2"/>
  <c r="D16" i="2"/>
  <c r="Q3" i="1"/>
  <c r="F3" i="1"/>
  <c r="A8" i="2"/>
  <c r="C8" i="2" s="1"/>
  <c r="B8" i="2"/>
  <c r="D8" i="2" s="1"/>
  <c r="A7" i="2"/>
  <c r="C7" i="2" s="1"/>
  <c r="B7" i="2"/>
  <c r="D7" i="2" s="1"/>
  <c r="A6" i="2"/>
  <c r="C6" i="2" s="1"/>
  <c r="B6" i="2"/>
  <c r="H12" i="2"/>
  <c r="J12" i="2" s="1"/>
  <c r="I12" i="2"/>
  <c r="K12" i="2" s="1"/>
  <c r="H10" i="2"/>
  <c r="J10" i="2" s="1"/>
  <c r="I10" i="2"/>
  <c r="K10" i="2" s="1"/>
  <c r="H9" i="2"/>
  <c r="L9" i="2" s="1"/>
  <c r="M9" i="2" s="1"/>
  <c r="I9" i="2"/>
  <c r="K9" i="2" s="1"/>
  <c r="J9" i="2"/>
  <c r="H8" i="2"/>
  <c r="L8" i="2" s="1"/>
  <c r="M8" i="2" s="1"/>
  <c r="I8" i="2"/>
  <c r="K8" i="2" s="1"/>
  <c r="H7" i="2"/>
  <c r="L7" i="2" s="1"/>
  <c r="M7" i="2" s="1"/>
  <c r="I7" i="2"/>
  <c r="K7" i="2" s="1"/>
  <c r="I6" i="2"/>
  <c r="K6" i="2" s="1"/>
  <c r="J6" i="2"/>
  <c r="H6" i="2"/>
  <c r="M5" i="2"/>
  <c r="L5" i="2"/>
  <c r="K5" i="2"/>
  <c r="J5" i="2"/>
  <c r="D5" i="2"/>
  <c r="E5" i="2"/>
  <c r="F5" i="2" s="1"/>
  <c r="C20" i="1"/>
  <c r="Q20" i="1"/>
  <c r="Q21" i="1"/>
  <c r="Q22" i="1"/>
  <c r="Q23" i="1"/>
  <c r="Q24" i="1"/>
  <c r="Q4" i="1"/>
  <c r="Q5" i="1"/>
  <c r="Q6" i="1"/>
  <c r="Q7" i="1"/>
  <c r="Q8" i="1"/>
  <c r="Q9" i="1"/>
  <c r="Q10" i="1"/>
  <c r="C17" i="1"/>
  <c r="C14" i="1"/>
  <c r="C11" i="1"/>
  <c r="P21" i="1"/>
  <c r="P22" i="1"/>
  <c r="P23" i="1" s="1"/>
  <c r="P24" i="1" s="1"/>
  <c r="P20" i="1"/>
  <c r="P5" i="1"/>
  <c r="P6" i="1" s="1"/>
  <c r="P7" i="1" s="1"/>
  <c r="P8" i="1" s="1"/>
  <c r="P9" i="1" s="1"/>
  <c r="P10" i="1" s="1"/>
  <c r="P4" i="1"/>
  <c r="F20" i="1"/>
  <c r="F21" i="1"/>
  <c r="F22" i="1"/>
  <c r="F23" i="1"/>
  <c r="F24" i="1"/>
  <c r="F19" i="1"/>
  <c r="E21" i="1"/>
  <c r="E22" i="1" s="1"/>
  <c r="E23" i="1" s="1"/>
  <c r="E24" i="1" s="1"/>
  <c r="E20" i="1"/>
  <c r="E4" i="1"/>
  <c r="F4" i="1" s="1"/>
  <c r="B11" i="4" l="1"/>
  <c r="A12" i="4"/>
  <c r="B10" i="4"/>
  <c r="A6" i="4"/>
  <c r="H15" i="3"/>
  <c r="J15" i="3" s="1"/>
  <c r="L14" i="3"/>
  <c r="L17" i="2"/>
  <c r="M17" i="2" s="1"/>
  <c r="I18" i="2" s="1"/>
  <c r="K18" i="2" s="1"/>
  <c r="F14" i="3"/>
  <c r="B15" i="3"/>
  <c r="C17" i="2"/>
  <c r="A18" i="2" s="1"/>
  <c r="E18" i="2" s="1"/>
  <c r="F18" i="2" s="1"/>
  <c r="B19" i="2" s="1"/>
  <c r="D19" i="2" s="1"/>
  <c r="H7" i="3"/>
  <c r="J7" i="3" s="1"/>
  <c r="L6" i="3"/>
  <c r="A7" i="3"/>
  <c r="C7" i="3" s="1"/>
  <c r="E6" i="3"/>
  <c r="E8" i="2"/>
  <c r="F8" i="2" s="1"/>
  <c r="A9" i="2" s="1"/>
  <c r="E7" i="2"/>
  <c r="F7" i="2" s="1"/>
  <c r="L12" i="2"/>
  <c r="M12" i="2" s="1"/>
  <c r="L10" i="2"/>
  <c r="M10" i="2" s="1"/>
  <c r="I11" i="2" s="1"/>
  <c r="K11" i="2" s="1"/>
  <c r="J8" i="2"/>
  <c r="J7" i="2"/>
  <c r="L6" i="2"/>
  <c r="M6" i="2" s="1"/>
  <c r="D6" i="2"/>
  <c r="E6" i="2"/>
  <c r="F6" i="2" s="1"/>
  <c r="E5" i="1"/>
  <c r="B12" i="4" l="1"/>
  <c r="A13" i="4"/>
  <c r="A7" i="4"/>
  <c r="B6" i="4"/>
  <c r="M14" i="3"/>
  <c r="I15" i="3"/>
  <c r="H18" i="2"/>
  <c r="D15" i="3"/>
  <c r="E15" i="3" s="1"/>
  <c r="A16" i="3"/>
  <c r="C16" i="3" s="1"/>
  <c r="C18" i="2"/>
  <c r="A19" i="2" s="1"/>
  <c r="M6" i="3"/>
  <c r="I7" i="3"/>
  <c r="F6" i="3"/>
  <c r="B7" i="3"/>
  <c r="E19" i="2"/>
  <c r="F19" i="2" s="1"/>
  <c r="B20" i="2" s="1"/>
  <c r="D20" i="2" s="1"/>
  <c r="C19" i="2"/>
  <c r="C9" i="2"/>
  <c r="B9" i="2"/>
  <c r="D9" i="2" s="1"/>
  <c r="H11" i="2"/>
  <c r="E6" i="1"/>
  <c r="F5" i="1"/>
  <c r="B13" i="4" l="1"/>
  <c r="A14" i="4"/>
  <c r="B14" i="4" s="1"/>
  <c r="A8" i="4"/>
  <c r="B8" i="4" s="1"/>
  <c r="B7" i="4"/>
  <c r="H16" i="3"/>
  <c r="J16" i="3" s="1"/>
  <c r="K15" i="3"/>
  <c r="L15" i="3" s="1"/>
  <c r="J18" i="2"/>
  <c r="L18" i="2"/>
  <c r="M18" i="2" s="1"/>
  <c r="I19" i="2" s="1"/>
  <c r="K19" i="2" s="1"/>
  <c r="F15" i="3"/>
  <c r="B16" i="3"/>
  <c r="H8" i="3"/>
  <c r="J8" i="3" s="1"/>
  <c r="K7" i="3"/>
  <c r="L7" i="3"/>
  <c r="A8" i="3"/>
  <c r="C8" i="3" s="1"/>
  <c r="D7" i="3"/>
  <c r="E7" i="3"/>
  <c r="A20" i="2"/>
  <c r="E9" i="2"/>
  <c r="F9" i="2" s="1"/>
  <c r="A10" i="2" s="1"/>
  <c r="J11" i="2"/>
  <c r="L11" i="2"/>
  <c r="M11" i="2" s="1"/>
  <c r="E7" i="1"/>
  <c r="F6" i="1"/>
  <c r="M15" i="3" l="1"/>
  <c r="I16" i="3"/>
  <c r="H19" i="2"/>
  <c r="A17" i="3"/>
  <c r="C17" i="3" s="1"/>
  <c r="D16" i="3"/>
  <c r="E16" i="3" s="1"/>
  <c r="M7" i="3"/>
  <c r="I8" i="3"/>
  <c r="F7" i="3"/>
  <c r="B8" i="3"/>
  <c r="E20" i="2"/>
  <c r="F20" i="2" s="1"/>
  <c r="B21" i="2" s="1"/>
  <c r="D21" i="2" s="1"/>
  <c r="C20" i="2"/>
  <c r="A21" i="2" s="1"/>
  <c r="C10" i="2"/>
  <c r="B10" i="2"/>
  <c r="D10" i="2" s="1"/>
  <c r="E8" i="1"/>
  <c r="F7" i="1"/>
  <c r="H17" i="3" l="1"/>
  <c r="J17" i="3" s="1"/>
  <c r="K16" i="3"/>
  <c r="L16" i="3"/>
  <c r="L19" i="2"/>
  <c r="M19" i="2" s="1"/>
  <c r="I20" i="2" s="1"/>
  <c r="K20" i="2" s="1"/>
  <c r="J19" i="2"/>
  <c r="H20" i="2" s="1"/>
  <c r="F16" i="3"/>
  <c r="B17" i="3"/>
  <c r="K8" i="3"/>
  <c r="L8" i="3" s="1"/>
  <c r="M8" i="3" s="1"/>
  <c r="D8" i="3"/>
  <c r="E8" i="3" s="1"/>
  <c r="C21" i="2"/>
  <c r="E21" i="2"/>
  <c r="F21" i="2" s="1"/>
  <c r="B22" i="2" s="1"/>
  <c r="D22" i="2" s="1"/>
  <c r="E10" i="2"/>
  <c r="F10" i="2" s="1"/>
  <c r="B11" i="2" s="1"/>
  <c r="D11" i="2" s="1"/>
  <c r="E9" i="1"/>
  <c r="F8" i="1"/>
  <c r="I17" i="3" l="1"/>
  <c r="M16" i="3"/>
  <c r="L20" i="2"/>
  <c r="M20" i="2" s="1"/>
  <c r="I21" i="2" s="1"/>
  <c r="K21" i="2" s="1"/>
  <c r="J20" i="2"/>
  <c r="H21" i="2" s="1"/>
  <c r="A18" i="3"/>
  <c r="C18" i="3" s="1"/>
  <c r="D17" i="3"/>
  <c r="E17" i="3" s="1"/>
  <c r="F8" i="3"/>
  <c r="A22" i="2"/>
  <c r="A11" i="2"/>
  <c r="E10" i="1"/>
  <c r="F9" i="1"/>
  <c r="K17" i="3" l="1"/>
  <c r="L17" i="3" s="1"/>
  <c r="H18" i="3"/>
  <c r="J18" i="3" s="1"/>
  <c r="L21" i="2"/>
  <c r="M21" i="2" s="1"/>
  <c r="I22" i="2" s="1"/>
  <c r="K22" i="2" s="1"/>
  <c r="J21" i="2"/>
  <c r="H22" i="2" s="1"/>
  <c r="B18" i="3"/>
  <c r="F17" i="3"/>
  <c r="E22" i="2"/>
  <c r="F22" i="2" s="1"/>
  <c r="C22" i="2"/>
  <c r="C11" i="2"/>
  <c r="E11" i="2"/>
  <c r="F11" i="2" s="1"/>
  <c r="B12" i="2" s="1"/>
  <c r="D12" i="2" s="1"/>
  <c r="E11" i="1"/>
  <c r="F10" i="1"/>
  <c r="M17" i="3" l="1"/>
  <c r="I18" i="3"/>
  <c r="J22" i="2"/>
  <c r="L22" i="2"/>
  <c r="M22" i="2" s="1"/>
  <c r="I23" i="2" s="1"/>
  <c r="K23" i="2" s="1"/>
  <c r="D18" i="3"/>
  <c r="E18" i="3" s="1"/>
  <c r="A19" i="3"/>
  <c r="C19" i="3" s="1"/>
  <c r="A12" i="2"/>
  <c r="F11" i="1"/>
  <c r="E12" i="1"/>
  <c r="F12" i="1" s="1"/>
  <c r="K18" i="3" l="1"/>
  <c r="L18" i="3" s="1"/>
  <c r="H19" i="3"/>
  <c r="J19" i="3" s="1"/>
  <c r="H23" i="2"/>
  <c r="B19" i="3"/>
  <c r="F18" i="3"/>
  <c r="C12" i="2"/>
  <c r="E12" i="2"/>
  <c r="F12" i="2" s="1"/>
  <c r="M18" i="3" l="1"/>
  <c r="I19" i="3"/>
  <c r="J23" i="2"/>
  <c r="H24" i="2" s="1"/>
  <c r="L23" i="2"/>
  <c r="M23" i="2" s="1"/>
  <c r="I24" i="2" s="1"/>
  <c r="K24" i="2" s="1"/>
  <c r="E19" i="3"/>
  <c r="D19" i="3"/>
  <c r="K19" i="3" l="1"/>
  <c r="L19" i="3" s="1"/>
  <c r="M19" i="3" s="1"/>
  <c r="L24" i="2"/>
  <c r="M24" i="2" s="1"/>
  <c r="I25" i="2" s="1"/>
  <c r="K25" i="2" s="1"/>
  <c r="J24" i="2"/>
  <c r="F19" i="3"/>
  <c r="H25" i="2" l="1"/>
  <c r="J25" i="2" l="1"/>
  <c r="L25" i="2"/>
  <c r="M25" i="2" s="1"/>
</calcChain>
</file>

<file path=xl/sharedStrings.xml><?xml version="1.0" encoding="utf-8"?>
<sst xmlns="http://schemas.openxmlformats.org/spreadsheetml/2006/main" count="131" uniqueCount="43">
  <si>
    <t xml:space="preserve">Problem 1 </t>
  </si>
  <si>
    <t>f(x)=x-x^(1/3)-2</t>
  </si>
  <si>
    <t>b)</t>
  </si>
  <si>
    <t>a)</t>
  </si>
  <si>
    <t>f(x)=x*tan(x)-1</t>
  </si>
  <si>
    <t>c)</t>
  </si>
  <si>
    <t>d)</t>
  </si>
  <si>
    <t>f(x)=(x^4)-(e^x)+1</t>
  </si>
  <si>
    <t>f(x)=(x^2)*(e^x)-1</t>
  </si>
  <si>
    <t>Part a</t>
  </si>
  <si>
    <t>x</t>
  </si>
  <si>
    <t>y</t>
  </si>
  <si>
    <t>Part b</t>
  </si>
  <si>
    <t>Part c</t>
  </si>
  <si>
    <t>Part d</t>
  </si>
  <si>
    <t>GoalSeek</t>
  </si>
  <si>
    <t>Problem 2</t>
  </si>
  <si>
    <t>bisection method</t>
  </si>
  <si>
    <t>x1</t>
  </si>
  <si>
    <t>x2</t>
  </si>
  <si>
    <t>f(x1)</t>
  </si>
  <si>
    <t>f(x2)</t>
  </si>
  <si>
    <t>xnew</t>
  </si>
  <si>
    <t>f(xnew)</t>
  </si>
  <si>
    <t>Problem 3</t>
  </si>
  <si>
    <t>secant method</t>
  </si>
  <si>
    <t>f(x3)</t>
  </si>
  <si>
    <t>x3</t>
  </si>
  <si>
    <t>Problem 4</t>
  </si>
  <si>
    <t xml:space="preserve">Part a </t>
  </si>
  <si>
    <t>f(x) = x3 – 17x + 12 = 0</t>
  </si>
  <si>
    <t>for Part a</t>
  </si>
  <si>
    <t>for Part b</t>
  </si>
  <si>
    <t>J1(x) = 0</t>
  </si>
  <si>
    <t>for Part c</t>
  </si>
  <si>
    <t>f(Vm​)=(P+Vm2​a​)(Vm​−b)−RT</t>
  </si>
  <si>
    <t>Vm</t>
  </si>
  <si>
    <t>for Part d</t>
  </si>
  <si>
    <t>Colebrook equation</t>
  </si>
  <si>
    <t>f</t>
  </si>
  <si>
    <t>Part e</t>
  </si>
  <si>
    <t>Reynolds numbers</t>
  </si>
  <si>
    <t>friction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</si>
</sst>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0.00000"/>
    <numFmt numFmtId="170" formatCode="0.0000"/>
    <numFmt numFmtId="171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</a:t>
            </a:r>
            <a:r>
              <a:rPr lang="en-US" baseline="0"/>
              <a:t> 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f(x)=x-x^(1/3)-2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Sheet1!$E$3:$E$12</c:f>
              <c:numCache>
                <c:formatCode>General</c:formatCode>
                <c:ptCount val="10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</c:numCache>
            </c:numRef>
          </c:xVal>
          <c:yVal>
            <c:numRef>
              <c:f>Sheet1!$F$3:$F$12</c:f>
              <c:numCache>
                <c:formatCode>General</c:formatCode>
                <c:ptCount val="10"/>
                <c:pt idx="0">
                  <c:v>-3.5577504296925917</c:v>
                </c:pt>
                <c:pt idx="1">
                  <c:v>-2.7400789501051266</c:v>
                </c:pt>
                <c:pt idx="2">
                  <c:v>-2</c:v>
                </c:pt>
                <c:pt idx="3">
                  <c:v>-2</c:v>
                </c:pt>
                <c:pt idx="4">
                  <c:v>-2</c:v>
                </c:pt>
                <c:pt idx="5">
                  <c:v>-1.2599210498948732</c:v>
                </c:pt>
                <c:pt idx="6">
                  <c:v>-0.4422495703074083</c:v>
                </c:pt>
                <c:pt idx="7">
                  <c:v>0.41259894803180064</c:v>
                </c:pt>
                <c:pt idx="8">
                  <c:v>1.2900240533233029</c:v>
                </c:pt>
                <c:pt idx="9">
                  <c:v>2.1828794071678601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78-4892-A123-DA5641417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4908304"/>
        <c:axId val="1984908720"/>
      </c:scatterChart>
      <c:valAx>
        <c:axId val="198490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908720"/>
        <c:crosses val="autoZero"/>
        <c:crossBetween val="midCat"/>
      </c:valAx>
      <c:valAx>
        <c:axId val="198490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90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 for Part b</a:t>
            </a:r>
          </a:p>
        </c:rich>
      </c:tx>
      <c:layout>
        <c:manualLayout>
          <c:xMode val="edge"/>
          <c:yMode val="edge"/>
          <c:x val="0.3481178915135608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Sheet1!$F$18</c:f>
              <c:strCache>
                <c:ptCount val="1"/>
                <c:pt idx="0">
                  <c:v>f(x)=x*tan(x)-1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Sheet1!$E$19:$E$24</c:f>
              <c:numCache>
                <c:formatCode>General</c:formatCode>
                <c:ptCount val="6"/>
                <c:pt idx="0">
                  <c:v>-2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</c:numCache>
            </c:numRef>
          </c:xVal>
          <c:yVal>
            <c:numRef>
              <c:f>Sheet1!$F$19:$F$24</c:f>
              <c:numCache>
                <c:formatCode>General</c:formatCode>
                <c:ptCount val="6"/>
                <c:pt idx="0">
                  <c:v>-5.3700797265230378</c:v>
                </c:pt>
                <c:pt idx="1">
                  <c:v>0.55740772465490229</c:v>
                </c:pt>
                <c:pt idx="2">
                  <c:v>-1</c:v>
                </c:pt>
                <c:pt idx="3">
                  <c:v>0.55740772465490229</c:v>
                </c:pt>
                <c:pt idx="4">
                  <c:v>-5.3700797265230378</c:v>
                </c:pt>
                <c:pt idx="5">
                  <c:v>-1.4276396292228335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E3-429A-8877-94DC01343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8781216"/>
        <c:axId val="1988783712"/>
      </c:scatterChart>
      <c:valAx>
        <c:axId val="198878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783712"/>
        <c:crosses val="autoZero"/>
        <c:crossBetween val="midCat"/>
      </c:valAx>
      <c:valAx>
        <c:axId val="198878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781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 for Part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Sheet1!$P$3:$P$10</c:f>
              <c:numCache>
                <c:formatCode>General</c:formatCode>
                <c:ptCount val="8"/>
                <c:pt idx="0">
                  <c:v>-2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</c:numCache>
            </c:numRef>
          </c:xVal>
          <c:yVal>
            <c:numRef>
              <c:f>Sheet1!$Q$3:$Q$10</c:f>
              <c:numCache>
                <c:formatCode>General</c:formatCode>
                <c:ptCount val="8"/>
                <c:pt idx="0">
                  <c:v>16.864664716763386</c:v>
                </c:pt>
                <c:pt idx="1">
                  <c:v>1.6321205588285577</c:v>
                </c:pt>
                <c:pt idx="2">
                  <c:v>0</c:v>
                </c:pt>
                <c:pt idx="3">
                  <c:v>-0.71828182845904509</c:v>
                </c:pt>
                <c:pt idx="4">
                  <c:v>9.6109439010693496</c:v>
                </c:pt>
                <c:pt idx="5">
                  <c:v>61.914463076812332</c:v>
                </c:pt>
                <c:pt idx="6">
                  <c:v>202.40184996685576</c:v>
                </c:pt>
                <c:pt idx="7">
                  <c:v>477.58684089742337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07-49BC-A5F6-7C0658C29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235936"/>
        <c:axId val="1918237184"/>
      </c:scatterChart>
      <c:valAx>
        <c:axId val="191823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237184"/>
        <c:crosses val="autoZero"/>
        <c:crossBetween val="midCat"/>
      </c:valAx>
      <c:valAx>
        <c:axId val="191823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235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</a:t>
            </a:r>
            <a:r>
              <a:rPr lang="en-US" baseline="0"/>
              <a:t> for Part 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Sheet1!$P$19:$P$24</c:f>
              <c:numCache>
                <c:formatCode>General</c:formatCode>
                <c:ptCount val="6"/>
                <c:pt idx="0">
                  <c:v>-2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</c:numCache>
            </c:numRef>
          </c:xVal>
          <c:yVal>
            <c:numRef>
              <c:f>Sheet1!$Q$19:$Q$24</c:f>
              <c:numCache>
                <c:formatCode>General</c:formatCode>
                <c:ptCount val="6"/>
                <c:pt idx="0">
                  <c:v>-0.45865886705354919</c:v>
                </c:pt>
                <c:pt idx="1">
                  <c:v>-0.63212055882855767</c:v>
                </c:pt>
                <c:pt idx="2">
                  <c:v>-1</c:v>
                </c:pt>
                <c:pt idx="3">
                  <c:v>1.7182818284590451</c:v>
                </c:pt>
                <c:pt idx="4">
                  <c:v>28.556224395722602</c:v>
                </c:pt>
                <c:pt idx="5">
                  <c:v>179.76983230868902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EC-405F-BA42-A7DB20DF2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695552"/>
        <c:axId val="2037702208"/>
      </c:scatterChart>
      <c:valAx>
        <c:axId val="203769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702208"/>
        <c:crosses val="autoZero"/>
        <c:crossBetween val="midCat"/>
      </c:valAx>
      <c:valAx>
        <c:axId val="203770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69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 for Part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Sheet4!$A$4:$A$14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Sheet4!$B$4:$B$14</c:f>
              <c:numCache>
                <c:formatCode>General</c:formatCode>
                <c:ptCount val="11"/>
                <c:pt idx="0">
                  <c:v>-28</c:v>
                </c:pt>
                <c:pt idx="1">
                  <c:v>16</c:v>
                </c:pt>
                <c:pt idx="2">
                  <c:v>36</c:v>
                </c:pt>
                <c:pt idx="3">
                  <c:v>38</c:v>
                </c:pt>
                <c:pt idx="4">
                  <c:v>28</c:v>
                </c:pt>
                <c:pt idx="5">
                  <c:v>12</c:v>
                </c:pt>
                <c:pt idx="6">
                  <c:v>-4</c:v>
                </c:pt>
                <c:pt idx="7">
                  <c:v>-14</c:v>
                </c:pt>
                <c:pt idx="8">
                  <c:v>-12</c:v>
                </c:pt>
                <c:pt idx="9">
                  <c:v>8</c:v>
                </c:pt>
                <c:pt idx="10">
                  <c:v>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F5-4878-A7CA-75A2B1BF9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026256"/>
        <c:axId val="2044027088"/>
      </c:scatterChart>
      <c:valAx>
        <c:axId val="204402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027088"/>
        <c:crosses val="autoZero"/>
        <c:crossBetween val="midCat"/>
      </c:valAx>
      <c:valAx>
        <c:axId val="204402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02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Friction Factor vs Reynolds Number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Sheet4!$M$18:$M$43</c:f>
              <c:numCache>
                <c:formatCode>General</c:formatCode>
                <c:ptCount val="26"/>
                <c:pt idx="0">
                  <c:v>5000</c:v>
                </c:pt>
                <c:pt idx="1">
                  <c:v>6000</c:v>
                </c:pt>
                <c:pt idx="2">
                  <c:v>7000</c:v>
                </c:pt>
                <c:pt idx="3">
                  <c:v>8000</c:v>
                </c:pt>
                <c:pt idx="4">
                  <c:v>9000</c:v>
                </c:pt>
                <c:pt idx="5">
                  <c:v>10000</c:v>
                </c:pt>
                <c:pt idx="6">
                  <c:v>11000</c:v>
                </c:pt>
                <c:pt idx="7">
                  <c:v>12000</c:v>
                </c:pt>
                <c:pt idx="8">
                  <c:v>13000</c:v>
                </c:pt>
                <c:pt idx="9">
                  <c:v>14000</c:v>
                </c:pt>
                <c:pt idx="10">
                  <c:v>15000</c:v>
                </c:pt>
                <c:pt idx="11">
                  <c:v>16000</c:v>
                </c:pt>
                <c:pt idx="12">
                  <c:v>17000</c:v>
                </c:pt>
                <c:pt idx="13">
                  <c:v>18000</c:v>
                </c:pt>
                <c:pt idx="14">
                  <c:v>19000</c:v>
                </c:pt>
                <c:pt idx="15">
                  <c:v>20000</c:v>
                </c:pt>
                <c:pt idx="16">
                  <c:v>21000</c:v>
                </c:pt>
                <c:pt idx="17">
                  <c:v>22000</c:v>
                </c:pt>
                <c:pt idx="18">
                  <c:v>23000</c:v>
                </c:pt>
                <c:pt idx="19">
                  <c:v>24000</c:v>
                </c:pt>
                <c:pt idx="20">
                  <c:v>25000</c:v>
                </c:pt>
                <c:pt idx="21">
                  <c:v>26000</c:v>
                </c:pt>
                <c:pt idx="22">
                  <c:v>27000</c:v>
                </c:pt>
                <c:pt idx="23">
                  <c:v>28000</c:v>
                </c:pt>
                <c:pt idx="24">
                  <c:v>29000</c:v>
                </c:pt>
                <c:pt idx="25">
                  <c:v>30000</c:v>
                </c:pt>
              </c:numCache>
            </c:numRef>
          </c:xVal>
          <c:yVal>
            <c:numRef>
              <c:f>Sheet4!$N$18:$N$43</c:f>
              <c:numCache>
                <c:formatCode>0.0000</c:formatCode>
                <c:ptCount val="26"/>
                <c:pt idx="0">
                  <c:v>3.7504400903214601E-2</c:v>
                </c:pt>
                <c:pt idx="1">
                  <c:v>3.562406706563629E-2</c:v>
                </c:pt>
                <c:pt idx="2">
                  <c:v>3.4140216328408052E-2</c:v>
                </c:pt>
                <c:pt idx="3">
                  <c:v>3.2917898902166905E-2</c:v>
                </c:pt>
                <c:pt idx="4">
                  <c:v>3.1903796940315567E-2</c:v>
                </c:pt>
                <c:pt idx="5">
                  <c:v>3.1034359989761607E-2</c:v>
                </c:pt>
                <c:pt idx="6">
                  <c:v>3.0277276304985844E-2</c:v>
                </c:pt>
                <c:pt idx="7">
                  <c:v>2.9609593868723014E-2</c:v>
                </c:pt>
                <c:pt idx="8">
                  <c:v>2.9014486996039299E-2</c:v>
                </c:pt>
                <c:pt idx="9">
                  <c:v>2.8479294172193293E-2</c:v>
                </c:pt>
                <c:pt idx="10">
                  <c:v>2.7994274871899639E-2</c:v>
                </c:pt>
                <c:pt idx="11">
                  <c:v>2.7544933868047447E-2</c:v>
                </c:pt>
                <c:pt idx="12">
                  <c:v>2.7142510891667523E-2</c:v>
                </c:pt>
                <c:pt idx="13">
                  <c:v>2.676884545784872E-2</c:v>
                </c:pt>
                <c:pt idx="14">
                  <c:v>2.6422480712281333E-2</c:v>
                </c:pt>
                <c:pt idx="15">
                  <c:v>2.6100134449428974E-2</c:v>
                </c:pt>
                <c:pt idx="16">
                  <c:v>2.5799058351702934E-2</c:v>
                </c:pt>
                <c:pt idx="17">
                  <c:v>2.5516930617617294E-2</c:v>
                </c:pt>
                <c:pt idx="18">
                  <c:v>2.5251773950225282E-2</c:v>
                </c:pt>
                <c:pt idx="19">
                  <c:v>2.5001892100744917E-2</c:v>
                </c:pt>
                <c:pt idx="20">
                  <c:v>2.4765820189545623E-2</c:v>
                </c:pt>
                <c:pt idx="21">
                  <c:v>2.4542285394685538E-2</c:v>
                </c:pt>
                <c:pt idx="22">
                  <c:v>2.4330175537991779E-2</c:v>
                </c:pt>
                <c:pt idx="23">
                  <c:v>2.4128513754914552E-2</c:v>
                </c:pt>
                <c:pt idx="24">
                  <c:v>2.3936437899510155E-2</c:v>
                </c:pt>
                <c:pt idx="25">
                  <c:v>2.37531836701327E-2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23-49D2-A8F4-A8A29B0B75E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2035427856"/>
        <c:axId val="2035429936"/>
      </c:scatterChart>
      <c:valAx>
        <c:axId val="203542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Reynolds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429936"/>
        <c:crosses val="autoZero"/>
        <c:crossBetween val="midCat"/>
      </c:valAx>
      <c:valAx>
        <c:axId val="203542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Friction factor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42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426720</xdr:colOff>
      <xdr:row>0</xdr:row>
      <xdr:rowOff>133350</xdr:rowOff>
    </xdr:from>
    <xdr:to>
      <xdr:col>14</xdr:col>
      <xdr:colOff>236220</xdr:colOff>
      <xdr:row>14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A20AE5-C77D-4DA4-BF36-B5660B26A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442452</xdr:colOff>
      <xdr:row>15</xdr:row>
      <xdr:rowOff>134210</xdr:rowOff>
    </xdr:from>
    <xdr:to>
      <xdr:col>14</xdr:col>
      <xdr:colOff>320531</xdr:colOff>
      <xdr:row>29</xdr:row>
      <xdr:rowOff>159775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E1AF6B-538A-4B94-9850-48BAADA61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198783</xdr:colOff>
      <xdr:row>1</xdr:row>
      <xdr:rowOff>48869</xdr:rowOff>
    </xdr:from>
    <xdr:to>
      <xdr:col>24</xdr:col>
      <xdr:colOff>207065</xdr:colOff>
      <xdr:row>13</xdr:row>
      <xdr:rowOff>107674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92CF90-7E18-434D-8080-E2DA83B58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132521</xdr:colOff>
      <xdr:row>14</xdr:row>
      <xdr:rowOff>82825</xdr:rowOff>
    </xdr:from>
    <xdr:to>
      <xdr:col>24</xdr:col>
      <xdr:colOff>571500</xdr:colOff>
      <xdr:row>27</xdr:row>
      <xdr:rowOff>50523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5AC27D-78E9-4847-8DC2-75A1113DF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182880</xdr:colOff>
      <xdr:row>1</xdr:row>
      <xdr:rowOff>68580</xdr:rowOff>
    </xdr:from>
    <xdr:to>
      <xdr:col>11</xdr:col>
      <xdr:colOff>487680</xdr:colOff>
      <xdr:row>16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6ABCA3-ECB7-4714-B831-30104B8EE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296333</xdr:colOff>
      <xdr:row>16</xdr:row>
      <xdr:rowOff>157690</xdr:rowOff>
    </xdr:from>
    <xdr:to>
      <xdr:col>22</xdr:col>
      <xdr:colOff>571500</xdr:colOff>
      <xdr:row>32</xdr:row>
      <xdr:rowOff>22224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2BFC8E-A557-4720-9D3B-7090FF90D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6F879-D35D-43EB-AD7B-FBA4E964FF96}">
  <dimension ref="A1:Q24"/>
  <sheetViews>
    <sheetView tabSelected="1" zoomScale="59" workbookViewId="0">
      <selection activeCell="Q20" sqref="Q20"/>
    </sheetView>
  </sheetViews>
  <sheetFormatPr defaultRowHeight="14.4" x14ac:dyDescent="0.3"/>
  <cols>
    <col min="1" max="1" width="10.6640625" customWidth="1"/>
    <col min="2" max="2" width="16.44140625" customWidth="1"/>
    <col min="3" max="3" width="17.109375" customWidth="1"/>
    <col min="6" max="6" width="16.44140625" customWidth="1"/>
    <col min="17" max="17" width="16.109375" customWidth="1"/>
  </cols>
  <sheetData>
    <row r="1" spans="1:17" x14ac:dyDescent="0.3">
      <c r="A1" t="s">
        <v>0</v>
      </c>
      <c r="E1" t="s">
        <v>9</v>
      </c>
      <c r="P1" t="s">
        <v>13</v>
      </c>
    </row>
    <row r="2" spans="1:17" x14ac:dyDescent="0.3">
      <c r="E2" t="s">
        <v>10</v>
      </c>
      <c r="F2" t="s">
        <v>1</v>
      </c>
      <c r="P2" t="s">
        <v>10</v>
      </c>
      <c r="Q2" t="s">
        <v>7</v>
      </c>
    </row>
    <row r="3" spans="1:17" x14ac:dyDescent="0.3">
      <c r="A3" t="s">
        <v>3</v>
      </c>
      <c r="B3" t="s">
        <v>1</v>
      </c>
      <c r="E3">
        <v>-3</v>
      </c>
      <c r="F3">
        <f>E3-E3^(1/3)-2</f>
        <v>-3.5577504296925917</v>
      </c>
      <c r="P3">
        <v>-2</v>
      </c>
      <c r="Q3">
        <f>(P3^4)-EXP(P3)+1</f>
        <v>16.864664716763386</v>
      </c>
    </row>
    <row r="4" spans="1:17" x14ac:dyDescent="0.3">
      <c r="A4" t="s">
        <v>2</v>
      </c>
      <c r="B4" t="s">
        <v>4</v>
      </c>
      <c r="E4">
        <f>E3+1</f>
        <v>-2</v>
      </c>
      <c r="F4">
        <f t="shared" ref="F4:F12" si="0">E4-E4^(1/3)-2</f>
        <v>-2.7400789501051266</v>
      </c>
      <c r="P4">
        <f>P3+1</f>
        <v>-1</v>
      </c>
      <c r="Q4">
        <f t="shared" ref="Q4:Q10" si="1">(P4^4)-EXP(P4)+1</f>
        <v>1.6321205588285577</v>
      </c>
    </row>
    <row r="5" spans="1:17" x14ac:dyDescent="0.3">
      <c r="A5" t="s">
        <v>5</v>
      </c>
      <c r="B5" t="s">
        <v>7</v>
      </c>
      <c r="E5">
        <f t="shared" ref="E5:E12" si="2">E4+1</f>
        <v>-1</v>
      </c>
      <c r="F5">
        <f t="shared" si="0"/>
        <v>-2</v>
      </c>
      <c r="P5">
        <f t="shared" ref="P5:P12" si="3">P4+1</f>
        <v>0</v>
      </c>
      <c r="Q5">
        <f t="shared" si="1"/>
        <v>0</v>
      </c>
    </row>
    <row r="6" spans="1:17" x14ac:dyDescent="0.3">
      <c r="A6" t="s">
        <v>6</v>
      </c>
      <c r="B6" t="s">
        <v>8</v>
      </c>
      <c r="E6">
        <f t="shared" si="2"/>
        <v>0</v>
      </c>
      <c r="F6">
        <f t="shared" si="0"/>
        <v>-2</v>
      </c>
      <c r="P6">
        <f t="shared" si="3"/>
        <v>1</v>
      </c>
      <c r="Q6">
        <f t="shared" si="1"/>
        <v>-0.71828182845904509</v>
      </c>
    </row>
    <row r="7" spans="1:17" x14ac:dyDescent="0.3">
      <c r="E7">
        <f t="shared" si="2"/>
        <v>1</v>
      </c>
      <c r="F7">
        <f t="shared" si="0"/>
        <v>-2</v>
      </c>
      <c r="P7">
        <f t="shared" si="3"/>
        <v>2</v>
      </c>
      <c r="Q7">
        <f t="shared" si="1"/>
        <v>9.6109439010693496</v>
      </c>
    </row>
    <row r="8" spans="1:17" x14ac:dyDescent="0.3">
      <c r="E8">
        <f t="shared" si="2"/>
        <v>2</v>
      </c>
      <c r="F8">
        <f t="shared" si="0"/>
        <v>-1.2599210498948732</v>
      </c>
      <c r="P8">
        <f t="shared" si="3"/>
        <v>3</v>
      </c>
      <c r="Q8">
        <f t="shared" si="1"/>
        <v>61.914463076812332</v>
      </c>
    </row>
    <row r="9" spans="1:17" x14ac:dyDescent="0.3">
      <c r="A9" t="s">
        <v>15</v>
      </c>
      <c r="E9">
        <f t="shared" si="2"/>
        <v>3</v>
      </c>
      <c r="F9">
        <f t="shared" si="0"/>
        <v>-0.4422495703074083</v>
      </c>
      <c r="P9">
        <f t="shared" si="3"/>
        <v>4</v>
      </c>
      <c r="Q9">
        <f t="shared" si="1"/>
        <v>202.40184996685576</v>
      </c>
    </row>
    <row r="10" spans="1:17" x14ac:dyDescent="0.3">
      <c r="A10" t="s">
        <v>9</v>
      </c>
      <c r="B10" t="s">
        <v>10</v>
      </c>
      <c r="C10" t="s">
        <v>1</v>
      </c>
      <c r="E10">
        <f t="shared" si="2"/>
        <v>4</v>
      </c>
      <c r="F10">
        <f t="shared" si="0"/>
        <v>0.41259894803180064</v>
      </c>
      <c r="P10">
        <f t="shared" si="3"/>
        <v>5</v>
      </c>
      <c r="Q10">
        <f t="shared" si="1"/>
        <v>477.58684089742337</v>
      </c>
    </row>
    <row r="11" spans="1:17" x14ac:dyDescent="0.3">
      <c r="B11" s="4">
        <v>3.5203036995187347</v>
      </c>
      <c r="C11" s="4">
        <f>B11-(B11^(1/3))-2</f>
        <v>-9.2103181680158741E-4</v>
      </c>
      <c r="E11">
        <f t="shared" si="2"/>
        <v>5</v>
      </c>
      <c r="F11">
        <f t="shared" si="0"/>
        <v>1.2900240533233029</v>
      </c>
    </row>
    <row r="12" spans="1:17" x14ac:dyDescent="0.3">
      <c r="E12">
        <f t="shared" si="2"/>
        <v>6</v>
      </c>
      <c r="F12">
        <f t="shared" si="0"/>
        <v>2.1828794071678601</v>
      </c>
    </row>
    <row r="13" spans="1:17" x14ac:dyDescent="0.3">
      <c r="A13" t="s">
        <v>12</v>
      </c>
      <c r="B13" t="s">
        <v>10</v>
      </c>
      <c r="C13" t="s">
        <v>4</v>
      </c>
    </row>
    <row r="14" spans="1:17" x14ac:dyDescent="0.3">
      <c r="B14" s="4">
        <v>0.86057524028434473</v>
      </c>
      <c r="C14" s="4">
        <f>B14*TAN(B14)-1</f>
        <v>7.6993714738682328E-4</v>
      </c>
    </row>
    <row r="16" spans="1:17" x14ac:dyDescent="0.3">
      <c r="A16" t="s">
        <v>13</v>
      </c>
      <c r="B16" t="s">
        <v>10</v>
      </c>
      <c r="C16" t="s">
        <v>7</v>
      </c>
    </row>
    <row r="17" spans="1:17" x14ac:dyDescent="0.3">
      <c r="B17" s="4">
        <v>1.261132807920323</v>
      </c>
      <c r="C17" s="4">
        <f>(B17^4)-(EXP(B17))+1</f>
        <v>1.3278258777793539E-4</v>
      </c>
      <c r="E17" t="s">
        <v>12</v>
      </c>
      <c r="P17" t="s">
        <v>14</v>
      </c>
    </row>
    <row r="18" spans="1:17" x14ac:dyDescent="0.3">
      <c r="E18" t="s">
        <v>10</v>
      </c>
      <c r="F18" t="s">
        <v>4</v>
      </c>
      <c r="P18" t="s">
        <v>10</v>
      </c>
      <c r="Q18" t="s">
        <v>8</v>
      </c>
    </row>
    <row r="19" spans="1:17" x14ac:dyDescent="0.3">
      <c r="A19" t="s">
        <v>14</v>
      </c>
      <c r="B19" t="s">
        <v>10</v>
      </c>
      <c r="C19" t="s">
        <v>8</v>
      </c>
      <c r="E19">
        <v>-2</v>
      </c>
      <c r="F19">
        <f>E19*TAN(E19)-1</f>
        <v>-5.3700797265230378</v>
      </c>
      <c r="P19">
        <v>-2</v>
      </c>
      <c r="Q19">
        <f>(P19^2)*EXP(P19)-1</f>
        <v>-0.45865886705354919</v>
      </c>
    </row>
    <row r="20" spans="1:17" x14ac:dyDescent="0.3">
      <c r="B20" s="3">
        <v>0.70358065761712074</v>
      </c>
      <c r="C20" s="4">
        <f>(B20^2)*EXP(B20)-1</f>
        <v>4.3523812186929689E-4</v>
      </c>
      <c r="E20">
        <f>E19+1</f>
        <v>-1</v>
      </c>
      <c r="F20">
        <f t="shared" ref="F20:F24" si="4">E20*TAN(E20)-1</f>
        <v>0.55740772465490229</v>
      </c>
      <c r="P20">
        <f>P19+1</f>
        <v>-1</v>
      </c>
      <c r="Q20">
        <f t="shared" ref="Q20:Q24" si="5">(P20^2)*EXP(P20)-1</f>
        <v>-0.63212055882855767</v>
      </c>
    </row>
    <row r="21" spans="1:17" x14ac:dyDescent="0.3">
      <c r="E21">
        <f t="shared" ref="E21:E24" si="6">E20+1</f>
        <v>0</v>
      </c>
      <c r="F21">
        <f t="shared" si="4"/>
        <v>-1</v>
      </c>
      <c r="P21">
        <f t="shared" ref="P21:P24" si="7">P20+1</f>
        <v>0</v>
      </c>
      <c r="Q21">
        <f t="shared" si="5"/>
        <v>-1</v>
      </c>
    </row>
    <row r="22" spans="1:17" x14ac:dyDescent="0.3">
      <c r="E22">
        <f t="shared" si="6"/>
        <v>1</v>
      </c>
      <c r="F22">
        <f t="shared" si="4"/>
        <v>0.55740772465490229</v>
      </c>
      <c r="P22">
        <f t="shared" si="7"/>
        <v>1</v>
      </c>
      <c r="Q22">
        <f t="shared" si="5"/>
        <v>1.7182818284590451</v>
      </c>
    </row>
    <row r="23" spans="1:17" x14ac:dyDescent="0.3">
      <c r="E23">
        <f t="shared" si="6"/>
        <v>2</v>
      </c>
      <c r="F23">
        <f t="shared" si="4"/>
        <v>-5.3700797265230378</v>
      </c>
      <c r="P23">
        <f t="shared" si="7"/>
        <v>2</v>
      </c>
      <c r="Q23">
        <f t="shared" si="5"/>
        <v>28.556224395722602</v>
      </c>
    </row>
    <row r="24" spans="1:17" x14ac:dyDescent="0.3">
      <c r="E24">
        <f t="shared" si="6"/>
        <v>3</v>
      </c>
      <c r="F24">
        <f t="shared" si="4"/>
        <v>-1.4276396292228335</v>
      </c>
      <c r="P24">
        <f t="shared" si="7"/>
        <v>3</v>
      </c>
      <c r="Q24">
        <f t="shared" si="5"/>
        <v>179.76983230868902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542E-4FD7-4529-8A9E-A68E55A57093}">
  <dimension ref="A1:M25"/>
  <sheetViews>
    <sheetView zoomScale="68" workbookViewId="0">
      <selection activeCell="H38" sqref="H38"/>
    </sheetView>
  </sheetViews>
  <sheetFormatPr defaultRowHeight="14.4" x14ac:dyDescent="0.3"/>
  <cols>
    <col min="1" max="1" width="12.6640625" customWidth="1"/>
    <col min="2" max="2" width="15.88671875" customWidth="1"/>
    <col min="3" max="3" width="9.33203125" bestFit="1" customWidth="1"/>
    <col min="4" max="5" width="9" bestFit="1" customWidth="1"/>
    <col min="6" max="6" width="9.33203125" bestFit="1" customWidth="1"/>
    <col min="9" max="9" width="15.33203125" customWidth="1"/>
  </cols>
  <sheetData>
    <row r="1" spans="1:13" x14ac:dyDescent="0.3">
      <c r="A1" t="s">
        <v>16</v>
      </c>
      <c r="B1" t="s">
        <v>17</v>
      </c>
    </row>
    <row r="3" spans="1:13" x14ac:dyDescent="0.3">
      <c r="A3" t="s">
        <v>9</v>
      </c>
      <c r="B3" t="s">
        <v>1</v>
      </c>
      <c r="H3" t="s">
        <v>12</v>
      </c>
      <c r="I3" t="s">
        <v>4</v>
      </c>
    </row>
    <row r="4" spans="1:13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</row>
    <row r="5" spans="1:13" x14ac:dyDescent="0.3">
      <c r="A5" s="4">
        <v>3</v>
      </c>
      <c r="B5" s="4">
        <v>3.6</v>
      </c>
      <c r="C5" s="4">
        <f>A5-(A5^(1/3))-2</f>
        <v>-0.4422495703074083</v>
      </c>
      <c r="D5" s="4">
        <f>B5-(B5^(1/3))-2</f>
        <v>6.7381135212893906E-2</v>
      </c>
      <c r="E5" s="4">
        <f>(A5+B5)/2</f>
        <v>3.3</v>
      </c>
      <c r="F5" s="4">
        <f>E5-(E5^(1/3))-2</f>
        <v>-0.1888055529538275</v>
      </c>
      <c r="H5" s="4">
        <v>0.5</v>
      </c>
      <c r="I5" s="4">
        <v>1</v>
      </c>
      <c r="J5" s="4">
        <f>H5*TAN(H5)-1</f>
        <v>-0.72684875507810476</v>
      </c>
      <c r="K5" s="4">
        <f>I5*TAN(I5)-1</f>
        <v>0.55740772465490229</v>
      </c>
      <c r="L5" s="4">
        <f>(H5+I5)/2</f>
        <v>0.75</v>
      </c>
      <c r="M5" s="4">
        <f>L5*TAN(L5)-1</f>
        <v>-0.30130265504194564</v>
      </c>
    </row>
    <row r="6" spans="1:13" x14ac:dyDescent="0.3">
      <c r="A6" s="4">
        <f>IF(C5*F5&gt;0,E5,A5)</f>
        <v>3.3</v>
      </c>
      <c r="B6" s="4">
        <f>IF(D5*F5&gt;0,E5,B5)</f>
        <v>3.6</v>
      </c>
      <c r="C6" s="4">
        <f>A6-(A6^(1/3))-2</f>
        <v>-0.1888055529538275</v>
      </c>
      <c r="D6" s="4">
        <f>B6-(B6^(1/3))-2</f>
        <v>6.7381135212893906E-2</v>
      </c>
      <c r="E6" s="4">
        <f>(A6+B6)/2</f>
        <v>3.45</v>
      </c>
      <c r="F6" s="4">
        <f>E6-(E6^(1/3))-2</f>
        <v>-6.102980787736878E-2</v>
      </c>
      <c r="H6" s="4">
        <f>IF(J5*M5&gt;0,L5,H5)</f>
        <v>0.75</v>
      </c>
      <c r="I6" s="4">
        <f>IF(K5*M5&gt;0,L5,I5)</f>
        <v>1</v>
      </c>
      <c r="J6" s="4">
        <f>H6*TAN(H6)-1</f>
        <v>-0.30130265504194564</v>
      </c>
      <c r="K6" s="4">
        <f>I6*TAN(I6)-1</f>
        <v>0.55740772465490229</v>
      </c>
      <c r="L6" s="4">
        <f>(H6+I6)/2</f>
        <v>0.875</v>
      </c>
      <c r="M6" s="4">
        <f>L6*TAN(L6)-1</f>
        <v>4.7743925580054469E-2</v>
      </c>
    </row>
    <row r="7" spans="1:13" x14ac:dyDescent="0.3">
      <c r="A7" s="4">
        <f>IF(C6*F6&gt;0,E6,A6)</f>
        <v>3.45</v>
      </c>
      <c r="B7" s="4">
        <f>IF(D6*F6&gt;0,E6,B6)</f>
        <v>3.6</v>
      </c>
      <c r="C7" s="4">
        <f>A7-(A7^(1/3))-2</f>
        <v>-6.102980787736878E-2</v>
      </c>
      <c r="D7" s="4">
        <f>B7-(B7^(1/3))-2</f>
        <v>6.7381135212893906E-2</v>
      </c>
      <c r="E7" s="4">
        <f>(A7+B7)/2</f>
        <v>3.5250000000000004</v>
      </c>
      <c r="F7" s="4">
        <f>E7-(E7^(1/3))-2</f>
        <v>3.0991003090785618E-3</v>
      </c>
      <c r="H7" s="4">
        <f>IF(J6*M6&gt;0,L6,H6)</f>
        <v>0.75</v>
      </c>
      <c r="I7" s="4">
        <f>IF(K6*M6&gt;0,L6,I6)</f>
        <v>0.875</v>
      </c>
      <c r="J7" s="4">
        <f>H7*TAN(H7)-1</f>
        <v>-0.30130265504194564</v>
      </c>
      <c r="K7" s="4">
        <f>I7*TAN(I7)-1</f>
        <v>4.7743925580054469E-2</v>
      </c>
      <c r="L7" s="4">
        <f>(H7+I7)/2</f>
        <v>0.8125</v>
      </c>
      <c r="M7" s="4">
        <f>L7*TAN(L7)-1</f>
        <v>-0.14222129297781505</v>
      </c>
    </row>
    <row r="8" spans="1:13" x14ac:dyDescent="0.3">
      <c r="A8" s="4">
        <f t="shared" ref="A8:A12" si="0">IF(C7*F7&gt;0,E7,A7)</f>
        <v>3.45</v>
      </c>
      <c r="B8" s="4">
        <f t="shared" ref="B8:B12" si="1">IF(D7*F7&gt;0,E7,B7)</f>
        <v>3.5250000000000004</v>
      </c>
      <c r="C8" s="4">
        <f t="shared" ref="C8:C12" si="2">A8-(A8^(1/3))-2</f>
        <v>-6.102980787736878E-2</v>
      </c>
      <c r="D8" s="4">
        <f t="shared" ref="D8:D12" si="3">B8-(B8^(1/3))-2</f>
        <v>3.0991003090785618E-3</v>
      </c>
      <c r="E8" s="4">
        <f t="shared" ref="E8:E12" si="4">(A8+B8)/2</f>
        <v>3.4875000000000003</v>
      </c>
      <c r="F8" s="4">
        <f t="shared" ref="F8:F12" si="5">E8-(E8^(1/3))-2</f>
        <v>-2.8984836444698736E-2</v>
      </c>
      <c r="H8" s="4">
        <f>IF(J7*M7&gt;0,L7,H7)</f>
        <v>0.8125</v>
      </c>
      <c r="I8" s="4">
        <f>IF(K7*M7&gt;0,L7,I7)</f>
        <v>0.875</v>
      </c>
      <c r="J8" s="4">
        <f>H8*TAN(H8)-1</f>
        <v>-0.14222129297781505</v>
      </c>
      <c r="K8" s="4">
        <f>I8*TAN(I8)-1</f>
        <v>4.7743925580054469E-2</v>
      </c>
      <c r="L8" s="4">
        <f>(H8+I8)/2</f>
        <v>0.84375</v>
      </c>
      <c r="M8" s="4">
        <f>L8*TAN(L8)-1</f>
        <v>-5.155316759302675E-2</v>
      </c>
    </row>
    <row r="9" spans="1:13" x14ac:dyDescent="0.3">
      <c r="A9" s="4">
        <f t="shared" si="0"/>
        <v>3.4875000000000003</v>
      </c>
      <c r="B9" s="4">
        <f t="shared" si="1"/>
        <v>3.5250000000000004</v>
      </c>
      <c r="C9" s="4">
        <f t="shared" si="2"/>
        <v>-2.8984836444698736E-2</v>
      </c>
      <c r="D9" s="4">
        <f t="shared" si="3"/>
        <v>3.0991003090785618E-3</v>
      </c>
      <c r="E9" s="4">
        <f t="shared" si="4"/>
        <v>3.5062500000000005</v>
      </c>
      <c r="F9" s="4">
        <f t="shared" si="5"/>
        <v>-1.2947695244216684E-2</v>
      </c>
      <c r="H9" s="4">
        <f>IF(J8*M8&gt;0,L8,H8)</f>
        <v>0.84375</v>
      </c>
      <c r="I9" s="4">
        <f>IF(K8*M8&gt;0,L8,I8)</f>
        <v>0.875</v>
      </c>
      <c r="J9" s="4">
        <f>H9*TAN(H9)-1</f>
        <v>-5.155316759302675E-2</v>
      </c>
      <c r="K9" s="4">
        <f>I9*TAN(I9)-1</f>
        <v>4.7743925580054469E-2</v>
      </c>
      <c r="L9" s="4">
        <f>(H9+I9)/2</f>
        <v>0.859375</v>
      </c>
      <c r="M9" s="4">
        <f>L9*TAN(L9)-1</f>
        <v>-3.048803436389691E-3</v>
      </c>
    </row>
    <row r="10" spans="1:13" x14ac:dyDescent="0.3">
      <c r="A10" s="4">
        <f t="shared" si="0"/>
        <v>3.5062500000000005</v>
      </c>
      <c r="B10" s="4">
        <f t="shared" si="1"/>
        <v>3.5250000000000004</v>
      </c>
      <c r="C10" s="4">
        <f t="shared" si="2"/>
        <v>-1.2947695244216684E-2</v>
      </c>
      <c r="D10" s="4">
        <f t="shared" si="3"/>
        <v>3.0991003090785618E-3</v>
      </c>
      <c r="E10" s="4">
        <f t="shared" si="4"/>
        <v>3.5156250000000004</v>
      </c>
      <c r="F10" s="4">
        <f t="shared" si="5"/>
        <v>-4.9254988933495891E-3</v>
      </c>
      <c r="H10" s="4">
        <f>IF(J9*M9&gt;0,L9,H9)</f>
        <v>0.859375</v>
      </c>
      <c r="I10" s="4">
        <f>IF(K9*M9&gt;0,L9,I9)</f>
        <v>0.875</v>
      </c>
      <c r="J10" s="4">
        <f>H10*TAN(H10)-1</f>
        <v>-3.048803436389691E-3</v>
      </c>
      <c r="K10" s="4">
        <f>I10*TAN(I10)-1</f>
        <v>4.7743925580054469E-2</v>
      </c>
      <c r="L10" s="4">
        <f>(H10+I10)/2</f>
        <v>0.8671875</v>
      </c>
      <c r="M10" s="4">
        <f>L10*TAN(L10)-1</f>
        <v>2.2052678273232873E-2</v>
      </c>
    </row>
    <row r="11" spans="1:13" x14ac:dyDescent="0.3">
      <c r="A11" s="4">
        <f t="shared" si="0"/>
        <v>3.5156250000000004</v>
      </c>
      <c r="B11" s="4">
        <f t="shared" si="1"/>
        <v>3.5250000000000004</v>
      </c>
      <c r="C11" s="4">
        <f t="shared" si="2"/>
        <v>-4.9254988933495891E-3</v>
      </c>
      <c r="D11" s="4">
        <f t="shared" si="3"/>
        <v>3.0991003090785618E-3</v>
      </c>
      <c r="E11" s="4">
        <f t="shared" si="4"/>
        <v>3.5203125000000002</v>
      </c>
      <c r="F11" s="4">
        <f t="shared" si="5"/>
        <v>-9.1349898171433352E-4</v>
      </c>
      <c r="H11" s="4">
        <f>IF(J10*M10&gt;0,L10,H10)</f>
        <v>0.859375</v>
      </c>
      <c r="I11" s="4">
        <f>IF(K10*M10&gt;0,L10,I10)</f>
        <v>0.8671875</v>
      </c>
      <c r="J11" s="4">
        <f>H11*TAN(H11)-1</f>
        <v>-3.048803436389691E-3</v>
      </c>
      <c r="K11" s="4">
        <f>I11*TAN(I11)-1</f>
        <v>2.2052678273232873E-2</v>
      </c>
      <c r="L11" s="4">
        <f>(H11+I11)/2</f>
        <v>0.86328125</v>
      </c>
      <c r="M11" s="4">
        <f>L11*TAN(L11)-1</f>
        <v>9.4293520782287032E-3</v>
      </c>
    </row>
    <row r="12" spans="1:13" x14ac:dyDescent="0.3">
      <c r="A12" s="4">
        <f t="shared" si="0"/>
        <v>3.5203125000000002</v>
      </c>
      <c r="B12" s="4">
        <f t="shared" si="1"/>
        <v>3.5250000000000004</v>
      </c>
      <c r="C12" s="4">
        <f t="shared" si="2"/>
        <v>-9.1349898171433352E-4</v>
      </c>
      <c r="D12" s="4">
        <f t="shared" si="3"/>
        <v>3.0991003090785618E-3</v>
      </c>
      <c r="E12" s="4">
        <f t="shared" si="4"/>
        <v>3.5226562500000003</v>
      </c>
      <c r="F12" s="4">
        <f t="shared" si="5"/>
        <v>1.0927258243871307E-3</v>
      </c>
      <c r="H12" s="4">
        <f>IF(J11*M11&gt;0,L11,H11)</f>
        <v>0.859375</v>
      </c>
      <c r="I12" s="4">
        <f>IF(K11*M11&gt;0,L11,I11)</f>
        <v>0.86328125</v>
      </c>
      <c r="J12" s="4">
        <f>H12*TAN(H12)-1</f>
        <v>-3.048803436389691E-3</v>
      </c>
      <c r="K12" s="4">
        <f>I12*TAN(I12)-1</f>
        <v>9.4293520782287032E-3</v>
      </c>
      <c r="L12" s="4">
        <f>(H12+I12)/2</f>
        <v>0.861328125</v>
      </c>
      <c r="M12" s="4">
        <f>L12*TAN(L12)-1</f>
        <v>3.172267152278696E-3</v>
      </c>
    </row>
    <row r="14" spans="1:13" x14ac:dyDescent="0.3">
      <c r="A14" t="s">
        <v>13</v>
      </c>
      <c r="B14" t="s">
        <v>7</v>
      </c>
      <c r="H14" t="s">
        <v>14</v>
      </c>
      <c r="I14" t="s">
        <v>8</v>
      </c>
    </row>
    <row r="15" spans="1:13" x14ac:dyDescent="0.3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 t="s">
        <v>23</v>
      </c>
    </row>
    <row r="16" spans="1:13" x14ac:dyDescent="0.3">
      <c r="A16" s="4">
        <v>1</v>
      </c>
      <c r="B16" s="4">
        <v>1.5</v>
      </c>
      <c r="C16" s="4">
        <f>(A16^4)-EXP(A16)+1</f>
        <v>-0.71828182845904509</v>
      </c>
      <c r="D16" s="4">
        <f>(B16^4)-EXP(B16)+1</f>
        <v>1.5808109296619355</v>
      </c>
      <c r="E16" s="4">
        <f>(A16+B16)/2</f>
        <v>1.25</v>
      </c>
      <c r="F16" s="4">
        <f>(E16^4)-EXP(E16)+1</f>
        <v>-4.8936707461841422E-2</v>
      </c>
      <c r="H16">
        <v>0.5</v>
      </c>
      <c r="I16">
        <v>1</v>
      </c>
      <c r="J16">
        <f>(H16^2)*EXP(H16)-1</f>
        <v>-0.58781968232496795</v>
      </c>
      <c r="K16">
        <f>(I16^2)*EXP(I16)-1</f>
        <v>1.7182818284590451</v>
      </c>
      <c r="L16">
        <f>(H16+I16)/2</f>
        <v>0.75</v>
      </c>
      <c r="M16">
        <f>(L16^2)*EXP(L16)-1</f>
        <v>0.19081250934462957</v>
      </c>
    </row>
    <row r="17" spans="1:13" x14ac:dyDescent="0.3">
      <c r="A17" s="4">
        <f>IF(C16*F16&gt;0,E16,A16)</f>
        <v>1.25</v>
      </c>
      <c r="B17" s="4">
        <f>IF(D16*F16&gt;0,E16,B16)</f>
        <v>1.5</v>
      </c>
      <c r="C17" s="4">
        <f>(A17^4)-EXP(A17)+1</f>
        <v>-4.8936707461841422E-2</v>
      </c>
      <c r="D17" s="4">
        <f>(B17^4)-EXP(B17)+1</f>
        <v>1.5808109296619355</v>
      </c>
      <c r="E17" s="4">
        <f>(A17+B17)/2</f>
        <v>1.375</v>
      </c>
      <c r="F17" s="4">
        <f>(E17^4)-EXP(E17)+1</f>
        <v>0.61938616770442279</v>
      </c>
      <c r="H17" s="4">
        <f>IF(J16*M16&gt;0,L16,H16)</f>
        <v>0.5</v>
      </c>
      <c r="I17" s="4">
        <f>IF(K16*M16&gt;0,L16,I16)</f>
        <v>0.75</v>
      </c>
      <c r="J17" s="4">
        <f>(H17^2)*EXP(H17)-1</f>
        <v>-0.58781968232496795</v>
      </c>
      <c r="K17" s="4">
        <f>(I17^2)*EXP(I17)-1</f>
        <v>0.19081250934462957</v>
      </c>
      <c r="L17" s="4">
        <f>(H17+I17)/2</f>
        <v>0.625</v>
      </c>
      <c r="M17" s="4">
        <f>(L17^2)*EXP(L17)-1</f>
        <v>-0.27021642287803815</v>
      </c>
    </row>
    <row r="18" spans="1:13" x14ac:dyDescent="0.3">
      <c r="A18" s="4">
        <f t="shared" ref="A18:A22" si="6">IF(C17*F17&gt;0,E17,A17)</f>
        <v>1.25</v>
      </c>
      <c r="B18" s="4">
        <f t="shared" ref="B18:B22" si="7">IF(D17*F17&gt;0,E17,B17)</f>
        <v>1.375</v>
      </c>
      <c r="C18" s="4">
        <f t="shared" ref="C18:C22" si="8">(A18^4)-EXP(A18)+1</f>
        <v>-4.8936707461841422E-2</v>
      </c>
      <c r="D18" s="4">
        <f t="shared" ref="D18:D22" si="9">(B18^4)-EXP(B18)+1</f>
        <v>0.61938616770442279</v>
      </c>
      <c r="E18" s="4">
        <f t="shared" ref="E18:E22" si="10">(A18+B18)/2</f>
        <v>1.3125</v>
      </c>
      <c r="F18" s="4">
        <f t="shared" ref="F18:F23" si="11">(E18^4)-EXP(E18)+1</f>
        <v>0.25209381772295858</v>
      </c>
      <c r="H18" s="4">
        <f t="shared" ref="H18:H26" si="12">IF(J17*M17&gt;0,L17,H17)</f>
        <v>0.625</v>
      </c>
      <c r="I18" s="4">
        <f t="shared" ref="I18:I26" si="13">IF(K17*M17&gt;0,L17,I17)</f>
        <v>0.75</v>
      </c>
      <c r="J18" s="4">
        <f t="shared" ref="J18:J26" si="14">(H18^2)*EXP(H18)-1</f>
        <v>-0.27021642287803815</v>
      </c>
      <c r="K18" s="4">
        <f t="shared" ref="K18:K26" si="15">(I18^2)*EXP(I18)-1</f>
        <v>0.19081250934462957</v>
      </c>
      <c r="L18" s="4">
        <f t="shared" ref="L18:L26" si="16">(H18+I18)/2</f>
        <v>0.6875</v>
      </c>
      <c r="M18" s="4">
        <f t="shared" ref="M18:M26" si="17">(L18^2)*EXP(L18)-1</f>
        <v>-6.0010805392744837E-2</v>
      </c>
    </row>
    <row r="19" spans="1:13" x14ac:dyDescent="0.3">
      <c r="A19" s="4">
        <f t="shared" si="6"/>
        <v>1.25</v>
      </c>
      <c r="B19" s="4">
        <f t="shared" si="7"/>
        <v>1.3125</v>
      </c>
      <c r="C19" s="4">
        <f t="shared" si="8"/>
        <v>-4.8936707461841422E-2</v>
      </c>
      <c r="D19" s="4">
        <f t="shared" si="9"/>
        <v>0.25209381772295858</v>
      </c>
      <c r="E19" s="4">
        <f t="shared" si="10"/>
        <v>1.28125</v>
      </c>
      <c r="F19" s="4">
        <f t="shared" si="11"/>
        <v>9.3717353730265796E-2</v>
      </c>
      <c r="H19" s="4">
        <f t="shared" si="12"/>
        <v>0.6875</v>
      </c>
      <c r="I19" s="4">
        <f t="shared" si="13"/>
        <v>0.75</v>
      </c>
      <c r="J19" s="4">
        <f t="shared" si="14"/>
        <v>-6.0010805392744837E-2</v>
      </c>
      <c r="K19" s="4">
        <f t="shared" si="15"/>
        <v>0.19081250934462957</v>
      </c>
      <c r="L19" s="4">
        <f t="shared" si="16"/>
        <v>0.71875</v>
      </c>
      <c r="M19" s="4">
        <f t="shared" si="17"/>
        <v>5.9997581225722296E-2</v>
      </c>
    </row>
    <row r="20" spans="1:13" x14ac:dyDescent="0.3">
      <c r="A20" s="4">
        <f t="shared" si="6"/>
        <v>1.25</v>
      </c>
      <c r="B20" s="4">
        <f t="shared" si="7"/>
        <v>1.28125</v>
      </c>
      <c r="C20" s="4">
        <f t="shared" si="8"/>
        <v>-4.8936707461841422E-2</v>
      </c>
      <c r="D20" s="4">
        <f t="shared" si="9"/>
        <v>9.3717353730265796E-2</v>
      </c>
      <c r="E20" s="4">
        <f t="shared" si="10"/>
        <v>1.265625</v>
      </c>
      <c r="F20" s="4">
        <f t="shared" si="11"/>
        <v>2.0476652726806766E-2</v>
      </c>
      <c r="H20" s="4">
        <f t="shared" si="12"/>
        <v>0.6875</v>
      </c>
      <c r="I20" s="4">
        <f t="shared" si="13"/>
        <v>0.71875</v>
      </c>
      <c r="J20" s="4">
        <f t="shared" si="14"/>
        <v>-6.0010805392744837E-2</v>
      </c>
      <c r="K20" s="4">
        <f t="shared" si="15"/>
        <v>5.9997581225722296E-2</v>
      </c>
      <c r="L20" s="4">
        <f t="shared" si="16"/>
        <v>0.703125</v>
      </c>
      <c r="M20" s="4">
        <f t="shared" si="17"/>
        <v>-1.3153213842503897E-3</v>
      </c>
    </row>
    <row r="21" spans="1:13" x14ac:dyDescent="0.3">
      <c r="A21" s="4">
        <f t="shared" si="6"/>
        <v>1.25</v>
      </c>
      <c r="B21" s="4">
        <f t="shared" si="7"/>
        <v>1.265625</v>
      </c>
      <c r="C21" s="4">
        <f t="shared" si="8"/>
        <v>-4.8936707461841422E-2</v>
      </c>
      <c r="D21" s="4">
        <f t="shared" si="9"/>
        <v>2.0476652726806766E-2</v>
      </c>
      <c r="E21" s="4">
        <f t="shared" si="10"/>
        <v>1.2578125</v>
      </c>
      <c r="F21" s="4">
        <f t="shared" si="11"/>
        <v>-1.4702057810130675E-2</v>
      </c>
      <c r="H21" s="4">
        <f t="shared" si="12"/>
        <v>0.703125</v>
      </c>
      <c r="I21" s="4">
        <f t="shared" si="13"/>
        <v>0.71875</v>
      </c>
      <c r="J21" s="4">
        <f t="shared" si="14"/>
        <v>-1.3153213842503897E-3</v>
      </c>
      <c r="K21" s="4">
        <f t="shared" si="15"/>
        <v>5.9997581225722296E-2</v>
      </c>
      <c r="L21" s="4">
        <f t="shared" si="16"/>
        <v>0.7109375</v>
      </c>
      <c r="M21" s="4">
        <f t="shared" si="17"/>
        <v>2.9008775701908185E-2</v>
      </c>
    </row>
    <row r="22" spans="1:13" x14ac:dyDescent="0.3">
      <c r="A22" s="4">
        <f t="shared" si="6"/>
        <v>1.2578125</v>
      </c>
      <c r="B22" s="4">
        <f t="shared" si="7"/>
        <v>1.265625</v>
      </c>
      <c r="C22" s="4">
        <f t="shared" si="8"/>
        <v>-1.4702057810130675E-2</v>
      </c>
      <c r="D22" s="4">
        <f t="shared" si="9"/>
        <v>2.0476652726806766E-2</v>
      </c>
      <c r="E22" s="4">
        <f t="shared" si="10"/>
        <v>1.26171875</v>
      </c>
      <c r="F22" s="4">
        <f t="shared" si="11"/>
        <v>2.7684944305326198E-3</v>
      </c>
      <c r="H22" s="4">
        <f t="shared" si="12"/>
        <v>0.703125</v>
      </c>
      <c r="I22" s="4">
        <f t="shared" si="13"/>
        <v>0.7109375</v>
      </c>
      <c r="J22" s="4">
        <f t="shared" si="14"/>
        <v>-1.3153213842503897E-3</v>
      </c>
      <c r="K22" s="4">
        <f t="shared" si="15"/>
        <v>2.9008775701908185E-2</v>
      </c>
      <c r="L22" s="4">
        <f t="shared" si="16"/>
        <v>0.70703125</v>
      </c>
      <c r="M22" s="4">
        <f t="shared" si="17"/>
        <v>1.376429106124144E-2</v>
      </c>
    </row>
    <row r="23" spans="1:13" x14ac:dyDescent="0.3">
      <c r="H23" s="4">
        <f t="shared" si="12"/>
        <v>0.703125</v>
      </c>
      <c r="I23" s="4">
        <f t="shared" si="13"/>
        <v>0.70703125</v>
      </c>
      <c r="J23" s="4">
        <f t="shared" si="14"/>
        <v>-1.3153213842503897E-3</v>
      </c>
      <c r="K23" s="4">
        <f t="shared" si="15"/>
        <v>1.376429106124144E-2</v>
      </c>
      <c r="L23" s="4">
        <f t="shared" si="16"/>
        <v>0.705078125</v>
      </c>
      <c r="M23" s="4">
        <f t="shared" si="17"/>
        <v>6.2039569010177154E-3</v>
      </c>
    </row>
    <row r="24" spans="1:13" x14ac:dyDescent="0.3">
      <c r="H24" s="4">
        <f t="shared" si="12"/>
        <v>0.703125</v>
      </c>
      <c r="I24" s="4">
        <f t="shared" si="13"/>
        <v>0.705078125</v>
      </c>
      <c r="J24" s="4">
        <f t="shared" si="14"/>
        <v>-1.3153213842503897E-3</v>
      </c>
      <c r="K24" s="4">
        <f t="shared" si="15"/>
        <v>6.2039569010177154E-3</v>
      </c>
      <c r="L24" s="4">
        <f t="shared" si="16"/>
        <v>0.7041015625</v>
      </c>
      <c r="M24" s="4">
        <f t="shared" si="17"/>
        <v>2.4391958806209146E-3</v>
      </c>
    </row>
    <row r="25" spans="1:13" x14ac:dyDescent="0.3">
      <c r="H25" s="4">
        <f t="shared" si="12"/>
        <v>0.703125</v>
      </c>
      <c r="I25" s="4">
        <f t="shared" si="13"/>
        <v>0.7041015625</v>
      </c>
      <c r="J25" s="4">
        <f t="shared" si="14"/>
        <v>-1.3153213842503897E-3</v>
      </c>
      <c r="K25" s="4">
        <f t="shared" si="15"/>
        <v>2.4391958806209146E-3</v>
      </c>
      <c r="L25" s="4">
        <f t="shared" si="16"/>
        <v>0.70361328125</v>
      </c>
      <c r="M25" s="4">
        <f t="shared" si="17"/>
        <v>5.6065804024574284E-4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C8E41-DCB3-43FB-8502-7C0FA22DAD4B}">
  <dimension ref="A1:M19"/>
  <sheetViews>
    <sheetView workbookViewId="0">
      <selection activeCell="F23" sqref="F23"/>
    </sheetView>
  </sheetViews>
  <sheetFormatPr defaultRowHeight="14.4" x14ac:dyDescent="0.3"/>
  <cols>
    <col min="1" max="1" width="10.5546875" bestFit="1" customWidth="1"/>
    <col min="2" max="2" width="15.77734375" customWidth="1"/>
    <col min="3" max="4" width="11.21875" bestFit="1" customWidth="1"/>
    <col min="5" max="5" width="10.5546875" bestFit="1" customWidth="1"/>
    <col min="6" max="6" width="11.21875" bestFit="1" customWidth="1"/>
    <col min="9" max="9" width="15.33203125" customWidth="1"/>
  </cols>
  <sheetData>
    <row r="1" spans="1:13" x14ac:dyDescent="0.3">
      <c r="A1" t="s">
        <v>24</v>
      </c>
      <c r="B1" t="s">
        <v>25</v>
      </c>
    </row>
    <row r="2" spans="1:13" x14ac:dyDescent="0.3">
      <c r="A2" t="s">
        <v>9</v>
      </c>
      <c r="B2" t="s">
        <v>1</v>
      </c>
      <c r="H2" t="s">
        <v>12</v>
      </c>
      <c r="I2" t="s">
        <v>4</v>
      </c>
    </row>
    <row r="3" spans="1:13" x14ac:dyDescent="0.3">
      <c r="A3" t="s">
        <v>18</v>
      </c>
      <c r="B3" t="s">
        <v>19</v>
      </c>
      <c r="C3" t="s">
        <v>20</v>
      </c>
      <c r="D3" t="s">
        <v>21</v>
      </c>
      <c r="E3" t="s">
        <v>27</v>
      </c>
      <c r="F3" t="s">
        <v>26</v>
      </c>
      <c r="H3" t="s">
        <v>18</v>
      </c>
      <c r="I3" t="s">
        <v>19</v>
      </c>
      <c r="J3" t="s">
        <v>20</v>
      </c>
      <c r="K3" t="s">
        <v>21</v>
      </c>
      <c r="L3" t="s">
        <v>27</v>
      </c>
      <c r="M3" t="s">
        <v>26</v>
      </c>
    </row>
    <row r="4" spans="1:13" x14ac:dyDescent="0.3">
      <c r="A4" s="4">
        <v>3</v>
      </c>
      <c r="B4" s="4">
        <v>3.6</v>
      </c>
      <c r="C4" s="4">
        <f>A4-(A4^(1/3))-2</f>
        <v>-0.4422495703074083</v>
      </c>
      <c r="D4" s="4">
        <f>B4-(B4^(1/3))-2</f>
        <v>6.7381135212893906E-2</v>
      </c>
      <c r="E4" s="4">
        <f>B4-D4/((C4-D4)/(A4-B4))</f>
        <v>3.5206706332844271</v>
      </c>
      <c r="F4" s="4">
        <f>E4-(E4^(1/3))-2</f>
        <v>-6.0695043487113409E-4</v>
      </c>
      <c r="H4" s="4">
        <v>0.5</v>
      </c>
      <c r="I4" s="4">
        <v>1</v>
      </c>
      <c r="J4" s="4">
        <f>H4*TAN(H4)-1</f>
        <v>-0.72684875507810476</v>
      </c>
      <c r="K4" s="4">
        <f>I4*TAN(I4)-1</f>
        <v>0.55740772465490229</v>
      </c>
      <c r="L4" s="4">
        <f>I4-K4/((J4-K4)/(H4-I4))</f>
        <v>0.78298426620717321</v>
      </c>
      <c r="M4" s="4">
        <f>L4*TAN(L4)-1</f>
        <v>-0.22078672537170352</v>
      </c>
    </row>
    <row r="5" spans="1:13" x14ac:dyDescent="0.3">
      <c r="A5" s="4">
        <f>B4</f>
        <v>3.6</v>
      </c>
      <c r="B5" s="4">
        <f>E4</f>
        <v>3.5206706332844271</v>
      </c>
      <c r="C5" s="4">
        <f>A5-(A5^(1/3))-2</f>
        <v>6.7381135212893906E-2</v>
      </c>
      <c r="D5" s="4">
        <f xml:space="preserve"> B5-(B5^(1/3))-2</f>
        <v>-6.0695043487113409E-4</v>
      </c>
      <c r="E5" s="4">
        <f>B5-D5/((C5-D5)/(A5-B5))</f>
        <v>3.5213788308041445</v>
      </c>
      <c r="F5" s="4">
        <f>E5-(E5^(1/3))-2</f>
        <v>-7.4984443787506905E-7</v>
      </c>
      <c r="H5" s="4">
        <f>I4</f>
        <v>1</v>
      </c>
      <c r="I5" s="4">
        <f>L4</f>
        <v>0.78298426620717321</v>
      </c>
      <c r="J5" s="4">
        <f>H5*TAN(H5)-1</f>
        <v>0.55740772465490229</v>
      </c>
      <c r="K5" s="4">
        <f>I5*TAN(I5)-1</f>
        <v>-0.22078672537170352</v>
      </c>
      <c r="L5" s="4">
        <f>I5-K5/((J5-K5)/(H5-I5))</f>
        <v>0.84455524402205917</v>
      </c>
      <c r="M5" s="4">
        <f>L5*TAN(L5)-1</f>
        <v>-4.9107218557610688E-2</v>
      </c>
    </row>
    <row r="6" spans="1:13" x14ac:dyDescent="0.3">
      <c r="A6" s="4">
        <f t="shared" ref="A6:A9" si="0">B5</f>
        <v>3.5206706332844271</v>
      </c>
      <c r="B6" s="4">
        <f t="shared" ref="B6:B9" si="1">E5</f>
        <v>3.5213788308041445</v>
      </c>
      <c r="C6" s="4">
        <f t="shared" ref="C6:C9" si="2">A6-(A6^(1/3))-2</f>
        <v>-6.0695043487113409E-4</v>
      </c>
      <c r="D6" s="4">
        <f t="shared" ref="D6:D9" si="3" xml:space="preserve"> B6-(B6^(1/3))-2</f>
        <v>-7.4984443787506905E-7</v>
      </c>
      <c r="E6" s="4">
        <f t="shared" ref="E6:E9" si="4">B6-D6/((C6-D6)/(A6-B6))</f>
        <v>3.5213797068144608</v>
      </c>
      <c r="F6" s="4">
        <f t="shared" ref="F6:F9" si="5">E6-(E6^(1/3))-2</f>
        <v>8.4687812318406941E-12</v>
      </c>
      <c r="H6" s="4">
        <f t="shared" ref="H6:H8" si="6">I5</f>
        <v>0.78298426620717321</v>
      </c>
      <c r="I6" s="4">
        <f t="shared" ref="I6:I8" si="7">L5</f>
        <v>0.84455524402205917</v>
      </c>
      <c r="J6" s="4">
        <f t="shared" ref="J6:J8" si="8">H6*TAN(H6)-1</f>
        <v>-0.22078672537170352</v>
      </c>
      <c r="K6" s="4">
        <f t="shared" ref="K6:K8" si="9">I6*TAN(I6)-1</f>
        <v>-4.9107218557610688E-2</v>
      </c>
      <c r="L6" s="4">
        <f t="shared" ref="L6:L8" si="10">I6-K6/((J6-K6)/(H6-I6))</f>
        <v>0.86216701097357751</v>
      </c>
      <c r="M6" s="4">
        <f t="shared" ref="M6:M8" si="11">L6*TAN(L6)-1</f>
        <v>5.8553168622386131E-3</v>
      </c>
    </row>
    <row r="7" spans="1:13" x14ac:dyDescent="0.3">
      <c r="A7" s="4">
        <f t="shared" si="0"/>
        <v>3.5213788308041445</v>
      </c>
      <c r="B7" s="4">
        <f t="shared" si="1"/>
        <v>3.5213797068144608</v>
      </c>
      <c r="C7" s="4">
        <f t="shared" si="2"/>
        <v>-7.4984443787506905E-7</v>
      </c>
      <c r="D7" s="4">
        <f t="shared" si="3"/>
        <v>8.4687812318406941E-12</v>
      </c>
      <c r="E7" s="4">
        <f t="shared" si="4"/>
        <v>3.5213797068045674</v>
      </c>
      <c r="F7" s="4">
        <f t="shared" si="5"/>
        <v>0</v>
      </c>
      <c r="H7" s="4">
        <f t="shared" si="6"/>
        <v>0.84455524402205917</v>
      </c>
      <c r="I7" s="4">
        <f t="shared" si="7"/>
        <v>0.86216701097357751</v>
      </c>
      <c r="J7" s="4">
        <f t="shared" si="8"/>
        <v>-4.9107218557610688E-2</v>
      </c>
      <c r="K7" s="4">
        <f t="shared" si="9"/>
        <v>5.8553168622386131E-3</v>
      </c>
      <c r="L7" s="4">
        <f t="shared" si="10"/>
        <v>0.86029077882349003</v>
      </c>
      <c r="M7" s="4">
        <f t="shared" si="11"/>
        <v>-1.363424242818434E-4</v>
      </c>
    </row>
    <row r="8" spans="1:13" x14ac:dyDescent="0.3">
      <c r="A8" s="4">
        <f t="shared" si="0"/>
        <v>3.5213797068144608</v>
      </c>
      <c r="B8" s="4">
        <f t="shared" si="1"/>
        <v>3.5213797068045674</v>
      </c>
      <c r="C8" s="4">
        <f t="shared" si="2"/>
        <v>8.4687812318406941E-12</v>
      </c>
      <c r="D8" s="4">
        <f t="shared" si="3"/>
        <v>0</v>
      </c>
      <c r="E8" s="4">
        <f t="shared" si="4"/>
        <v>3.5213797068045674</v>
      </c>
      <c r="F8" s="4">
        <f t="shared" si="5"/>
        <v>0</v>
      </c>
      <c r="H8" s="4">
        <f t="shared" si="6"/>
        <v>0.86216701097357751</v>
      </c>
      <c r="I8" s="4">
        <f t="shared" si="7"/>
        <v>0.86029077882349003</v>
      </c>
      <c r="J8" s="4">
        <f t="shared" si="8"/>
        <v>5.8553168622386131E-3</v>
      </c>
      <c r="K8" s="4">
        <f t="shared" si="9"/>
        <v>-1.363424242818434E-4</v>
      </c>
      <c r="L8" s="4">
        <f t="shared" si="10"/>
        <v>0.86033347318036613</v>
      </c>
      <c r="M8" s="4">
        <f t="shared" si="11"/>
        <v>-3.6894873078896495E-7</v>
      </c>
    </row>
    <row r="10" spans="1:13" x14ac:dyDescent="0.3">
      <c r="A10" t="s">
        <v>13</v>
      </c>
      <c r="B10" t="s">
        <v>7</v>
      </c>
      <c r="H10" t="s">
        <v>14</v>
      </c>
      <c r="I10" t="s">
        <v>8</v>
      </c>
    </row>
    <row r="11" spans="1:13" x14ac:dyDescent="0.3">
      <c r="A11" t="s">
        <v>18</v>
      </c>
      <c r="B11" t="s">
        <v>19</v>
      </c>
      <c r="C11" t="s">
        <v>20</v>
      </c>
      <c r="D11" t="s">
        <v>21</v>
      </c>
      <c r="E11" t="s">
        <v>27</v>
      </c>
      <c r="F11" t="s">
        <v>26</v>
      </c>
      <c r="H11" t="s">
        <v>18</v>
      </c>
      <c r="I11" t="s">
        <v>19</v>
      </c>
      <c r="J11" t="s">
        <v>20</v>
      </c>
      <c r="K11" t="s">
        <v>21</v>
      </c>
      <c r="L11" t="s">
        <v>27</v>
      </c>
      <c r="M11" t="s">
        <v>26</v>
      </c>
    </row>
    <row r="12" spans="1:13" x14ac:dyDescent="0.3">
      <c r="A12">
        <v>1</v>
      </c>
      <c r="B12">
        <v>1.5</v>
      </c>
      <c r="C12">
        <f>(A12^4)-EXP(A12)+1</f>
        <v>-0.71828182845904509</v>
      </c>
      <c r="D12">
        <f>(B12^4)-EXP(B12)+1</f>
        <v>1.5808109296619355</v>
      </c>
      <c r="E12">
        <f>B12-D12/((C12-D12)/(A12-B12))</f>
        <v>1.1562098410170472</v>
      </c>
      <c r="F12">
        <f>(E12^4)-EXP(E12)+1</f>
        <v>-0.39077489380034813</v>
      </c>
      <c r="H12">
        <v>0.5</v>
      </c>
      <c r="I12">
        <v>1</v>
      </c>
      <c r="J12">
        <f>(H12^2)*EXP(H12)-1</f>
        <v>-0.58781968232496795</v>
      </c>
      <c r="K12">
        <f>(I12^2)*EXP(I12)-1</f>
        <v>1.7182818284590451</v>
      </c>
      <c r="L12">
        <f>I12-K12/((J12-K12)/(H12-I12))</f>
        <v>0.62744878739642407</v>
      </c>
      <c r="M12">
        <f>(L12^2)*EXP(L12)-1</f>
        <v>-0.26268322524055865</v>
      </c>
    </row>
    <row r="13" spans="1:13" x14ac:dyDescent="0.3">
      <c r="A13" s="4">
        <f>B12</f>
        <v>1.5</v>
      </c>
      <c r="B13" s="4">
        <f>E12</f>
        <v>1.1562098410170472</v>
      </c>
      <c r="C13" s="4">
        <f>(A13^4)-EXP(A13)+1</f>
        <v>1.5808109296619355</v>
      </c>
      <c r="D13" s="4">
        <f>(B13^4)-EXP(B13)+1</f>
        <v>-0.39077489380034813</v>
      </c>
      <c r="E13" s="4">
        <f>B13-D13/((C13-D13)/(A13-B13))</f>
        <v>1.2243501985239027</v>
      </c>
      <c r="F13" s="4">
        <f>(E13^4)-EXP(E13)+1</f>
        <v>-0.15485360900512912</v>
      </c>
      <c r="H13" s="4">
        <f>I12</f>
        <v>1</v>
      </c>
      <c r="I13" s="4">
        <f>L12</f>
        <v>0.62744878739642407</v>
      </c>
      <c r="J13" s="4">
        <f>(H13^2)*EXP(H13)-1</f>
        <v>1.7182818284590451</v>
      </c>
      <c r="K13" s="4">
        <f>(I13^2)*EXP(I13)-1</f>
        <v>-0.26268322524055865</v>
      </c>
      <c r="L13" s="4">
        <f>I13-K13/((J13-K13)/(H13-I13))</f>
        <v>0.67685044337779632</v>
      </c>
      <c r="M13" s="4">
        <f>(L13^2)*EXP(L13)-1</f>
        <v>-9.8557877023278229E-2</v>
      </c>
    </row>
    <row r="14" spans="1:13" x14ac:dyDescent="0.3">
      <c r="A14" s="4">
        <f t="shared" ref="A14:A21" si="12">B13</f>
        <v>1.1562098410170472</v>
      </c>
      <c r="B14" s="4">
        <f t="shared" ref="B14:B21" si="13">E13</f>
        <v>1.2243501985239027</v>
      </c>
      <c r="C14" s="4">
        <f t="shared" ref="C14:C21" si="14">(A14^4)-EXP(A14)+1</f>
        <v>-0.39077489380034813</v>
      </c>
      <c r="D14" s="4">
        <f t="shared" ref="D14:D21" si="15">(B14^4)-EXP(B14)+1</f>
        <v>-0.15485360900512912</v>
      </c>
      <c r="E14" s="4">
        <f t="shared" ref="E14:E21" si="16">B14-D14/((C14-D14)/(A14-B14))</f>
        <v>1.2690760497246341</v>
      </c>
      <c r="F14" s="4">
        <f t="shared" ref="F14:F21" si="17">(E14^4)-EXP(E14)+1</f>
        <v>3.6320220185199314E-2</v>
      </c>
      <c r="H14" s="4">
        <f t="shared" ref="H14:H19" si="18">I13</f>
        <v>0.62744878739642407</v>
      </c>
      <c r="I14" s="4">
        <f t="shared" ref="I14:I19" si="19">L13</f>
        <v>0.67685044337779632</v>
      </c>
      <c r="J14" s="4">
        <f t="shared" ref="J14:J19" si="20">(H14^2)*EXP(H14)-1</f>
        <v>-0.26268322524055865</v>
      </c>
      <c r="K14" s="4">
        <f t="shared" ref="K14:K19" si="21">(I14^2)*EXP(I14)-1</f>
        <v>-9.8557877023278229E-2</v>
      </c>
      <c r="L14" s="4">
        <f t="shared" ref="L14:L19" si="22">I14-K14/((J14-K14)/(H14-I14))</f>
        <v>0.70651632002539722</v>
      </c>
      <c r="M14" s="4">
        <f t="shared" ref="M14:M19" si="23">(L14^2)*EXP(L14)-1</f>
        <v>1.1767058906573924E-2</v>
      </c>
    </row>
    <row r="15" spans="1:13" x14ac:dyDescent="0.3">
      <c r="A15" s="4">
        <f t="shared" si="12"/>
        <v>1.2243501985239027</v>
      </c>
      <c r="B15" s="4">
        <f t="shared" si="13"/>
        <v>1.2690760497246341</v>
      </c>
      <c r="C15" s="4">
        <f t="shared" si="14"/>
        <v>-0.15485360900512912</v>
      </c>
      <c r="D15" s="4">
        <f t="shared" si="15"/>
        <v>3.6320220185199314E-2</v>
      </c>
      <c r="E15" s="4">
        <f t="shared" si="16"/>
        <v>1.260578794789369</v>
      </c>
      <c r="F15" s="4">
        <f t="shared" si="17"/>
        <v>-2.3543926725118069E-3</v>
      </c>
      <c r="H15" s="4">
        <f t="shared" si="18"/>
        <v>0.67685044337779632</v>
      </c>
      <c r="I15" s="4">
        <f t="shared" si="19"/>
        <v>0.70651632002539722</v>
      </c>
      <c r="J15" s="4">
        <f t="shared" si="20"/>
        <v>-9.8557877023278229E-2</v>
      </c>
      <c r="K15" s="4">
        <f t="shared" si="21"/>
        <v>1.1767058906573924E-2</v>
      </c>
      <c r="L15" s="4">
        <f t="shared" si="22"/>
        <v>0.70335221106775025</v>
      </c>
      <c r="M15" s="4">
        <f t="shared" si="23"/>
        <v>-4.4269323395829119E-4</v>
      </c>
    </row>
    <row r="16" spans="1:13" x14ac:dyDescent="0.3">
      <c r="A16" s="4">
        <f t="shared" si="12"/>
        <v>1.2690760497246341</v>
      </c>
      <c r="B16" s="4">
        <f t="shared" si="13"/>
        <v>1.260578794789369</v>
      </c>
      <c r="C16" s="4">
        <f t="shared" si="14"/>
        <v>3.6320220185199314E-2</v>
      </c>
      <c r="D16" s="4">
        <f t="shared" si="15"/>
        <v>-2.3543926725118069E-3</v>
      </c>
      <c r="E16" s="4">
        <f t="shared" si="16"/>
        <v>1.2610960817969896</v>
      </c>
      <c r="F16" s="4">
        <f t="shared" si="17"/>
        <v>-3.2242638435597826E-5</v>
      </c>
      <c r="H16" s="4">
        <f t="shared" si="18"/>
        <v>0.70651632002539722</v>
      </c>
      <c r="I16" s="4">
        <f t="shared" si="19"/>
        <v>0.70335221106775025</v>
      </c>
      <c r="J16" s="4">
        <f t="shared" si="20"/>
        <v>1.1767058906573924E-2</v>
      </c>
      <c r="K16" s="4">
        <f t="shared" si="21"/>
        <v>-4.4269323395829119E-4</v>
      </c>
      <c r="L16" s="4">
        <f t="shared" si="22"/>
        <v>0.70346693326775356</v>
      </c>
      <c r="M16" s="4">
        <f t="shared" si="23"/>
        <v>-1.8801413493862995E-6</v>
      </c>
    </row>
    <row r="17" spans="1:13" x14ac:dyDescent="0.3">
      <c r="A17" s="4">
        <f t="shared" si="12"/>
        <v>1.260578794789369</v>
      </c>
      <c r="B17" s="4">
        <f t="shared" si="13"/>
        <v>1.2610960817969896</v>
      </c>
      <c r="C17" s="4">
        <f t="shared" si="14"/>
        <v>-2.3543926725118069E-3</v>
      </c>
      <c r="D17" s="4">
        <f t="shared" si="15"/>
        <v>-3.2242638435597826E-5</v>
      </c>
      <c r="E17" s="4">
        <f t="shared" si="16"/>
        <v>1.2611032642346915</v>
      </c>
      <c r="F17" s="4">
        <f t="shared" si="17"/>
        <v>2.9289176861624355E-8</v>
      </c>
      <c r="H17" s="4">
        <f t="shared" si="18"/>
        <v>0.70335221106775025</v>
      </c>
      <c r="I17" s="4">
        <f t="shared" si="19"/>
        <v>0.70346693326775356</v>
      </c>
      <c r="J17" s="4">
        <f t="shared" si="20"/>
        <v>-4.4269323395829119E-4</v>
      </c>
      <c r="K17" s="4">
        <f t="shared" si="21"/>
        <v>-1.8801413493862995E-6</v>
      </c>
      <c r="L17" s="4">
        <f t="shared" si="22"/>
        <v>0.70346742257706751</v>
      </c>
      <c r="M17" s="4">
        <f t="shared" si="23"/>
        <v>3.0235591808036588E-10</v>
      </c>
    </row>
    <row r="18" spans="1:13" x14ac:dyDescent="0.3">
      <c r="A18" s="4">
        <f t="shared" si="12"/>
        <v>1.2610960817969896</v>
      </c>
      <c r="B18" s="4">
        <f t="shared" si="13"/>
        <v>1.2611032642346915</v>
      </c>
      <c r="C18" s="4">
        <f t="shared" si="14"/>
        <v>-3.2242638435597826E-5</v>
      </c>
      <c r="D18" s="4">
        <f t="shared" si="15"/>
        <v>2.9289176861624355E-8</v>
      </c>
      <c r="E18" s="4">
        <f t="shared" si="16"/>
        <v>1.2611032577160946</v>
      </c>
      <c r="F18" s="4">
        <f t="shared" si="17"/>
        <v>-3.6415315207705135E-13</v>
      </c>
      <c r="H18" s="4">
        <f t="shared" si="18"/>
        <v>0.70346693326775356</v>
      </c>
      <c r="I18" s="4">
        <f t="shared" si="19"/>
        <v>0.70346742257706751</v>
      </c>
      <c r="J18" s="4">
        <f t="shared" si="20"/>
        <v>-1.8801413493862995E-6</v>
      </c>
      <c r="K18" s="4">
        <f t="shared" si="21"/>
        <v>3.0235591808036588E-10</v>
      </c>
      <c r="L18" s="4">
        <f t="shared" si="22"/>
        <v>0.70346742249839167</v>
      </c>
      <c r="M18" s="4">
        <f t="shared" si="23"/>
        <v>0</v>
      </c>
    </row>
    <row r="19" spans="1:13" x14ac:dyDescent="0.3">
      <c r="A19" s="4">
        <f t="shared" si="12"/>
        <v>1.2611032642346915</v>
      </c>
      <c r="B19" s="4">
        <f t="shared" si="13"/>
        <v>1.2611032577160946</v>
      </c>
      <c r="C19" s="4">
        <f t="shared" si="14"/>
        <v>2.9289176861624355E-8</v>
      </c>
      <c r="D19" s="4">
        <f t="shared" si="15"/>
        <v>-3.6415315207705135E-13</v>
      </c>
      <c r="E19" s="4">
        <f t="shared" si="16"/>
        <v>1.2611032577161756</v>
      </c>
      <c r="F19" s="4">
        <f t="shared" si="17"/>
        <v>0</v>
      </c>
      <c r="H19" s="4">
        <f t="shared" si="18"/>
        <v>0.70346742257706751</v>
      </c>
      <c r="I19" s="4">
        <f t="shared" si="19"/>
        <v>0.70346742249839167</v>
      </c>
      <c r="J19" s="4">
        <f t="shared" si="20"/>
        <v>3.0235591808036588E-10</v>
      </c>
      <c r="K19" s="4">
        <f t="shared" si="21"/>
        <v>0</v>
      </c>
      <c r="L19" s="4">
        <f t="shared" si="22"/>
        <v>0.70346742249839167</v>
      </c>
      <c r="M19" s="4">
        <f t="shared" si="2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A138-D002-4500-8E44-083402906B2E}">
  <dimension ref="A1:O43"/>
  <sheetViews>
    <sheetView zoomScale="47" workbookViewId="0">
      <selection activeCell="V38" sqref="V38"/>
    </sheetView>
  </sheetViews>
  <sheetFormatPr defaultRowHeight="14.4" x14ac:dyDescent="0.3"/>
  <cols>
    <col min="1" max="1" width="10.21875" bestFit="1" customWidth="1"/>
    <col min="2" max="2" width="19.6640625" customWidth="1"/>
    <col min="13" max="13" width="19.6640625" customWidth="1"/>
    <col min="14" max="14" width="23.6640625" customWidth="1"/>
    <col min="15" max="15" width="18" customWidth="1"/>
  </cols>
  <sheetData>
    <row r="1" spans="1:14" x14ac:dyDescent="0.3">
      <c r="A1" t="s">
        <v>28</v>
      </c>
    </row>
    <row r="2" spans="1:14" x14ac:dyDescent="0.3">
      <c r="A2" t="s">
        <v>29</v>
      </c>
      <c r="B2" t="s">
        <v>30</v>
      </c>
      <c r="M2" t="s">
        <v>15</v>
      </c>
      <c r="N2" t="s">
        <v>32</v>
      </c>
    </row>
    <row r="3" spans="1:14" x14ac:dyDescent="0.3">
      <c r="A3" t="s">
        <v>10</v>
      </c>
      <c r="B3" t="s">
        <v>11</v>
      </c>
      <c r="M3" t="s">
        <v>10</v>
      </c>
      <c r="N3" t="s">
        <v>33</v>
      </c>
    </row>
    <row r="4" spans="1:14" x14ac:dyDescent="0.3">
      <c r="A4">
        <v>-5</v>
      </c>
      <c r="B4">
        <f>A4^3-(17*A4)+12</f>
        <v>-28</v>
      </c>
      <c r="M4" s="4">
        <v>3.8323723823744849</v>
      </c>
      <c r="N4" s="4">
        <f>BESSELJ(M4, 1)</f>
        <v>-2.6838038524441561E-4</v>
      </c>
    </row>
    <row r="5" spans="1:14" x14ac:dyDescent="0.3">
      <c r="A5">
        <f>A4+1</f>
        <v>-4</v>
      </c>
      <c r="B5">
        <f>A5^3-(17*A5)+12</f>
        <v>16</v>
      </c>
    </row>
    <row r="6" spans="1:14" x14ac:dyDescent="0.3">
      <c r="A6">
        <f t="shared" ref="A6:A8" si="0">A5+1</f>
        <v>-3</v>
      </c>
      <c r="B6">
        <f t="shared" ref="B5:B14" si="1">A6^3-(17*A6)+12</f>
        <v>36</v>
      </c>
      <c r="M6" t="s">
        <v>15</v>
      </c>
      <c r="N6" t="s">
        <v>34</v>
      </c>
    </row>
    <row r="7" spans="1:14" x14ac:dyDescent="0.3">
      <c r="A7">
        <f t="shared" si="0"/>
        <v>-2</v>
      </c>
      <c r="B7">
        <f t="shared" si="1"/>
        <v>38</v>
      </c>
      <c r="M7" t="s">
        <v>36</v>
      </c>
      <c r="N7" t="s">
        <v>35</v>
      </c>
    </row>
    <row r="8" spans="1:14" x14ac:dyDescent="0.3">
      <c r="A8">
        <f t="shared" si="0"/>
        <v>-1</v>
      </c>
      <c r="B8">
        <f t="shared" si="1"/>
        <v>28</v>
      </c>
      <c r="M8" s="4">
        <v>2.5471065992928326</v>
      </c>
      <c r="N8" s="4">
        <f xml:space="preserve"> (11.85 + 8.88 / M8^2) * (M8 - 0.0641) - 0.082057 * 400</f>
        <v>-5.9884028708268033E-4</v>
      </c>
    </row>
    <row r="9" spans="1:14" x14ac:dyDescent="0.3">
      <c r="A9">
        <f t="shared" ref="A9" si="2">A8+1</f>
        <v>0</v>
      </c>
      <c r="B9">
        <f t="shared" si="1"/>
        <v>12</v>
      </c>
    </row>
    <row r="10" spans="1:14" x14ac:dyDescent="0.3">
      <c r="A10">
        <f t="shared" ref="A10:A14" si="3">A9+1</f>
        <v>1</v>
      </c>
      <c r="B10">
        <f t="shared" si="1"/>
        <v>-4</v>
      </c>
    </row>
    <row r="11" spans="1:14" x14ac:dyDescent="0.3">
      <c r="A11">
        <f t="shared" si="3"/>
        <v>2</v>
      </c>
      <c r="B11">
        <f t="shared" si="1"/>
        <v>-14</v>
      </c>
      <c r="M11" t="s">
        <v>15</v>
      </c>
      <c r="N11" t="s">
        <v>37</v>
      </c>
    </row>
    <row r="12" spans="1:14" x14ac:dyDescent="0.3">
      <c r="A12">
        <f t="shared" si="3"/>
        <v>3</v>
      </c>
      <c r="B12">
        <f t="shared" si="1"/>
        <v>-12</v>
      </c>
      <c r="M12" t="s">
        <v>39</v>
      </c>
      <c r="N12" t="s">
        <v>38</v>
      </c>
    </row>
    <row r="13" spans="1:14" x14ac:dyDescent="0.3">
      <c r="A13">
        <f t="shared" si="3"/>
        <v>4</v>
      </c>
      <c r="B13">
        <f t="shared" si="1"/>
        <v>8</v>
      </c>
      <c r="M13" s="1">
        <v>1.8517610081638273E-2</v>
      </c>
      <c r="N13" s="1">
        <f>1/SQRT(M13) + 2*LOG10( (0.0001/3.7) + (2.51/(100000*SQRT(M13))) )</f>
        <v>-8.1960482974263726E-4</v>
      </c>
    </row>
    <row r="14" spans="1:14" x14ac:dyDescent="0.3">
      <c r="A14">
        <f t="shared" si="3"/>
        <v>5</v>
      </c>
      <c r="B14">
        <f t="shared" si="1"/>
        <v>52</v>
      </c>
    </row>
    <row r="16" spans="1:14" x14ac:dyDescent="0.3">
      <c r="A16" t="s">
        <v>15</v>
      </c>
      <c r="B16" t="s">
        <v>31</v>
      </c>
      <c r="M16" t="s">
        <v>40</v>
      </c>
    </row>
    <row r="17" spans="1:15" x14ac:dyDescent="0.3">
      <c r="A17" t="s">
        <v>10</v>
      </c>
      <c r="B17" t="s">
        <v>30</v>
      </c>
      <c r="M17" t="s">
        <v>41</v>
      </c>
      <c r="N17" t="s">
        <v>42</v>
      </c>
      <c r="O17" t="s">
        <v>38</v>
      </c>
    </row>
    <row r="18" spans="1:15" x14ac:dyDescent="0.3">
      <c r="A18" s="4">
        <v>-4.4388565365092134</v>
      </c>
      <c r="B18" s="4">
        <f>A18^3-(17*A18)+12</f>
        <v>-2.1494824898127263E-4</v>
      </c>
      <c r="M18">
        <v>5000</v>
      </c>
      <c r="N18" s="2">
        <v>3.7504400903214601E-2</v>
      </c>
      <c r="O18" s="2">
        <f>1/SQRT(N18) + 2*LOG10( (0.0001/3.7) + (2.51/(M18*SQRT(N18))) )</f>
        <v>9.4041325473526172E-6</v>
      </c>
    </row>
    <row r="19" spans="1:15" x14ac:dyDescent="0.3">
      <c r="M19">
        <f>1000+M18</f>
        <v>6000</v>
      </c>
      <c r="N19" s="2">
        <v>3.562406706563629E-2</v>
      </c>
      <c r="O19" s="2">
        <f t="shared" ref="O19:O43" si="4">1/SQRT(N19) + 2*LOG10( (0.0001/3.7) + (2.51/(M19*SQRT(N19))) )</f>
        <v>2.7794899239097504E-5</v>
      </c>
    </row>
    <row r="20" spans="1:15" x14ac:dyDescent="0.3">
      <c r="A20" t="s">
        <v>10</v>
      </c>
      <c r="B20" t="s">
        <v>30</v>
      </c>
      <c r="M20">
        <f t="shared" ref="M20:M45" si="5">1000+M19</f>
        <v>7000</v>
      </c>
      <c r="N20" s="2">
        <v>3.4140216328408052E-2</v>
      </c>
      <c r="O20" s="2">
        <f t="shared" si="4"/>
        <v>1.154389668300837E-5</v>
      </c>
    </row>
    <row r="21" spans="1:15" x14ac:dyDescent="0.3">
      <c r="A21" s="4">
        <v>0.72865835206802987</v>
      </c>
      <c r="B21" s="4">
        <f>A21^3-(17*A21)+12</f>
        <v>-3.159380783497312E-4</v>
      </c>
      <c r="M21">
        <f t="shared" si="5"/>
        <v>8000</v>
      </c>
      <c r="N21" s="2">
        <v>3.2917898902166905E-2</v>
      </c>
      <c r="O21" s="2">
        <f t="shared" si="4"/>
        <v>8.8491195038997716E-4</v>
      </c>
    </row>
    <row r="22" spans="1:15" x14ac:dyDescent="0.3">
      <c r="M22">
        <f t="shared" si="5"/>
        <v>9000</v>
      </c>
      <c r="N22" s="2">
        <v>3.1903796940315567E-2</v>
      </c>
      <c r="O22" s="2">
        <f t="shared" si="4"/>
        <v>5.1830819137599349E-4</v>
      </c>
    </row>
    <row r="23" spans="1:15" x14ac:dyDescent="0.3">
      <c r="A23" t="s">
        <v>10</v>
      </c>
      <c r="B23" t="s">
        <v>30</v>
      </c>
      <c r="M23">
        <f t="shared" si="5"/>
        <v>10000</v>
      </c>
      <c r="N23" s="2">
        <v>3.1034359989761607E-2</v>
      </c>
      <c r="O23" s="2">
        <f t="shared" si="4"/>
        <v>2.9999897709576118E-4</v>
      </c>
    </row>
    <row r="24" spans="1:15" x14ac:dyDescent="0.3">
      <c r="A24" s="4">
        <v>3.7101985967442905</v>
      </c>
      <c r="B24" s="4">
        <f>A24^3-(17*A24)+12</f>
        <v>-3.6418932621984368E-4</v>
      </c>
      <c r="M24">
        <f t="shared" si="5"/>
        <v>11000</v>
      </c>
      <c r="N24" s="2">
        <v>3.0277276304985844E-2</v>
      </c>
      <c r="O24" s="2">
        <f t="shared" si="4"/>
        <v>1.7011573697800486E-4</v>
      </c>
    </row>
    <row r="25" spans="1:15" x14ac:dyDescent="0.3">
      <c r="M25">
        <f t="shared" si="5"/>
        <v>12000</v>
      </c>
      <c r="N25" s="2">
        <v>2.9609593868723014E-2</v>
      </c>
      <c r="O25" s="2">
        <f t="shared" si="4"/>
        <v>9.3555852056503852E-5</v>
      </c>
    </row>
    <row r="26" spans="1:15" x14ac:dyDescent="0.3">
      <c r="M26">
        <f t="shared" si="5"/>
        <v>13000</v>
      </c>
      <c r="N26" s="2">
        <v>2.9014486996039299E-2</v>
      </c>
      <c r="O26" s="2">
        <f t="shared" si="4"/>
        <v>4.9256657570495577E-5</v>
      </c>
    </row>
    <row r="27" spans="1:15" x14ac:dyDescent="0.3">
      <c r="M27">
        <f t="shared" si="5"/>
        <v>14000</v>
      </c>
      <c r="N27" s="2">
        <v>2.8479294172193293E-2</v>
      </c>
      <c r="O27" s="2">
        <f t="shared" si="4"/>
        <v>2.4381280104179837E-5</v>
      </c>
    </row>
    <row r="28" spans="1:15" x14ac:dyDescent="0.3">
      <c r="M28">
        <f t="shared" si="5"/>
        <v>15000</v>
      </c>
      <c r="N28" s="2">
        <v>2.7994274871899639E-2</v>
      </c>
      <c r="O28" s="2">
        <f t="shared" si="4"/>
        <v>1.1037000527736041E-5</v>
      </c>
    </row>
    <row r="29" spans="1:15" x14ac:dyDescent="0.3">
      <c r="M29">
        <f t="shared" si="5"/>
        <v>16000</v>
      </c>
      <c r="N29" s="2">
        <v>2.7544933868047447E-2</v>
      </c>
      <c r="O29" s="2">
        <f t="shared" si="4"/>
        <v>8.5953773611624484E-4</v>
      </c>
    </row>
    <row r="30" spans="1:15" x14ac:dyDescent="0.3">
      <c r="M30">
        <f t="shared" si="5"/>
        <v>17000</v>
      </c>
      <c r="N30" s="2">
        <v>2.7142510891667523E-2</v>
      </c>
      <c r="O30" s="2">
        <f t="shared" si="4"/>
        <v>4.1552324075322389E-4</v>
      </c>
    </row>
    <row r="31" spans="1:15" x14ac:dyDescent="0.3">
      <c r="M31">
        <f t="shared" si="5"/>
        <v>18000</v>
      </c>
      <c r="N31" s="2">
        <v>2.676884545784872E-2</v>
      </c>
      <c r="O31" s="2">
        <f t="shared" si="4"/>
        <v>3.1484730603992261E-4</v>
      </c>
    </row>
    <row r="32" spans="1:15" x14ac:dyDescent="0.3">
      <c r="M32">
        <f t="shared" si="5"/>
        <v>19000</v>
      </c>
      <c r="N32" s="2">
        <v>2.6422480712281333E-2</v>
      </c>
      <c r="O32" s="2">
        <f t="shared" si="4"/>
        <v>2.379789996780346E-4</v>
      </c>
    </row>
    <row r="33" spans="13:15" x14ac:dyDescent="0.3">
      <c r="M33">
        <f t="shared" si="5"/>
        <v>20000</v>
      </c>
      <c r="N33" s="2">
        <v>2.6100134449428974E-2</v>
      </c>
      <c r="O33" s="2">
        <f t="shared" si="4"/>
        <v>1.7926168675241883E-4</v>
      </c>
    </row>
    <row r="34" spans="13:15" x14ac:dyDescent="0.3">
      <c r="M34">
        <f t="shared" si="5"/>
        <v>21000</v>
      </c>
      <c r="N34" s="2">
        <v>2.5799058351702934E-2</v>
      </c>
      <c r="O34" s="2">
        <f t="shared" si="4"/>
        <v>1.344337396576023E-4</v>
      </c>
    </row>
    <row r="35" spans="13:15" x14ac:dyDescent="0.3">
      <c r="M35">
        <f t="shared" si="5"/>
        <v>22000</v>
      </c>
      <c r="N35" s="2">
        <v>2.5516930617617294E-2</v>
      </c>
      <c r="O35" s="2">
        <f t="shared" si="4"/>
        <v>1.0026214716774007E-4</v>
      </c>
    </row>
    <row r="36" spans="13:15" x14ac:dyDescent="0.3">
      <c r="M36">
        <f t="shared" si="5"/>
        <v>23000</v>
      </c>
      <c r="N36" s="2">
        <v>2.5251773950225282E-2</v>
      </c>
      <c r="O36" s="2">
        <f t="shared" si="4"/>
        <v>7.4279881715710872E-5</v>
      </c>
    </row>
    <row r="37" spans="13:15" x14ac:dyDescent="0.3">
      <c r="M37">
        <f t="shared" si="5"/>
        <v>24000</v>
      </c>
      <c r="N37" s="2">
        <v>2.5001892100744917E-2</v>
      </c>
      <c r="O37" s="2">
        <f t="shared" si="4"/>
        <v>5.4595307492633083E-5</v>
      </c>
    </row>
    <row r="38" spans="13:15" x14ac:dyDescent="0.3">
      <c r="M38">
        <f t="shared" si="5"/>
        <v>25000</v>
      </c>
      <c r="N38" s="2">
        <v>2.4765820189545623E-2</v>
      </c>
      <c r="O38" s="2">
        <f t="shared" si="4"/>
        <v>3.9752331625564352E-5</v>
      </c>
    </row>
    <row r="39" spans="13:15" x14ac:dyDescent="0.3">
      <c r="M39">
        <f t="shared" si="5"/>
        <v>26000</v>
      </c>
      <c r="N39" s="2">
        <v>2.4542285394685538E-2</v>
      </c>
      <c r="O39" s="2">
        <f t="shared" si="4"/>
        <v>2.8626764263961491E-5</v>
      </c>
    </row>
    <row r="40" spans="13:15" x14ac:dyDescent="0.3">
      <c r="M40">
        <f t="shared" si="5"/>
        <v>27000</v>
      </c>
      <c r="N40" s="2">
        <v>2.4330175537991779E-2</v>
      </c>
      <c r="O40" s="2">
        <f t="shared" si="4"/>
        <v>2.034882255852466E-5</v>
      </c>
    </row>
    <row r="41" spans="13:15" x14ac:dyDescent="0.3">
      <c r="M41">
        <f t="shared" si="5"/>
        <v>28000</v>
      </c>
      <c r="N41" s="2">
        <v>2.4128513754914552E-2</v>
      </c>
      <c r="O41" s="2">
        <f t="shared" si="4"/>
        <v>1.4244714636291178E-5</v>
      </c>
    </row>
    <row r="42" spans="13:15" x14ac:dyDescent="0.3">
      <c r="M42">
        <f>1000+M41</f>
        <v>29000</v>
      </c>
      <c r="N42" s="2">
        <v>2.3936437899510155E-2</v>
      </c>
      <c r="O42" s="2">
        <f t="shared" si="4"/>
        <v>9.7922850583742616E-6</v>
      </c>
    </row>
    <row r="43" spans="13:15" x14ac:dyDescent="0.3">
      <c r="M43">
        <f t="shared" si="5"/>
        <v>30000</v>
      </c>
      <c r="N43" s="2">
        <v>2.37531836701327E-2</v>
      </c>
      <c r="O43" s="2">
        <f t="shared" si="4"/>
        <v>6.5871161476493967E-6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S.</dc:creator>
  <cp:lastModifiedBy>Abbas S.</cp:lastModifiedBy>
  <dcterms:created xsi:type="dcterms:W3CDTF">2025-09-12T14:42:06Z</dcterms:created>
  <dcterms:modified xsi:type="dcterms:W3CDTF">2025-09-13T00:05:52Z</dcterms:modified>
</cp:coreProperties>
</file>