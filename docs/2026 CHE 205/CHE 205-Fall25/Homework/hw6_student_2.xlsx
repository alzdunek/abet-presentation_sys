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c365-my.sharepoint.com/personal/proma_uic_edu/Documents/"/>
    </mc:Choice>
  </mc:AlternateContent>
  <xr:revisionPtr revIDLastSave="30" documentId="8_{43186A49-29E4-B248-A656-CA4DC46D5531}" xr6:coauthVersionLast="47" xr6:coauthVersionMax="47" xr10:uidLastSave="{8AC06D5B-FC3F-644F-A04C-046B7B5FAE00}"/>
  <bookViews>
    <workbookView xWindow="14820" yWindow="940" windowWidth="15420" windowHeight="17100" activeTab="2" xr2:uid="{8551FA64-8CFC-CA48-8DE9-F9CBFD12F0FC}"/>
  </bookViews>
  <sheets>
    <sheet name="4.2" sheetId="1" r:id="rId1"/>
    <sheet name="4.4a" sheetId="3" r:id="rId2"/>
    <sheet name="4.4b" sheetId="4" r:id="rId3"/>
  </sheets>
  <definedNames>
    <definedName name="_xlchart.v1.0" hidden="1">'4.2'!$A$3:$A$17</definedName>
    <definedName name="_xlchart.v1.1" hidden="1">'4.2'!$B$3:$B$17</definedName>
    <definedName name="_xlchart.v2.2" hidden="1">'4.2'!$A$3:$A$17</definedName>
    <definedName name="_xlchart.v2.3" hidden="1">'4.2'!$B$3:$B$17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4" l="1"/>
  <c r="E12" i="4"/>
  <c r="E11" i="4"/>
  <c r="E10" i="4"/>
  <c r="B37" i="4"/>
  <c r="B36" i="4"/>
  <c r="B32" i="4"/>
  <c r="B33" i="4"/>
  <c r="B34" i="4"/>
  <c r="B31" i="4"/>
  <c r="A33" i="4"/>
  <c r="A34" i="4"/>
  <c r="A32" i="4"/>
  <c r="A31" i="4"/>
  <c r="B19" i="4"/>
  <c r="B17" i="4"/>
  <c r="B16" i="4"/>
  <c r="B15" i="4"/>
  <c r="B13" i="4"/>
  <c r="B10" i="4"/>
  <c r="B7" i="4"/>
  <c r="B6" i="4"/>
  <c r="J105" i="3"/>
  <c r="J104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3" i="3"/>
  <c r="D15" i="3"/>
  <c r="D14" i="3"/>
  <c r="D4" i="3"/>
  <c r="D5" i="3"/>
  <c r="D6" i="3"/>
  <c r="D7" i="3"/>
  <c r="D8" i="3"/>
  <c r="D9" i="3"/>
  <c r="D10" i="3"/>
  <c r="D11" i="3"/>
  <c r="D12" i="3"/>
  <c r="D13" i="3"/>
  <c r="D3" i="3"/>
  <c r="H3" i="3"/>
  <c r="G4" i="3"/>
  <c r="G5" i="3" s="1"/>
  <c r="C4" i="1"/>
  <c r="C3" i="1"/>
  <c r="B3" i="3"/>
  <c r="A4" i="3"/>
  <c r="A5" i="3" s="1"/>
  <c r="A6" i="3" s="1"/>
  <c r="A7" i="3" s="1"/>
  <c r="A8" i="3" s="1"/>
  <c r="A9" i="3" s="1"/>
  <c r="A10" i="3" s="1"/>
  <c r="A11" i="3" s="1"/>
  <c r="A12" i="3" s="1"/>
  <c r="A13" i="3" s="1"/>
  <c r="B13" i="3" s="1"/>
  <c r="B44" i="1"/>
  <c r="B41" i="1"/>
  <c r="B42" i="1"/>
  <c r="A38" i="1"/>
  <c r="A39" i="1" s="1"/>
  <c r="A27" i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26" i="1"/>
  <c r="J3" i="1"/>
  <c r="I4" i="1"/>
  <c r="I5" i="1" s="1"/>
  <c r="C19" i="1"/>
  <c r="C17" i="1"/>
  <c r="C16" i="1"/>
  <c r="C5" i="1"/>
  <c r="C6" i="1"/>
  <c r="C7" i="1"/>
  <c r="C8" i="1"/>
  <c r="C9" i="1"/>
  <c r="C10" i="1"/>
  <c r="C11" i="1"/>
  <c r="C12" i="1"/>
  <c r="C13" i="1"/>
  <c r="C14" i="1"/>
  <c r="C15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G6" i="3" l="1"/>
  <c r="H5" i="3"/>
  <c r="H4" i="3"/>
  <c r="B9" i="3"/>
  <c r="B8" i="3"/>
  <c r="B7" i="3"/>
  <c r="B6" i="3"/>
  <c r="B10" i="3"/>
  <c r="B4" i="3"/>
  <c r="B5" i="3"/>
  <c r="B12" i="3"/>
  <c r="B11" i="3"/>
  <c r="I6" i="1"/>
  <c r="J5" i="1"/>
  <c r="J4" i="1"/>
  <c r="G7" i="3" l="1"/>
  <c r="H6" i="3"/>
  <c r="I7" i="1"/>
  <c r="J6" i="1"/>
  <c r="G8" i="3" l="1"/>
  <c r="H7" i="3"/>
  <c r="I8" i="1"/>
  <c r="J7" i="1"/>
  <c r="G9" i="3" l="1"/>
  <c r="H8" i="3"/>
  <c r="I9" i="1"/>
  <c r="J8" i="1"/>
  <c r="G10" i="3" l="1"/>
  <c r="H9" i="3"/>
  <c r="I10" i="1"/>
  <c r="J9" i="1"/>
  <c r="G11" i="3" l="1"/>
  <c r="H10" i="3"/>
  <c r="I11" i="1"/>
  <c r="J10" i="1"/>
  <c r="G12" i="3" l="1"/>
  <c r="H11" i="3"/>
  <c r="I12" i="1"/>
  <c r="J11" i="1"/>
  <c r="G13" i="3" l="1"/>
  <c r="H12" i="3"/>
  <c r="I13" i="1"/>
  <c r="J12" i="1"/>
  <c r="G14" i="3" l="1"/>
  <c r="H13" i="3"/>
  <c r="I14" i="1"/>
  <c r="J13" i="1"/>
  <c r="G15" i="3" l="1"/>
  <c r="H14" i="3"/>
  <c r="I15" i="1"/>
  <c r="J14" i="1"/>
  <c r="G16" i="3" l="1"/>
  <c r="H15" i="3"/>
  <c r="I16" i="1"/>
  <c r="J15" i="1"/>
  <c r="G17" i="3" l="1"/>
  <c r="H16" i="3"/>
  <c r="I17" i="1"/>
  <c r="J16" i="1"/>
  <c r="G18" i="3" l="1"/>
  <c r="H17" i="3"/>
  <c r="I21" i="1"/>
  <c r="J23" i="1" s="1"/>
  <c r="J17" i="1"/>
  <c r="G19" i="3" l="1"/>
  <c r="H18" i="3"/>
  <c r="G20" i="3" l="1"/>
  <c r="H19" i="3"/>
  <c r="G21" i="3" l="1"/>
  <c r="H20" i="3"/>
  <c r="G22" i="3" l="1"/>
  <c r="H21" i="3"/>
  <c r="G23" i="3" l="1"/>
  <c r="H22" i="3"/>
  <c r="G24" i="3" l="1"/>
  <c r="H23" i="3"/>
  <c r="G25" i="3" l="1"/>
  <c r="H24" i="3"/>
  <c r="G26" i="3" l="1"/>
  <c r="H25" i="3"/>
  <c r="G27" i="3" l="1"/>
  <c r="H26" i="3"/>
  <c r="G28" i="3" l="1"/>
  <c r="H27" i="3"/>
  <c r="G29" i="3" l="1"/>
  <c r="H28" i="3"/>
  <c r="G30" i="3" l="1"/>
  <c r="H29" i="3"/>
  <c r="G31" i="3" l="1"/>
  <c r="H30" i="3"/>
  <c r="G32" i="3" l="1"/>
  <c r="H31" i="3"/>
  <c r="G33" i="3" l="1"/>
  <c r="H32" i="3"/>
  <c r="G34" i="3" l="1"/>
  <c r="H33" i="3"/>
  <c r="G35" i="3" l="1"/>
  <c r="H34" i="3"/>
  <c r="G36" i="3" l="1"/>
  <c r="H35" i="3"/>
  <c r="G37" i="3" l="1"/>
  <c r="H36" i="3"/>
  <c r="G38" i="3" l="1"/>
  <c r="H37" i="3"/>
  <c r="G39" i="3" l="1"/>
  <c r="H38" i="3"/>
  <c r="G40" i="3" l="1"/>
  <c r="H39" i="3"/>
  <c r="G41" i="3" l="1"/>
  <c r="H40" i="3"/>
  <c r="G42" i="3" l="1"/>
  <c r="H41" i="3"/>
  <c r="G43" i="3" l="1"/>
  <c r="H42" i="3"/>
  <c r="G44" i="3" l="1"/>
  <c r="H43" i="3"/>
  <c r="G45" i="3" l="1"/>
  <c r="H44" i="3"/>
  <c r="G46" i="3" l="1"/>
  <c r="H45" i="3"/>
  <c r="G47" i="3" l="1"/>
  <c r="H46" i="3"/>
  <c r="H47" i="3" l="1"/>
  <c r="G48" i="3"/>
  <c r="G49" i="3" l="1"/>
  <c r="H48" i="3"/>
  <c r="G50" i="3" l="1"/>
  <c r="H49" i="3"/>
  <c r="G51" i="3" l="1"/>
  <c r="H50" i="3"/>
  <c r="G52" i="3" l="1"/>
  <c r="H51" i="3"/>
  <c r="G53" i="3" l="1"/>
  <c r="H52" i="3"/>
  <c r="G54" i="3" l="1"/>
  <c r="H53" i="3"/>
  <c r="G55" i="3" l="1"/>
  <c r="H54" i="3"/>
  <c r="G56" i="3" l="1"/>
  <c r="H55" i="3"/>
  <c r="G57" i="3" l="1"/>
  <c r="H56" i="3"/>
  <c r="G58" i="3" l="1"/>
  <c r="H57" i="3"/>
  <c r="G59" i="3" l="1"/>
  <c r="H58" i="3"/>
  <c r="G60" i="3" l="1"/>
  <c r="H59" i="3"/>
  <c r="G61" i="3" l="1"/>
  <c r="H60" i="3"/>
  <c r="G62" i="3" l="1"/>
  <c r="H61" i="3"/>
  <c r="G63" i="3" l="1"/>
  <c r="H62" i="3"/>
  <c r="G64" i="3" l="1"/>
  <c r="H63" i="3"/>
  <c r="G65" i="3" l="1"/>
  <c r="H64" i="3"/>
  <c r="G66" i="3" l="1"/>
  <c r="H65" i="3"/>
  <c r="G67" i="3" l="1"/>
  <c r="H66" i="3"/>
  <c r="G68" i="3" l="1"/>
  <c r="H67" i="3"/>
  <c r="G69" i="3" l="1"/>
  <c r="H68" i="3"/>
  <c r="G70" i="3" l="1"/>
  <c r="H69" i="3"/>
  <c r="G71" i="3" l="1"/>
  <c r="H70" i="3"/>
  <c r="G72" i="3" l="1"/>
  <c r="H71" i="3"/>
  <c r="G73" i="3" l="1"/>
  <c r="H72" i="3"/>
  <c r="G74" i="3" l="1"/>
  <c r="H73" i="3"/>
  <c r="G75" i="3" l="1"/>
  <c r="H74" i="3"/>
  <c r="G76" i="3" l="1"/>
  <c r="H75" i="3"/>
  <c r="G77" i="3" l="1"/>
  <c r="H76" i="3"/>
  <c r="G78" i="3" l="1"/>
  <c r="H77" i="3"/>
  <c r="G79" i="3" l="1"/>
  <c r="H78" i="3"/>
  <c r="G80" i="3" l="1"/>
  <c r="H79" i="3"/>
  <c r="G81" i="3" l="1"/>
  <c r="H80" i="3"/>
  <c r="G82" i="3" l="1"/>
  <c r="H81" i="3"/>
  <c r="G83" i="3" l="1"/>
  <c r="H82" i="3"/>
  <c r="G84" i="3" l="1"/>
  <c r="H83" i="3"/>
  <c r="G85" i="3" l="1"/>
  <c r="H84" i="3"/>
  <c r="G86" i="3" l="1"/>
  <c r="H85" i="3"/>
  <c r="G87" i="3" l="1"/>
  <c r="H86" i="3"/>
  <c r="G88" i="3" l="1"/>
  <c r="H87" i="3"/>
  <c r="G89" i="3" l="1"/>
  <c r="H88" i="3"/>
  <c r="G90" i="3" l="1"/>
  <c r="H89" i="3"/>
  <c r="G91" i="3" l="1"/>
  <c r="H90" i="3"/>
  <c r="G92" i="3" l="1"/>
  <c r="H91" i="3"/>
  <c r="G93" i="3" l="1"/>
  <c r="H92" i="3"/>
  <c r="G94" i="3" l="1"/>
  <c r="H93" i="3"/>
  <c r="G95" i="3" l="1"/>
  <c r="H94" i="3"/>
  <c r="G96" i="3" l="1"/>
  <c r="H95" i="3"/>
  <c r="G97" i="3" l="1"/>
  <c r="H96" i="3"/>
  <c r="G98" i="3" l="1"/>
  <c r="H97" i="3"/>
  <c r="G99" i="3" l="1"/>
  <c r="H98" i="3"/>
  <c r="G100" i="3" l="1"/>
  <c r="H99" i="3"/>
  <c r="G101" i="3" l="1"/>
  <c r="H100" i="3"/>
  <c r="G102" i="3" l="1"/>
  <c r="H101" i="3"/>
  <c r="G103" i="3" l="1"/>
  <c r="H103" i="3" s="1"/>
  <c r="H102" i="3"/>
</calcChain>
</file>

<file path=xl/sharedStrings.xml><?xml version="1.0" encoding="utf-8"?>
<sst xmlns="http://schemas.openxmlformats.org/spreadsheetml/2006/main" count="68" uniqueCount="48">
  <si>
    <t>Temperature</t>
  </si>
  <si>
    <t>C_p</t>
  </si>
  <si>
    <t>Heat cap in J/mol*K</t>
  </si>
  <si>
    <t>Trap Rule</t>
  </si>
  <si>
    <t xml:space="preserve">Total enthalpy </t>
  </si>
  <si>
    <t>J/mol</t>
  </si>
  <si>
    <t>b</t>
  </si>
  <si>
    <t>y=</t>
  </si>
  <si>
    <t>Temp</t>
  </si>
  <si>
    <t>C_p by function</t>
  </si>
  <si>
    <t>Int of y</t>
  </si>
  <si>
    <t>(-2E-5x^3)/3+0.037x^2/2+37.131</t>
  </si>
  <si>
    <t>x^2</t>
  </si>
  <si>
    <t>x</t>
  </si>
  <si>
    <t>Error</t>
  </si>
  <si>
    <t>c</t>
  </si>
  <si>
    <t>Enthalpy (kJ/mol)</t>
  </si>
  <si>
    <t>Total Enthalpy</t>
  </si>
  <si>
    <t>kJ/mol</t>
  </si>
  <si>
    <t>Enthalpy from a</t>
  </si>
  <si>
    <t>dx</t>
  </si>
  <si>
    <t>I</t>
  </si>
  <si>
    <t>Weight</t>
  </si>
  <si>
    <t>Weight*I</t>
  </si>
  <si>
    <t>Sum</t>
  </si>
  <si>
    <t>h/3*sum</t>
  </si>
  <si>
    <t>I=</t>
  </si>
  <si>
    <t>int(-1,1)f(x)dx</t>
  </si>
  <si>
    <t>sum(n, i=1)w_i*f(x_i)</t>
  </si>
  <si>
    <t>1/2[sum(n,i=1)(w_i*sqrt(t_i+1/2)</t>
  </si>
  <si>
    <t>2 point</t>
  </si>
  <si>
    <t>t1</t>
  </si>
  <si>
    <t>t2</t>
  </si>
  <si>
    <t>w1</t>
  </si>
  <si>
    <t>I_2</t>
  </si>
  <si>
    <t>3 point</t>
  </si>
  <si>
    <t>t3</t>
  </si>
  <si>
    <t>w2</t>
  </si>
  <si>
    <t>I_3</t>
  </si>
  <si>
    <t>4 point</t>
  </si>
  <si>
    <t>t4</t>
  </si>
  <si>
    <t>w3</t>
  </si>
  <si>
    <t>w4</t>
  </si>
  <si>
    <t>I_4</t>
  </si>
  <si>
    <t>I exact</t>
  </si>
  <si>
    <t>I_2 error</t>
  </si>
  <si>
    <t>I_3 error</t>
  </si>
  <si>
    <t>I_4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</si>
</sst>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11" fontId="0" fillId="0" borderId="0" xfId="0" quotePrefix="1" applyNumberFormat="1"/>
    <xf numFmtId="11" fontId="0" fillId="0" borderId="0" xfId="0" applyNumberFormat="1"/>
    <xf numFmtId="2" fontId="0" fillId="0" borderId="0" xfId="0" applyNumberFormat="1"/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37625284339457565"/>
                  <c:y val="4.195465150189559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'4.2'!$A$3:$A$17</c:f>
              <c:numCache>
                <c:formatCode>General</c:formatCode>
                <c:ptCount val="15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  <c:pt idx="12">
                  <c:v>700</c:v>
                </c:pt>
                <c:pt idx="13">
                  <c:v>750</c:v>
                </c:pt>
                <c:pt idx="14">
                  <c:v>800</c:v>
                </c:pt>
              </c:numCache>
            </c:numRef>
          </c:xVal>
          <c:yVal>
            <c:numRef>
              <c:f>'4.2'!$B$3:$B$17</c:f>
              <c:numCache>
                <c:formatCode>General</c:formatCode>
                <c:ptCount val="15"/>
                <c:pt idx="0">
                  <c:v>40.460999999999999</c:v>
                </c:pt>
                <c:pt idx="1">
                  <c:v>42.256</c:v>
                </c:pt>
                <c:pt idx="2">
                  <c:v>43.881</c:v>
                </c:pt>
                <c:pt idx="3">
                  <c:v>45.354999999999997</c:v>
                </c:pt>
                <c:pt idx="4">
                  <c:v>46.695</c:v>
                </c:pt>
                <c:pt idx="5">
                  <c:v>47.917000000000002</c:v>
                </c:pt>
                <c:pt idx="6">
                  <c:v>49.033999999999999</c:v>
                </c:pt>
                <c:pt idx="7">
                  <c:v>50.055</c:v>
                </c:pt>
                <c:pt idx="8">
                  <c:v>50.988999999999997</c:v>
                </c:pt>
                <c:pt idx="9">
                  <c:v>51.843000000000004</c:v>
                </c:pt>
                <c:pt idx="10">
                  <c:v>52.624000000000002</c:v>
                </c:pt>
                <c:pt idx="11">
                  <c:v>53.338999999999999</c:v>
                </c:pt>
                <c:pt idx="12">
                  <c:v>53.994</c:v>
                </c:pt>
                <c:pt idx="13">
                  <c:v>54.593000000000004</c:v>
                </c:pt>
                <c:pt idx="14">
                  <c:v>55.143999999999998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31-464B-9973-B05470C01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4662320"/>
        <c:axId val="654596976"/>
      </c:scatterChart>
      <c:valAx>
        <c:axId val="65466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596976"/>
        <c:crosses val="autoZero"/>
        <c:crossBetween val="midCat"/>
      </c:valAx>
      <c:valAx>
        <c:axId val="65459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662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824556</xdr:colOff>
      <xdr:row>2</xdr:row>
      <xdr:rowOff>19844</xdr:rowOff>
    </xdr:from>
    <xdr:to>
      <xdr:col>7</xdr:col>
      <xdr:colOff>416719</xdr:colOff>
      <xdr:row>15</xdr:row>
      <xdr:rowOff>101601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5F3BC2-21D5-39A9-2F32-F9BABE249B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67034-0C42-E64C-8FB3-A58710380625}">
  <dimension ref="A1:N44"/>
  <sheetViews>
    <sheetView zoomScale="132" workbookViewId="0">
      <selection activeCell="C6" sqref="C6"/>
    </sheetView>
  </sheetViews>
  <sheetFormatPr baseColWidth="10" defaultRowHeight="16" x14ac:dyDescent="0.2"/>
  <cols>
    <col min="1" max="1" width="13.33203125" customWidth="1"/>
    <col min="2" max="2" width="18.83203125" customWidth="1"/>
  </cols>
  <sheetData>
    <row r="1" spans="1:14" x14ac:dyDescent="0.2">
      <c r="B1" t="s">
        <v>2</v>
      </c>
      <c r="F1" t="s">
        <v>6</v>
      </c>
      <c r="I1" t="s">
        <v>7</v>
      </c>
      <c r="J1" s="2">
        <v>-2.0000000000000002E-5</v>
      </c>
      <c r="K1" t="s">
        <v>12</v>
      </c>
      <c r="L1">
        <v>3.6999999999999998E-2</v>
      </c>
      <c r="M1" t="s">
        <v>13</v>
      </c>
      <c r="N1">
        <v>37.131</v>
      </c>
    </row>
    <row r="2" spans="1:14" x14ac:dyDescent="0.2">
      <c r="A2" t="s">
        <v>0</v>
      </c>
      <c r="B2" t="s">
        <v>1</v>
      </c>
      <c r="C2" t="s">
        <v>3</v>
      </c>
      <c r="I2" t="s">
        <v>8</v>
      </c>
      <c r="J2" t="s">
        <v>9</v>
      </c>
    </row>
    <row r="3" spans="1:14" x14ac:dyDescent="0.2">
      <c r="A3">
        <v>100</v>
      </c>
      <c r="B3">
        <v>40.460999999999999</v>
      </c>
      <c r="C3">
        <f>((B4+B3)/2)*(A4-A3)</f>
        <v>2067.9250000000002</v>
      </c>
      <c r="I3">
        <v>100</v>
      </c>
      <c r="J3">
        <f>((-2*10^-5)*(I3)^2)+(0.037*I3)+37.131</f>
        <v>40.631</v>
      </c>
    </row>
    <row r="4" spans="1:14" x14ac:dyDescent="0.2">
      <c r="A4">
        <f>A3+50</f>
        <v>150</v>
      </c>
      <c r="B4">
        <v>42.256</v>
      </c>
      <c r="C4">
        <f>((B3+B4)/2)*(A4-A3)</f>
        <v>2067.9250000000002</v>
      </c>
      <c r="I4">
        <f>I3+50</f>
        <v>150</v>
      </c>
      <c r="J4">
        <f t="shared" ref="J4:J17" si="0">((-2*10^-5)*(I4)^2)+(0.037*I4)+37.131</f>
        <v>42.231000000000002</v>
      </c>
    </row>
    <row r="5" spans="1:14" x14ac:dyDescent="0.2">
      <c r="A5">
        <f t="shared" ref="A5:A17" si="1">A4+50</f>
        <v>200</v>
      </c>
      <c r="B5">
        <v>43.881</v>
      </c>
      <c r="C5">
        <f t="shared" ref="C5:C16" si="2">((B4+B5)/2)*(A5-A4)</f>
        <v>2153.4250000000002</v>
      </c>
      <c r="I5">
        <f t="shared" ref="I5:I18" si="3">I4+50</f>
        <v>200</v>
      </c>
      <c r="J5">
        <f t="shared" si="0"/>
        <v>43.731000000000002</v>
      </c>
    </row>
    <row r="6" spans="1:14" x14ac:dyDescent="0.2">
      <c r="A6">
        <f t="shared" si="1"/>
        <v>250</v>
      </c>
      <c r="B6">
        <v>45.354999999999997</v>
      </c>
      <c r="C6">
        <f t="shared" si="2"/>
        <v>2230.8999999999996</v>
      </c>
      <c r="I6">
        <f t="shared" si="3"/>
        <v>250</v>
      </c>
      <c r="J6">
        <f t="shared" si="0"/>
        <v>45.131</v>
      </c>
    </row>
    <row r="7" spans="1:14" x14ac:dyDescent="0.2">
      <c r="A7">
        <f t="shared" si="1"/>
        <v>300</v>
      </c>
      <c r="B7">
        <v>46.695</v>
      </c>
      <c r="C7">
        <f t="shared" si="2"/>
        <v>2301.25</v>
      </c>
      <c r="I7">
        <f t="shared" si="3"/>
        <v>300</v>
      </c>
      <c r="J7">
        <f t="shared" si="0"/>
        <v>46.430999999999997</v>
      </c>
    </row>
    <row r="8" spans="1:14" x14ac:dyDescent="0.2">
      <c r="A8">
        <f t="shared" si="1"/>
        <v>350</v>
      </c>
      <c r="B8">
        <v>47.917000000000002</v>
      </c>
      <c r="C8">
        <f t="shared" si="2"/>
        <v>2365.2999999999997</v>
      </c>
      <c r="I8">
        <f t="shared" si="3"/>
        <v>350</v>
      </c>
      <c r="J8">
        <f t="shared" si="0"/>
        <v>47.631</v>
      </c>
    </row>
    <row r="9" spans="1:14" x14ac:dyDescent="0.2">
      <c r="A9">
        <f t="shared" si="1"/>
        <v>400</v>
      </c>
      <c r="B9">
        <v>49.033999999999999</v>
      </c>
      <c r="C9">
        <f t="shared" si="2"/>
        <v>2423.7749999999996</v>
      </c>
      <c r="I9">
        <f t="shared" si="3"/>
        <v>400</v>
      </c>
      <c r="J9">
        <f t="shared" si="0"/>
        <v>48.730999999999995</v>
      </c>
    </row>
    <row r="10" spans="1:14" x14ac:dyDescent="0.2">
      <c r="A10">
        <f t="shared" si="1"/>
        <v>450</v>
      </c>
      <c r="B10">
        <v>50.055</v>
      </c>
      <c r="C10">
        <f t="shared" si="2"/>
        <v>2477.2249999999999</v>
      </c>
      <c r="I10">
        <f t="shared" si="3"/>
        <v>450</v>
      </c>
      <c r="J10">
        <f t="shared" si="0"/>
        <v>49.730999999999995</v>
      </c>
    </row>
    <row r="11" spans="1:14" x14ac:dyDescent="0.2">
      <c r="A11">
        <f t="shared" si="1"/>
        <v>500</v>
      </c>
      <c r="B11">
        <v>50.988999999999997</v>
      </c>
      <c r="C11">
        <f t="shared" si="2"/>
        <v>2526.1</v>
      </c>
      <c r="I11">
        <f t="shared" si="3"/>
        <v>500</v>
      </c>
      <c r="J11">
        <f t="shared" si="0"/>
        <v>50.631</v>
      </c>
    </row>
    <row r="12" spans="1:14" x14ac:dyDescent="0.2">
      <c r="A12">
        <f t="shared" si="1"/>
        <v>550</v>
      </c>
      <c r="B12">
        <v>51.843000000000004</v>
      </c>
      <c r="C12">
        <f t="shared" si="2"/>
        <v>2570.7999999999997</v>
      </c>
      <c r="I12">
        <f t="shared" si="3"/>
        <v>550</v>
      </c>
      <c r="J12">
        <f t="shared" si="0"/>
        <v>51.430999999999997</v>
      </c>
    </row>
    <row r="13" spans="1:14" x14ac:dyDescent="0.2">
      <c r="A13">
        <f t="shared" si="1"/>
        <v>600</v>
      </c>
      <c r="B13">
        <v>52.624000000000002</v>
      </c>
      <c r="C13">
        <f t="shared" si="2"/>
        <v>2611.6750000000002</v>
      </c>
      <c r="I13">
        <f t="shared" si="3"/>
        <v>600</v>
      </c>
      <c r="J13">
        <f t="shared" si="0"/>
        <v>52.131</v>
      </c>
    </row>
    <row r="14" spans="1:14" x14ac:dyDescent="0.2">
      <c r="A14">
        <f>A13+50</f>
        <v>650</v>
      </c>
      <c r="B14">
        <v>53.338999999999999</v>
      </c>
      <c r="C14">
        <f t="shared" si="2"/>
        <v>2649.0749999999998</v>
      </c>
      <c r="I14">
        <f t="shared" si="3"/>
        <v>650</v>
      </c>
      <c r="J14">
        <f t="shared" si="0"/>
        <v>52.730999999999995</v>
      </c>
    </row>
    <row r="15" spans="1:14" x14ac:dyDescent="0.2">
      <c r="A15">
        <f t="shared" si="1"/>
        <v>700</v>
      </c>
      <c r="B15">
        <v>53.994</v>
      </c>
      <c r="C15">
        <f t="shared" si="2"/>
        <v>2683.3249999999998</v>
      </c>
      <c r="I15">
        <f t="shared" si="3"/>
        <v>700</v>
      </c>
      <c r="J15">
        <f t="shared" si="0"/>
        <v>53.230999999999995</v>
      </c>
    </row>
    <row r="16" spans="1:14" x14ac:dyDescent="0.2">
      <c r="A16">
        <f t="shared" si="1"/>
        <v>750</v>
      </c>
      <c r="B16">
        <v>54.593000000000004</v>
      </c>
      <c r="C16">
        <f>((B15+B16)/2)*(A16-A15)</f>
        <v>2714.6750000000002</v>
      </c>
      <c r="I16">
        <f t="shared" si="3"/>
        <v>750</v>
      </c>
      <c r="J16">
        <f t="shared" si="0"/>
        <v>53.631</v>
      </c>
    </row>
    <row r="17" spans="1:10" x14ac:dyDescent="0.2">
      <c r="A17">
        <f t="shared" si="1"/>
        <v>800</v>
      </c>
      <c r="B17">
        <v>55.143999999999998</v>
      </c>
      <c r="C17">
        <f>((B16+B17)/2)*(A17-A16)</f>
        <v>2743.4249999999997</v>
      </c>
      <c r="I17">
        <f t="shared" si="3"/>
        <v>800</v>
      </c>
      <c r="J17">
        <f t="shared" si="0"/>
        <v>53.930999999999997</v>
      </c>
    </row>
    <row r="19" spans="1:10" x14ac:dyDescent="0.2">
      <c r="B19" t="s">
        <v>4</v>
      </c>
      <c r="C19">
        <f>SUM(C3:C17)</f>
        <v>36586.800000000003</v>
      </c>
      <c r="D19" t="s">
        <v>5</v>
      </c>
      <c r="I19" t="s">
        <v>10</v>
      </c>
    </row>
    <row r="20" spans="1:10" x14ac:dyDescent="0.2">
      <c r="I20" s="1" t="s">
        <v>11</v>
      </c>
    </row>
    <row r="21" spans="1:10" x14ac:dyDescent="0.2">
      <c r="I21" s="3">
        <f>(((J1*I17^3)/3)+((L1*I17^2)/2)+(N1*I17))-(((J1*I3^3)/3)+((L1*I3^2)/2)+(N1*I3))</f>
        <v>34240.033333333333</v>
      </c>
      <c r="J21" t="s">
        <v>5</v>
      </c>
    </row>
    <row r="23" spans="1:10" x14ac:dyDescent="0.2">
      <c r="A23" t="s">
        <v>15</v>
      </c>
      <c r="I23" t="s">
        <v>14</v>
      </c>
      <c r="J23" s="3">
        <f>((ABS(I21-C19))/C19)*100</f>
        <v>6.4142441171861702</v>
      </c>
    </row>
    <row r="24" spans="1:10" x14ac:dyDescent="0.2">
      <c r="A24" t="s">
        <v>8</v>
      </c>
      <c r="B24" t="s">
        <v>16</v>
      </c>
    </row>
    <row r="25" spans="1:10" x14ac:dyDescent="0.2">
      <c r="A25">
        <v>100</v>
      </c>
      <c r="B25">
        <v>25.186</v>
      </c>
    </row>
    <row r="26" spans="1:10" x14ac:dyDescent="0.2">
      <c r="A26">
        <f>A25+50</f>
        <v>150</v>
      </c>
      <c r="B26">
        <v>27.254000000000001</v>
      </c>
    </row>
    <row r="27" spans="1:10" x14ac:dyDescent="0.2">
      <c r="A27">
        <f t="shared" ref="A27:A39" si="4">A26+50</f>
        <v>200</v>
      </c>
      <c r="B27">
        <v>29.408000000000001</v>
      </c>
    </row>
    <row r="28" spans="1:10" x14ac:dyDescent="0.2">
      <c r="A28">
        <f t="shared" si="4"/>
        <v>250</v>
      </c>
      <c r="B28">
        <v>31.64</v>
      </c>
    </row>
    <row r="29" spans="1:10" x14ac:dyDescent="0.2">
      <c r="A29">
        <f t="shared" si="4"/>
        <v>300</v>
      </c>
      <c r="B29">
        <v>33.942</v>
      </c>
    </row>
    <row r="30" spans="1:10" x14ac:dyDescent="0.2">
      <c r="A30">
        <f t="shared" si="4"/>
        <v>350</v>
      </c>
      <c r="B30">
        <v>36.307000000000002</v>
      </c>
    </row>
    <row r="31" spans="1:10" x14ac:dyDescent="0.2">
      <c r="A31">
        <f t="shared" si="4"/>
        <v>400</v>
      </c>
      <c r="B31">
        <v>38.731999999999999</v>
      </c>
    </row>
    <row r="32" spans="1:10" x14ac:dyDescent="0.2">
      <c r="A32">
        <f t="shared" si="4"/>
        <v>450</v>
      </c>
      <c r="B32">
        <v>41.209000000000003</v>
      </c>
    </row>
    <row r="33" spans="1:3" x14ac:dyDescent="0.2">
      <c r="A33">
        <f t="shared" si="4"/>
        <v>500</v>
      </c>
      <c r="B33">
        <v>43.735999999999997</v>
      </c>
    </row>
    <row r="34" spans="1:3" x14ac:dyDescent="0.2">
      <c r="A34">
        <f t="shared" si="4"/>
        <v>550</v>
      </c>
      <c r="B34">
        <v>46.307000000000002</v>
      </c>
    </row>
    <row r="35" spans="1:3" x14ac:dyDescent="0.2">
      <c r="A35">
        <f t="shared" si="4"/>
        <v>600</v>
      </c>
      <c r="B35">
        <v>48.918999999999997</v>
      </c>
    </row>
    <row r="36" spans="1:3" x14ac:dyDescent="0.2">
      <c r="A36">
        <f t="shared" si="4"/>
        <v>650</v>
      </c>
      <c r="B36">
        <v>51.567999999999998</v>
      </c>
    </row>
    <row r="37" spans="1:3" x14ac:dyDescent="0.2">
      <c r="A37">
        <f t="shared" si="4"/>
        <v>700</v>
      </c>
      <c r="B37">
        <v>54.252000000000002</v>
      </c>
    </row>
    <row r="38" spans="1:3" x14ac:dyDescent="0.2">
      <c r="A38">
        <f>A37+50</f>
        <v>750</v>
      </c>
      <c r="B38">
        <v>58.966000000000001</v>
      </c>
    </row>
    <row r="39" spans="1:3" x14ac:dyDescent="0.2">
      <c r="A39">
        <f t="shared" si="4"/>
        <v>800</v>
      </c>
      <c r="B39">
        <v>59.71</v>
      </c>
    </row>
    <row r="41" spans="1:3" x14ac:dyDescent="0.2">
      <c r="A41" t="s">
        <v>17</v>
      </c>
      <c r="B41">
        <f>B39-B25</f>
        <v>34.524000000000001</v>
      </c>
      <c r="C41" t="s">
        <v>18</v>
      </c>
    </row>
    <row r="42" spans="1:3" x14ac:dyDescent="0.2">
      <c r="A42" t="s">
        <v>19</v>
      </c>
      <c r="B42">
        <f>C19/1000</f>
        <v>36.586800000000004</v>
      </c>
      <c r="C42" t="s">
        <v>18</v>
      </c>
    </row>
    <row r="44" spans="1:3" x14ac:dyDescent="0.2">
      <c r="A44" t="s">
        <v>14</v>
      </c>
      <c r="B44">
        <f>((ABS(B42-B41))/B41)*100</f>
        <v>5.9749739311783188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84D17-32B3-4243-A177-72D40D538091}">
  <dimension ref="A1:J105"/>
  <sheetViews>
    <sheetView workbookViewId="0">
      <selection activeCell="J106" sqref="J106"/>
    </sheetView>
  </sheetViews>
  <sheetFormatPr baseColWidth="10" defaultRowHeight="16" x14ac:dyDescent="0.2"/>
  <cols>
    <col min="1" max="1" width="13" customWidth="1"/>
  </cols>
  <sheetData>
    <row r="1" spans="1:10" x14ac:dyDescent="0.2">
      <c r="A1" t="s">
        <v>20</v>
      </c>
      <c r="B1">
        <v>0.1</v>
      </c>
      <c r="H1">
        <v>0.01</v>
      </c>
    </row>
    <row r="2" spans="1:10" x14ac:dyDescent="0.2">
      <c r="A2" t="s">
        <v>13</v>
      </c>
      <c r="B2" t="s">
        <v>21</v>
      </c>
      <c r="C2" t="s">
        <v>22</v>
      </c>
      <c r="D2" t="s">
        <v>23</v>
      </c>
      <c r="G2" t="s">
        <v>13</v>
      </c>
      <c r="H2" t="s">
        <v>21</v>
      </c>
      <c r="I2" t="s">
        <v>22</v>
      </c>
      <c r="J2" t="s">
        <v>23</v>
      </c>
    </row>
    <row r="3" spans="1:10" x14ac:dyDescent="0.2">
      <c r="A3">
        <v>0</v>
      </c>
      <c r="B3">
        <f>SQRT(A3)</f>
        <v>0</v>
      </c>
      <c r="C3">
        <v>1</v>
      </c>
      <c r="D3">
        <f>B3*C3</f>
        <v>0</v>
      </c>
      <c r="G3">
        <v>0</v>
      </c>
      <c r="H3">
        <f>SQRT(G3)</f>
        <v>0</v>
      </c>
      <c r="I3">
        <v>1</v>
      </c>
      <c r="J3">
        <f>H3*I3</f>
        <v>0</v>
      </c>
    </row>
    <row r="4" spans="1:10" x14ac:dyDescent="0.2">
      <c r="A4">
        <f>A3+$B$1</f>
        <v>0.1</v>
      </c>
      <c r="B4">
        <f t="shared" ref="B4:B13" si="0">SQRT(A4)</f>
        <v>0.31622776601683794</v>
      </c>
      <c r="C4">
        <v>4</v>
      </c>
      <c r="D4">
        <f t="shared" ref="D4:D13" si="1">B4*C4</f>
        <v>1.2649110640673518</v>
      </c>
      <c r="G4">
        <f>G3+$H$1</f>
        <v>0.01</v>
      </c>
      <c r="H4">
        <f t="shared" ref="H4:H67" si="2">SQRT(G4)</f>
        <v>0.1</v>
      </c>
      <c r="I4">
        <v>4</v>
      </c>
      <c r="J4">
        <f t="shared" ref="J4:J67" si="3">H4*I4</f>
        <v>0.4</v>
      </c>
    </row>
    <row r="5" spans="1:10" x14ac:dyDescent="0.2">
      <c r="A5">
        <f>A4+$B$1</f>
        <v>0.2</v>
      </c>
      <c r="B5">
        <f t="shared" si="0"/>
        <v>0.44721359549995793</v>
      </c>
      <c r="C5">
        <v>2</v>
      </c>
      <c r="D5">
        <f t="shared" si="1"/>
        <v>0.89442719099991586</v>
      </c>
      <c r="G5">
        <f>G4+$H$1</f>
        <v>0.02</v>
      </c>
      <c r="H5">
        <f t="shared" si="2"/>
        <v>0.1414213562373095</v>
      </c>
      <c r="I5">
        <v>2</v>
      </c>
      <c r="J5">
        <f t="shared" si="3"/>
        <v>0.28284271247461901</v>
      </c>
    </row>
    <row r="6" spans="1:10" x14ac:dyDescent="0.2">
      <c r="A6">
        <f>A5+$B$1</f>
        <v>0.30000000000000004</v>
      </c>
      <c r="B6">
        <f t="shared" si="0"/>
        <v>0.54772255750516619</v>
      </c>
      <c r="C6">
        <v>4</v>
      </c>
      <c r="D6">
        <f t="shared" si="1"/>
        <v>2.1908902300206647</v>
      </c>
      <c r="G6">
        <f>G5+$H$1</f>
        <v>0.03</v>
      </c>
      <c r="H6">
        <f t="shared" si="2"/>
        <v>0.17320508075688773</v>
      </c>
      <c r="I6">
        <v>4</v>
      </c>
      <c r="J6">
        <f t="shared" si="3"/>
        <v>0.69282032302755092</v>
      </c>
    </row>
    <row r="7" spans="1:10" x14ac:dyDescent="0.2">
      <c r="A7">
        <f>A6+$B$1</f>
        <v>0.4</v>
      </c>
      <c r="B7">
        <f t="shared" si="0"/>
        <v>0.63245553203367588</v>
      </c>
      <c r="C7">
        <v>2</v>
      </c>
      <c r="D7">
        <f t="shared" si="1"/>
        <v>1.2649110640673518</v>
      </c>
      <c r="G7">
        <f>G6+$H$1</f>
        <v>0.04</v>
      </c>
      <c r="H7">
        <f t="shared" si="2"/>
        <v>0.2</v>
      </c>
      <c r="I7">
        <v>2</v>
      </c>
      <c r="J7">
        <f t="shared" si="3"/>
        <v>0.4</v>
      </c>
    </row>
    <row r="8" spans="1:10" x14ac:dyDescent="0.2">
      <c r="A8">
        <f>A7+$B$1</f>
        <v>0.5</v>
      </c>
      <c r="B8">
        <f t="shared" si="0"/>
        <v>0.70710678118654757</v>
      </c>
      <c r="C8">
        <v>4</v>
      </c>
      <c r="D8">
        <f t="shared" si="1"/>
        <v>2.8284271247461903</v>
      </c>
      <c r="G8">
        <f>G7+$H$1</f>
        <v>0.05</v>
      </c>
      <c r="H8">
        <f t="shared" si="2"/>
        <v>0.22360679774997896</v>
      </c>
      <c r="I8">
        <v>4</v>
      </c>
      <c r="J8">
        <f t="shared" si="3"/>
        <v>0.89442719099991586</v>
      </c>
    </row>
    <row r="9" spans="1:10" x14ac:dyDescent="0.2">
      <c r="A9">
        <f>A8+$B$1</f>
        <v>0.6</v>
      </c>
      <c r="B9">
        <f t="shared" si="0"/>
        <v>0.7745966692414834</v>
      </c>
      <c r="C9">
        <v>2</v>
      </c>
      <c r="D9">
        <f t="shared" si="1"/>
        <v>1.5491933384829668</v>
      </c>
      <c r="G9">
        <f>G8+$H$1</f>
        <v>6.0000000000000005E-2</v>
      </c>
      <c r="H9">
        <f t="shared" si="2"/>
        <v>0.24494897427831783</v>
      </c>
      <c r="I9">
        <v>2</v>
      </c>
      <c r="J9">
        <f t="shared" si="3"/>
        <v>0.48989794855663565</v>
      </c>
    </row>
    <row r="10" spans="1:10" x14ac:dyDescent="0.2">
      <c r="A10">
        <f>A9+$B$1</f>
        <v>0.7</v>
      </c>
      <c r="B10">
        <f t="shared" si="0"/>
        <v>0.83666002653407556</v>
      </c>
      <c r="C10">
        <v>4</v>
      </c>
      <c r="D10">
        <f t="shared" si="1"/>
        <v>3.3466401061363023</v>
      </c>
      <c r="G10">
        <f>G9+$H$1</f>
        <v>7.0000000000000007E-2</v>
      </c>
      <c r="H10">
        <f t="shared" si="2"/>
        <v>0.26457513110645908</v>
      </c>
      <c r="I10">
        <v>4</v>
      </c>
      <c r="J10">
        <f t="shared" si="3"/>
        <v>1.0583005244258363</v>
      </c>
    </row>
    <row r="11" spans="1:10" x14ac:dyDescent="0.2">
      <c r="A11">
        <f>A10+$B$1</f>
        <v>0.79999999999999993</v>
      </c>
      <c r="B11">
        <f t="shared" si="0"/>
        <v>0.89442719099991586</v>
      </c>
      <c r="C11">
        <v>2</v>
      </c>
      <c r="D11">
        <f t="shared" si="1"/>
        <v>1.7888543819998317</v>
      </c>
      <c r="G11">
        <f>G10+$H$1</f>
        <v>0.08</v>
      </c>
      <c r="H11">
        <f t="shared" si="2"/>
        <v>0.28284271247461901</v>
      </c>
      <c r="I11">
        <v>2</v>
      </c>
      <c r="J11">
        <f t="shared" si="3"/>
        <v>0.56568542494923801</v>
      </c>
    </row>
    <row r="12" spans="1:10" x14ac:dyDescent="0.2">
      <c r="A12">
        <f>A11+$B$1</f>
        <v>0.89999999999999991</v>
      </c>
      <c r="B12">
        <f t="shared" si="0"/>
        <v>0.94868329805051377</v>
      </c>
      <c r="C12">
        <v>4</v>
      </c>
      <c r="D12">
        <f t="shared" si="1"/>
        <v>3.7947331922020551</v>
      </c>
      <c r="G12">
        <f>G11+$H$1</f>
        <v>0.09</v>
      </c>
      <c r="H12">
        <f t="shared" si="2"/>
        <v>0.3</v>
      </c>
      <c r="I12">
        <v>4</v>
      </c>
      <c r="J12">
        <f t="shared" si="3"/>
        <v>1.2</v>
      </c>
    </row>
    <row r="13" spans="1:10" x14ac:dyDescent="0.2">
      <c r="A13">
        <f>A12+$B$1</f>
        <v>0.99999999999999989</v>
      </c>
      <c r="B13">
        <f t="shared" si="0"/>
        <v>0.99999999999999989</v>
      </c>
      <c r="C13">
        <v>1</v>
      </c>
      <c r="D13">
        <f t="shared" si="1"/>
        <v>0.99999999999999989</v>
      </c>
      <c r="G13">
        <f>G12+$H$1</f>
        <v>9.9999999999999992E-2</v>
      </c>
      <c r="H13">
        <f t="shared" si="2"/>
        <v>0.31622776601683794</v>
      </c>
      <c r="I13">
        <v>2</v>
      </c>
      <c r="J13">
        <f t="shared" si="3"/>
        <v>0.63245553203367588</v>
      </c>
    </row>
    <row r="14" spans="1:10" x14ac:dyDescent="0.2">
      <c r="C14" t="s">
        <v>24</v>
      </c>
      <c r="D14">
        <f>SUM(D3:D13)</f>
        <v>19.922987692722629</v>
      </c>
      <c r="G14">
        <f>G13+$H$1</f>
        <v>0.10999999999999999</v>
      </c>
      <c r="H14">
        <f t="shared" si="2"/>
        <v>0.33166247903553997</v>
      </c>
      <c r="I14">
        <v>4</v>
      </c>
      <c r="J14">
        <f t="shared" si="3"/>
        <v>1.3266499161421599</v>
      </c>
    </row>
    <row r="15" spans="1:10" x14ac:dyDescent="0.2">
      <c r="C15" t="s">
        <v>25</v>
      </c>
      <c r="D15">
        <f>(0.1/3)*D14</f>
        <v>0.66409958975742089</v>
      </c>
      <c r="G15">
        <f>G14+$H$1</f>
        <v>0.11999999999999998</v>
      </c>
      <c r="H15">
        <f t="shared" si="2"/>
        <v>0.34641016151377541</v>
      </c>
      <c r="I15">
        <v>2</v>
      </c>
      <c r="J15">
        <f t="shared" si="3"/>
        <v>0.69282032302755081</v>
      </c>
    </row>
    <row r="16" spans="1:10" x14ac:dyDescent="0.2">
      <c r="G16">
        <f>G15+$H$1</f>
        <v>0.12999999999999998</v>
      </c>
      <c r="H16">
        <f t="shared" si="2"/>
        <v>0.3605551275463989</v>
      </c>
      <c r="I16">
        <v>4</v>
      </c>
      <c r="J16">
        <f t="shared" si="3"/>
        <v>1.4422205101855956</v>
      </c>
    </row>
    <row r="17" spans="7:10" x14ac:dyDescent="0.2">
      <c r="G17">
        <f>G16+$H$1</f>
        <v>0.13999999999999999</v>
      </c>
      <c r="H17">
        <f t="shared" si="2"/>
        <v>0.37416573867739411</v>
      </c>
      <c r="I17">
        <v>2</v>
      </c>
      <c r="J17">
        <f t="shared" si="3"/>
        <v>0.74833147735478822</v>
      </c>
    </row>
    <row r="18" spans="7:10" x14ac:dyDescent="0.2">
      <c r="G18">
        <f>G17+$H$1</f>
        <v>0.15</v>
      </c>
      <c r="H18">
        <f t="shared" si="2"/>
        <v>0.3872983346207417</v>
      </c>
      <c r="I18">
        <v>4</v>
      </c>
      <c r="J18">
        <f t="shared" si="3"/>
        <v>1.5491933384829668</v>
      </c>
    </row>
    <row r="19" spans="7:10" x14ac:dyDescent="0.2">
      <c r="G19">
        <f>G18+$H$1</f>
        <v>0.16</v>
      </c>
      <c r="H19">
        <f t="shared" si="2"/>
        <v>0.4</v>
      </c>
      <c r="I19">
        <v>2</v>
      </c>
      <c r="J19">
        <f t="shared" si="3"/>
        <v>0.8</v>
      </c>
    </row>
    <row r="20" spans="7:10" x14ac:dyDescent="0.2">
      <c r="G20">
        <f>G19+$H$1</f>
        <v>0.17</v>
      </c>
      <c r="H20">
        <f t="shared" si="2"/>
        <v>0.41231056256176607</v>
      </c>
      <c r="I20">
        <v>4</v>
      </c>
      <c r="J20">
        <f t="shared" si="3"/>
        <v>1.6492422502470643</v>
      </c>
    </row>
    <row r="21" spans="7:10" x14ac:dyDescent="0.2">
      <c r="G21">
        <f>G20+$H$1</f>
        <v>0.18000000000000002</v>
      </c>
      <c r="H21">
        <f t="shared" si="2"/>
        <v>0.42426406871192857</v>
      </c>
      <c r="I21">
        <v>2</v>
      </c>
      <c r="J21">
        <f t="shared" si="3"/>
        <v>0.84852813742385713</v>
      </c>
    </row>
    <row r="22" spans="7:10" x14ac:dyDescent="0.2">
      <c r="G22">
        <f>G21+$H$1</f>
        <v>0.19000000000000003</v>
      </c>
      <c r="H22">
        <f t="shared" si="2"/>
        <v>0.43588989435406739</v>
      </c>
      <c r="I22">
        <v>4</v>
      </c>
      <c r="J22">
        <f t="shared" si="3"/>
        <v>1.7435595774162695</v>
      </c>
    </row>
    <row r="23" spans="7:10" x14ac:dyDescent="0.2">
      <c r="G23">
        <f>G22+$H$1</f>
        <v>0.20000000000000004</v>
      </c>
      <c r="H23">
        <f t="shared" si="2"/>
        <v>0.44721359549995798</v>
      </c>
      <c r="I23">
        <v>2</v>
      </c>
      <c r="J23">
        <f t="shared" si="3"/>
        <v>0.89442719099991597</v>
      </c>
    </row>
    <row r="24" spans="7:10" x14ac:dyDescent="0.2">
      <c r="G24">
        <f>G23+$H$1</f>
        <v>0.21000000000000005</v>
      </c>
      <c r="H24">
        <f t="shared" si="2"/>
        <v>0.45825756949558405</v>
      </c>
      <c r="I24">
        <v>4</v>
      </c>
      <c r="J24">
        <f t="shared" si="3"/>
        <v>1.8330302779823362</v>
      </c>
    </row>
    <row r="25" spans="7:10" x14ac:dyDescent="0.2">
      <c r="G25">
        <f>G24+$H$1</f>
        <v>0.22000000000000006</v>
      </c>
      <c r="H25">
        <f t="shared" si="2"/>
        <v>0.46904157598234303</v>
      </c>
      <c r="I25">
        <v>2</v>
      </c>
      <c r="J25">
        <f t="shared" si="3"/>
        <v>0.93808315196468606</v>
      </c>
    </row>
    <row r="26" spans="7:10" x14ac:dyDescent="0.2">
      <c r="G26">
        <f>G25+$H$1</f>
        <v>0.23000000000000007</v>
      </c>
      <c r="H26">
        <f t="shared" si="2"/>
        <v>0.47958315233127202</v>
      </c>
      <c r="I26">
        <v>4</v>
      </c>
      <c r="J26">
        <f t="shared" si="3"/>
        <v>1.9183326093250881</v>
      </c>
    </row>
    <row r="27" spans="7:10" x14ac:dyDescent="0.2">
      <c r="G27">
        <f>G26+$H$1</f>
        <v>0.24000000000000007</v>
      </c>
      <c r="H27">
        <f t="shared" si="2"/>
        <v>0.48989794855663571</v>
      </c>
      <c r="I27">
        <v>2</v>
      </c>
      <c r="J27">
        <f t="shared" si="3"/>
        <v>0.97979589711327142</v>
      </c>
    </row>
    <row r="28" spans="7:10" x14ac:dyDescent="0.2">
      <c r="G28">
        <f>G27+$H$1</f>
        <v>0.25000000000000006</v>
      </c>
      <c r="H28">
        <f t="shared" si="2"/>
        <v>0.5</v>
      </c>
      <c r="I28">
        <v>4</v>
      </c>
      <c r="J28">
        <f t="shared" si="3"/>
        <v>2</v>
      </c>
    </row>
    <row r="29" spans="7:10" x14ac:dyDescent="0.2">
      <c r="G29">
        <f>G28+$H$1</f>
        <v>0.26000000000000006</v>
      </c>
      <c r="H29">
        <f t="shared" si="2"/>
        <v>0.50990195135927852</v>
      </c>
      <c r="I29">
        <v>2</v>
      </c>
      <c r="J29">
        <f t="shared" si="3"/>
        <v>1.019803902718557</v>
      </c>
    </row>
    <row r="30" spans="7:10" x14ac:dyDescent="0.2">
      <c r="G30">
        <f>G29+$H$1</f>
        <v>0.27000000000000007</v>
      </c>
      <c r="H30">
        <f t="shared" si="2"/>
        <v>0.51961524227066325</v>
      </c>
      <c r="I30">
        <v>4</v>
      </c>
      <c r="J30">
        <f t="shared" si="3"/>
        <v>2.078460969082653</v>
      </c>
    </row>
    <row r="31" spans="7:10" x14ac:dyDescent="0.2">
      <c r="G31">
        <f>G30+$H$1</f>
        <v>0.28000000000000008</v>
      </c>
      <c r="H31">
        <f t="shared" si="2"/>
        <v>0.52915026221291817</v>
      </c>
      <c r="I31">
        <v>2</v>
      </c>
      <c r="J31">
        <f t="shared" si="3"/>
        <v>1.0583005244258363</v>
      </c>
    </row>
    <row r="32" spans="7:10" x14ac:dyDescent="0.2">
      <c r="G32">
        <f>G31+$H$1</f>
        <v>0.29000000000000009</v>
      </c>
      <c r="H32">
        <f t="shared" si="2"/>
        <v>0.53851648071345048</v>
      </c>
      <c r="I32">
        <v>4</v>
      </c>
      <c r="J32">
        <f t="shared" si="3"/>
        <v>2.1540659228538019</v>
      </c>
    </row>
    <row r="33" spans="7:10" x14ac:dyDescent="0.2">
      <c r="G33">
        <f>G32+$H$1</f>
        <v>0.3000000000000001</v>
      </c>
      <c r="H33">
        <f t="shared" si="2"/>
        <v>0.54772255750516619</v>
      </c>
      <c r="I33">
        <v>2</v>
      </c>
      <c r="J33">
        <f t="shared" si="3"/>
        <v>1.0954451150103324</v>
      </c>
    </row>
    <row r="34" spans="7:10" x14ac:dyDescent="0.2">
      <c r="G34">
        <f>G33+$H$1</f>
        <v>0.31000000000000011</v>
      </c>
      <c r="H34">
        <f t="shared" si="2"/>
        <v>0.55677643628300233</v>
      </c>
      <c r="I34">
        <v>4</v>
      </c>
      <c r="J34">
        <f t="shared" si="3"/>
        <v>2.2271057451320093</v>
      </c>
    </row>
    <row r="35" spans="7:10" x14ac:dyDescent="0.2">
      <c r="G35">
        <f>G34+$H$1</f>
        <v>0.32000000000000012</v>
      </c>
      <c r="H35">
        <f t="shared" si="2"/>
        <v>0.56568542494923812</v>
      </c>
      <c r="I35">
        <v>2</v>
      </c>
      <c r="J35">
        <f t="shared" si="3"/>
        <v>1.1313708498984762</v>
      </c>
    </row>
    <row r="36" spans="7:10" x14ac:dyDescent="0.2">
      <c r="G36">
        <f>G35+$H$1</f>
        <v>0.33000000000000013</v>
      </c>
      <c r="H36">
        <f t="shared" si="2"/>
        <v>0.57445626465380295</v>
      </c>
      <c r="I36">
        <v>4</v>
      </c>
      <c r="J36">
        <f t="shared" si="3"/>
        <v>2.2978250586152118</v>
      </c>
    </row>
    <row r="37" spans="7:10" x14ac:dyDescent="0.2">
      <c r="G37">
        <f>G36+$H$1</f>
        <v>0.34000000000000014</v>
      </c>
      <c r="H37">
        <f t="shared" si="2"/>
        <v>0.58309518948453021</v>
      </c>
      <c r="I37">
        <v>2</v>
      </c>
      <c r="J37">
        <f t="shared" si="3"/>
        <v>1.1661903789690604</v>
      </c>
    </row>
    <row r="38" spans="7:10" x14ac:dyDescent="0.2">
      <c r="G38">
        <f>G37+$H$1</f>
        <v>0.35000000000000014</v>
      </c>
      <c r="H38">
        <f t="shared" si="2"/>
        <v>0.5916079783099617</v>
      </c>
      <c r="I38">
        <v>4</v>
      </c>
      <c r="J38">
        <f t="shared" si="3"/>
        <v>2.3664319132398468</v>
      </c>
    </row>
    <row r="39" spans="7:10" x14ac:dyDescent="0.2">
      <c r="G39">
        <f>G38+$H$1</f>
        <v>0.36000000000000015</v>
      </c>
      <c r="H39">
        <f t="shared" si="2"/>
        <v>0.60000000000000009</v>
      </c>
      <c r="I39">
        <v>2</v>
      </c>
      <c r="J39">
        <f t="shared" si="3"/>
        <v>1.2000000000000002</v>
      </c>
    </row>
    <row r="40" spans="7:10" x14ac:dyDescent="0.2">
      <c r="G40">
        <f>G39+$H$1</f>
        <v>0.37000000000000016</v>
      </c>
      <c r="H40">
        <f t="shared" si="2"/>
        <v>0.60827625302982213</v>
      </c>
      <c r="I40">
        <v>4</v>
      </c>
      <c r="J40">
        <f t="shared" si="3"/>
        <v>2.4331050121192885</v>
      </c>
    </row>
    <row r="41" spans="7:10" x14ac:dyDescent="0.2">
      <c r="G41">
        <f>G40+$H$1</f>
        <v>0.38000000000000017</v>
      </c>
      <c r="H41">
        <f t="shared" si="2"/>
        <v>0.61644140029689776</v>
      </c>
      <c r="I41">
        <v>2</v>
      </c>
      <c r="J41">
        <f t="shared" si="3"/>
        <v>1.2328828005937955</v>
      </c>
    </row>
    <row r="42" spans="7:10" x14ac:dyDescent="0.2">
      <c r="G42">
        <f>G41+$H$1</f>
        <v>0.39000000000000018</v>
      </c>
      <c r="H42">
        <f t="shared" si="2"/>
        <v>0.62449979983983994</v>
      </c>
      <c r="I42">
        <v>4</v>
      </c>
      <c r="J42">
        <f t="shared" si="3"/>
        <v>2.4979991993593598</v>
      </c>
    </row>
    <row r="43" spans="7:10" x14ac:dyDescent="0.2">
      <c r="G43">
        <f>G42+$H$1</f>
        <v>0.40000000000000019</v>
      </c>
      <c r="H43">
        <f t="shared" si="2"/>
        <v>0.63245553203367599</v>
      </c>
      <c r="I43">
        <v>2</v>
      </c>
      <c r="J43">
        <f t="shared" si="3"/>
        <v>1.264911064067352</v>
      </c>
    </row>
    <row r="44" spans="7:10" x14ac:dyDescent="0.2">
      <c r="G44">
        <f>G43+$H$1</f>
        <v>0.4100000000000002</v>
      </c>
      <c r="H44">
        <f t="shared" si="2"/>
        <v>0.64031242374328501</v>
      </c>
      <c r="I44">
        <v>4</v>
      </c>
      <c r="J44">
        <f t="shared" si="3"/>
        <v>2.56124969497314</v>
      </c>
    </row>
    <row r="45" spans="7:10" x14ac:dyDescent="0.2">
      <c r="G45">
        <f>G44+$H$1</f>
        <v>0.42000000000000021</v>
      </c>
      <c r="H45">
        <f t="shared" si="2"/>
        <v>0.64807406984078619</v>
      </c>
      <c r="I45">
        <v>2</v>
      </c>
      <c r="J45">
        <f t="shared" si="3"/>
        <v>1.2961481396815724</v>
      </c>
    </row>
    <row r="46" spans="7:10" x14ac:dyDescent="0.2">
      <c r="G46">
        <f>G45+$H$1</f>
        <v>0.43000000000000022</v>
      </c>
      <c r="H46">
        <f t="shared" si="2"/>
        <v>0.65574385243020028</v>
      </c>
      <c r="I46">
        <v>4</v>
      </c>
      <c r="J46">
        <f t="shared" si="3"/>
        <v>2.6229754097208011</v>
      </c>
    </row>
    <row r="47" spans="7:10" x14ac:dyDescent="0.2">
      <c r="G47">
        <f>G46+$H$1</f>
        <v>0.44000000000000022</v>
      </c>
      <c r="H47">
        <f t="shared" si="2"/>
        <v>0.66332495807108016</v>
      </c>
      <c r="I47">
        <v>2</v>
      </c>
      <c r="J47">
        <f t="shared" si="3"/>
        <v>1.3266499161421603</v>
      </c>
    </row>
    <row r="48" spans="7:10" x14ac:dyDescent="0.2">
      <c r="G48">
        <f>G47+$H$1</f>
        <v>0.45000000000000023</v>
      </c>
      <c r="H48">
        <f t="shared" si="2"/>
        <v>0.67082039324993703</v>
      </c>
      <c r="I48">
        <v>4</v>
      </c>
      <c r="J48">
        <f t="shared" si="3"/>
        <v>2.6832815729997481</v>
      </c>
    </row>
    <row r="49" spans="7:10" x14ac:dyDescent="0.2">
      <c r="G49">
        <f>G48+$H$1</f>
        <v>0.46000000000000024</v>
      </c>
      <c r="H49">
        <f t="shared" si="2"/>
        <v>0.67823299831252704</v>
      </c>
      <c r="I49">
        <v>2</v>
      </c>
      <c r="J49">
        <f t="shared" si="3"/>
        <v>1.3564659966250541</v>
      </c>
    </row>
    <row r="50" spans="7:10" x14ac:dyDescent="0.2">
      <c r="G50">
        <f>G49+$H$1</f>
        <v>0.47000000000000025</v>
      </c>
      <c r="H50">
        <f t="shared" si="2"/>
        <v>0.68556546004010455</v>
      </c>
      <c r="I50">
        <v>4</v>
      </c>
      <c r="J50">
        <f t="shared" si="3"/>
        <v>2.7422618401604182</v>
      </c>
    </row>
    <row r="51" spans="7:10" x14ac:dyDescent="0.2">
      <c r="G51">
        <f>G50+$H$1</f>
        <v>0.48000000000000026</v>
      </c>
      <c r="H51">
        <f t="shared" si="2"/>
        <v>0.69282032302755114</v>
      </c>
      <c r="I51">
        <v>2</v>
      </c>
      <c r="J51">
        <f t="shared" si="3"/>
        <v>1.3856406460551023</v>
      </c>
    </row>
    <row r="52" spans="7:10" x14ac:dyDescent="0.2">
      <c r="G52">
        <f>G51+$H$1</f>
        <v>0.49000000000000027</v>
      </c>
      <c r="H52">
        <f t="shared" si="2"/>
        <v>0.70000000000000018</v>
      </c>
      <c r="I52">
        <v>4</v>
      </c>
      <c r="J52">
        <f t="shared" si="3"/>
        <v>2.8000000000000007</v>
      </c>
    </row>
    <row r="53" spans="7:10" x14ac:dyDescent="0.2">
      <c r="G53">
        <f>G52+$H$1</f>
        <v>0.50000000000000022</v>
      </c>
      <c r="H53">
        <f t="shared" si="2"/>
        <v>0.70710678118654768</v>
      </c>
      <c r="I53">
        <v>2</v>
      </c>
      <c r="J53">
        <f t="shared" si="3"/>
        <v>1.4142135623730954</v>
      </c>
    </row>
    <row r="54" spans="7:10" x14ac:dyDescent="0.2">
      <c r="G54">
        <f>G53+$H$1</f>
        <v>0.51000000000000023</v>
      </c>
      <c r="H54">
        <f t="shared" si="2"/>
        <v>0.7141428428542852</v>
      </c>
      <c r="I54">
        <v>4</v>
      </c>
      <c r="J54">
        <f t="shared" si="3"/>
        <v>2.8565713714171408</v>
      </c>
    </row>
    <row r="55" spans="7:10" x14ac:dyDescent="0.2">
      <c r="G55">
        <f>G54+$H$1</f>
        <v>0.52000000000000024</v>
      </c>
      <c r="H55">
        <f t="shared" si="2"/>
        <v>0.72111025509279802</v>
      </c>
      <c r="I55">
        <v>2</v>
      </c>
      <c r="J55">
        <f t="shared" si="3"/>
        <v>1.442220510185596</v>
      </c>
    </row>
    <row r="56" spans="7:10" x14ac:dyDescent="0.2">
      <c r="G56">
        <f>G55+$H$1</f>
        <v>0.53000000000000025</v>
      </c>
      <c r="H56">
        <f t="shared" si="2"/>
        <v>0.72801098892805205</v>
      </c>
      <c r="I56">
        <v>4</v>
      </c>
      <c r="J56">
        <f t="shared" si="3"/>
        <v>2.9120439557122082</v>
      </c>
    </row>
    <row r="57" spans="7:10" x14ac:dyDescent="0.2">
      <c r="G57">
        <f>G56+$H$1</f>
        <v>0.54000000000000026</v>
      </c>
      <c r="H57">
        <f t="shared" si="2"/>
        <v>0.73484692283495356</v>
      </c>
      <c r="I57">
        <v>2</v>
      </c>
      <c r="J57">
        <f t="shared" si="3"/>
        <v>1.4696938456699071</v>
      </c>
    </row>
    <row r="58" spans="7:10" x14ac:dyDescent="0.2">
      <c r="G58">
        <f>G57+$H$1</f>
        <v>0.55000000000000027</v>
      </c>
      <c r="H58">
        <f t="shared" si="2"/>
        <v>0.74161984870956643</v>
      </c>
      <c r="I58">
        <v>4</v>
      </c>
      <c r="J58">
        <f t="shared" si="3"/>
        <v>2.9664793948382657</v>
      </c>
    </row>
    <row r="59" spans="7:10" x14ac:dyDescent="0.2">
      <c r="G59">
        <f>G58+$H$1</f>
        <v>0.56000000000000028</v>
      </c>
      <c r="H59">
        <f t="shared" si="2"/>
        <v>0.74833147735478844</v>
      </c>
      <c r="I59">
        <v>2</v>
      </c>
      <c r="J59">
        <f t="shared" si="3"/>
        <v>1.4966629547095769</v>
      </c>
    </row>
    <row r="60" spans="7:10" x14ac:dyDescent="0.2">
      <c r="G60">
        <f>G59+$H$1</f>
        <v>0.57000000000000028</v>
      </c>
      <c r="H60">
        <f t="shared" si="2"/>
        <v>0.75498344352707514</v>
      </c>
      <c r="I60">
        <v>4</v>
      </c>
      <c r="J60">
        <f t="shared" si="3"/>
        <v>3.0199337741083006</v>
      </c>
    </row>
    <row r="61" spans="7:10" x14ac:dyDescent="0.2">
      <c r="G61">
        <f>G60+$H$1</f>
        <v>0.58000000000000029</v>
      </c>
      <c r="H61">
        <f t="shared" si="2"/>
        <v>0.761577310586391</v>
      </c>
      <c r="I61">
        <v>2</v>
      </c>
      <c r="J61">
        <f t="shared" si="3"/>
        <v>1.523154621172782</v>
      </c>
    </row>
    <row r="62" spans="7:10" x14ac:dyDescent="0.2">
      <c r="G62">
        <f>G61+$H$1</f>
        <v>0.5900000000000003</v>
      </c>
      <c r="H62">
        <f t="shared" si="2"/>
        <v>0.76811457478686096</v>
      </c>
      <c r="I62">
        <v>4</v>
      </c>
      <c r="J62">
        <f t="shared" si="3"/>
        <v>3.0724582991474438</v>
      </c>
    </row>
    <row r="63" spans="7:10" x14ac:dyDescent="0.2">
      <c r="G63">
        <f>G62+$H$1</f>
        <v>0.60000000000000031</v>
      </c>
      <c r="H63">
        <f t="shared" si="2"/>
        <v>0.77459666924148363</v>
      </c>
      <c r="I63">
        <v>2</v>
      </c>
      <c r="J63">
        <f t="shared" si="3"/>
        <v>1.5491933384829673</v>
      </c>
    </row>
    <row r="64" spans="7:10" x14ac:dyDescent="0.2">
      <c r="G64">
        <f>G63+$H$1</f>
        <v>0.61000000000000032</v>
      </c>
      <c r="H64">
        <f t="shared" si="2"/>
        <v>0.78102496759066564</v>
      </c>
      <c r="I64">
        <v>4</v>
      </c>
      <c r="J64">
        <f t="shared" si="3"/>
        <v>3.1240998703626626</v>
      </c>
    </row>
    <row r="65" spans="7:10" x14ac:dyDescent="0.2">
      <c r="G65">
        <f>G64+$H$1</f>
        <v>0.62000000000000033</v>
      </c>
      <c r="H65">
        <f t="shared" si="2"/>
        <v>0.78740078740118136</v>
      </c>
      <c r="I65">
        <v>2</v>
      </c>
      <c r="J65">
        <f t="shared" si="3"/>
        <v>1.5748015748023627</v>
      </c>
    </row>
    <row r="66" spans="7:10" x14ac:dyDescent="0.2">
      <c r="G66">
        <f>G65+$H$1</f>
        <v>0.63000000000000034</v>
      </c>
      <c r="H66">
        <f t="shared" si="2"/>
        <v>0.79372539331937741</v>
      </c>
      <c r="I66">
        <v>4</v>
      </c>
      <c r="J66">
        <f t="shared" si="3"/>
        <v>3.1749015732775097</v>
      </c>
    </row>
    <row r="67" spans="7:10" x14ac:dyDescent="0.2">
      <c r="G67">
        <f>G66+$H$1</f>
        <v>0.64000000000000035</v>
      </c>
      <c r="H67">
        <f t="shared" si="2"/>
        <v>0.80000000000000027</v>
      </c>
      <c r="I67">
        <v>2</v>
      </c>
      <c r="J67">
        <f t="shared" si="3"/>
        <v>1.6000000000000005</v>
      </c>
    </row>
    <row r="68" spans="7:10" x14ac:dyDescent="0.2">
      <c r="G68">
        <f>G67+$H$1</f>
        <v>0.65000000000000036</v>
      </c>
      <c r="H68">
        <f t="shared" ref="H68:H103" si="4">SQRT(G68)</f>
        <v>0.80622577482985514</v>
      </c>
      <c r="I68">
        <v>4</v>
      </c>
      <c r="J68">
        <f t="shared" ref="J68:J103" si="5">H68*I68</f>
        <v>3.2249030993194205</v>
      </c>
    </row>
    <row r="69" spans="7:10" x14ac:dyDescent="0.2">
      <c r="G69">
        <f>G68+$H$1</f>
        <v>0.66000000000000036</v>
      </c>
      <c r="H69">
        <f t="shared" si="4"/>
        <v>0.81240384046359626</v>
      </c>
      <c r="I69">
        <v>2</v>
      </c>
      <c r="J69">
        <f t="shared" si="5"/>
        <v>1.6248076809271925</v>
      </c>
    </row>
    <row r="70" spans="7:10" x14ac:dyDescent="0.2">
      <c r="G70">
        <f>G69+$H$1</f>
        <v>0.67000000000000037</v>
      </c>
      <c r="H70">
        <f t="shared" si="4"/>
        <v>0.81853527718724517</v>
      </c>
      <c r="I70">
        <v>4</v>
      </c>
      <c r="J70">
        <f t="shared" si="5"/>
        <v>3.2741411087489807</v>
      </c>
    </row>
    <row r="71" spans="7:10" x14ac:dyDescent="0.2">
      <c r="G71">
        <f>G70+$H$1</f>
        <v>0.68000000000000038</v>
      </c>
      <c r="H71">
        <f t="shared" si="4"/>
        <v>0.82462112512353236</v>
      </c>
      <c r="I71">
        <v>2</v>
      </c>
      <c r="J71">
        <f t="shared" si="5"/>
        <v>1.6492422502470647</v>
      </c>
    </row>
    <row r="72" spans="7:10" x14ac:dyDescent="0.2">
      <c r="G72">
        <f>G71+$H$1</f>
        <v>0.69000000000000039</v>
      </c>
      <c r="H72">
        <f t="shared" si="4"/>
        <v>0.83066238629180777</v>
      </c>
      <c r="I72">
        <v>4</v>
      </c>
      <c r="J72">
        <f t="shared" si="5"/>
        <v>3.3226495451672311</v>
      </c>
    </row>
    <row r="73" spans="7:10" x14ac:dyDescent="0.2">
      <c r="G73">
        <f>G72+$H$1</f>
        <v>0.7000000000000004</v>
      </c>
      <c r="H73">
        <f t="shared" si="4"/>
        <v>0.83666002653407578</v>
      </c>
      <c r="I73">
        <v>2</v>
      </c>
      <c r="J73">
        <f t="shared" si="5"/>
        <v>1.6733200530681516</v>
      </c>
    </row>
    <row r="74" spans="7:10" x14ac:dyDescent="0.2">
      <c r="G74">
        <f>G73+$H$1</f>
        <v>0.71000000000000041</v>
      </c>
      <c r="H74">
        <f t="shared" si="4"/>
        <v>0.84261497731763613</v>
      </c>
      <c r="I74">
        <v>4</v>
      </c>
      <c r="J74">
        <f t="shared" si="5"/>
        <v>3.3704599092705445</v>
      </c>
    </row>
    <row r="75" spans="7:10" x14ac:dyDescent="0.2">
      <c r="G75">
        <f>G74+$H$1</f>
        <v>0.72000000000000042</v>
      </c>
      <c r="H75">
        <f t="shared" si="4"/>
        <v>0.84852813742385724</v>
      </c>
      <c r="I75">
        <v>2</v>
      </c>
      <c r="J75">
        <f t="shared" si="5"/>
        <v>1.6970562748477145</v>
      </c>
    </row>
    <row r="76" spans="7:10" x14ac:dyDescent="0.2">
      <c r="G76">
        <f>G75+$H$1</f>
        <v>0.73000000000000043</v>
      </c>
      <c r="H76">
        <f t="shared" si="4"/>
        <v>0.85440037453175333</v>
      </c>
      <c r="I76">
        <v>4</v>
      </c>
      <c r="J76">
        <f t="shared" si="5"/>
        <v>3.4176014981270133</v>
      </c>
    </row>
    <row r="77" spans="7:10" x14ac:dyDescent="0.2">
      <c r="G77">
        <f>G76+$H$1</f>
        <v>0.74000000000000044</v>
      </c>
      <c r="H77">
        <f t="shared" si="4"/>
        <v>0.86023252670426298</v>
      </c>
      <c r="I77">
        <v>2</v>
      </c>
      <c r="J77">
        <f t="shared" si="5"/>
        <v>1.720465053408526</v>
      </c>
    </row>
    <row r="78" spans="7:10" x14ac:dyDescent="0.2">
      <c r="G78">
        <f>G77+$H$1</f>
        <v>0.75000000000000044</v>
      </c>
      <c r="H78">
        <f t="shared" si="4"/>
        <v>0.86602540378443893</v>
      </c>
      <c r="I78">
        <v>4</v>
      </c>
      <c r="J78">
        <f t="shared" si="5"/>
        <v>3.4641016151377557</v>
      </c>
    </row>
    <row r="79" spans="7:10" x14ac:dyDescent="0.2">
      <c r="G79">
        <f>G78+$H$1</f>
        <v>0.76000000000000045</v>
      </c>
      <c r="H79">
        <f t="shared" si="4"/>
        <v>0.871779788708135</v>
      </c>
      <c r="I79">
        <v>2</v>
      </c>
      <c r="J79">
        <f t="shared" si="5"/>
        <v>1.74355957741627</v>
      </c>
    </row>
    <row r="80" spans="7:10" x14ac:dyDescent="0.2">
      <c r="G80">
        <f>G79+$H$1</f>
        <v>0.77000000000000046</v>
      </c>
      <c r="H80">
        <f t="shared" si="4"/>
        <v>0.87749643873921246</v>
      </c>
      <c r="I80">
        <v>4</v>
      </c>
      <c r="J80">
        <f t="shared" si="5"/>
        <v>3.5099857549568498</v>
      </c>
    </row>
    <row r="81" spans="7:10" x14ac:dyDescent="0.2">
      <c r="G81">
        <f>G80+$H$1</f>
        <v>0.78000000000000047</v>
      </c>
      <c r="H81">
        <f t="shared" si="4"/>
        <v>0.88317608663278491</v>
      </c>
      <c r="I81">
        <v>2</v>
      </c>
      <c r="J81">
        <f t="shared" si="5"/>
        <v>1.7663521732655698</v>
      </c>
    </row>
    <row r="82" spans="7:10" x14ac:dyDescent="0.2">
      <c r="G82">
        <f>G81+$H$1</f>
        <v>0.79000000000000048</v>
      </c>
      <c r="H82">
        <f t="shared" si="4"/>
        <v>0.88881944173155913</v>
      </c>
      <c r="I82">
        <v>4</v>
      </c>
      <c r="J82">
        <f t="shared" si="5"/>
        <v>3.5552777669262365</v>
      </c>
    </row>
    <row r="83" spans="7:10" x14ac:dyDescent="0.2">
      <c r="G83">
        <f>G82+$H$1</f>
        <v>0.80000000000000049</v>
      </c>
      <c r="H83">
        <f t="shared" si="4"/>
        <v>0.89442719099991619</v>
      </c>
      <c r="I83">
        <v>2</v>
      </c>
      <c r="J83">
        <f t="shared" si="5"/>
        <v>1.7888543819998324</v>
      </c>
    </row>
    <row r="84" spans="7:10" x14ac:dyDescent="0.2">
      <c r="G84">
        <f>G83+$H$1</f>
        <v>0.8100000000000005</v>
      </c>
      <c r="H84">
        <f t="shared" si="4"/>
        <v>0.90000000000000024</v>
      </c>
      <c r="I84">
        <v>4</v>
      </c>
      <c r="J84">
        <f t="shared" si="5"/>
        <v>3.600000000000001</v>
      </c>
    </row>
    <row r="85" spans="7:10" x14ac:dyDescent="0.2">
      <c r="G85">
        <f>G84+$H$1</f>
        <v>0.82000000000000051</v>
      </c>
      <c r="H85">
        <f t="shared" si="4"/>
        <v>0.90553851381374195</v>
      </c>
      <c r="I85">
        <v>2</v>
      </c>
      <c r="J85">
        <f t="shared" si="5"/>
        <v>1.8110770276274839</v>
      </c>
    </row>
    <row r="86" spans="7:10" x14ac:dyDescent="0.2">
      <c r="G86">
        <f>G85+$H$1</f>
        <v>0.83000000000000052</v>
      </c>
      <c r="H86">
        <f t="shared" si="4"/>
        <v>0.91104335791443014</v>
      </c>
      <c r="I86">
        <v>4</v>
      </c>
      <c r="J86">
        <f t="shared" si="5"/>
        <v>3.6441734316577206</v>
      </c>
    </row>
    <row r="87" spans="7:10" x14ac:dyDescent="0.2">
      <c r="G87">
        <f>G86+$H$1</f>
        <v>0.84000000000000052</v>
      </c>
      <c r="H87">
        <f t="shared" si="4"/>
        <v>0.91651513899116832</v>
      </c>
      <c r="I87">
        <v>2</v>
      </c>
      <c r="J87">
        <f t="shared" si="5"/>
        <v>1.8330302779823366</v>
      </c>
    </row>
    <row r="88" spans="7:10" x14ac:dyDescent="0.2">
      <c r="G88">
        <f>G87+$H$1</f>
        <v>0.85000000000000053</v>
      </c>
      <c r="H88">
        <f t="shared" si="4"/>
        <v>0.92195444572928897</v>
      </c>
      <c r="I88">
        <v>4</v>
      </c>
      <c r="J88">
        <f t="shared" si="5"/>
        <v>3.6878177829171559</v>
      </c>
    </row>
    <row r="89" spans="7:10" x14ac:dyDescent="0.2">
      <c r="G89">
        <f>G88+$H$1</f>
        <v>0.86000000000000054</v>
      </c>
      <c r="H89">
        <f t="shared" si="4"/>
        <v>0.92736184954957068</v>
      </c>
      <c r="I89">
        <v>2</v>
      </c>
      <c r="J89">
        <f t="shared" si="5"/>
        <v>1.8547236990991414</v>
      </c>
    </row>
    <row r="90" spans="7:10" x14ac:dyDescent="0.2">
      <c r="G90">
        <f>G89+$H$1</f>
        <v>0.87000000000000055</v>
      </c>
      <c r="H90">
        <f t="shared" si="4"/>
        <v>0.93273790530888179</v>
      </c>
      <c r="I90">
        <v>4</v>
      </c>
      <c r="J90">
        <f t="shared" si="5"/>
        <v>3.7309516212355271</v>
      </c>
    </row>
    <row r="91" spans="7:10" x14ac:dyDescent="0.2">
      <c r="G91">
        <f>G90+$H$1</f>
        <v>0.88000000000000056</v>
      </c>
      <c r="H91">
        <f t="shared" si="4"/>
        <v>0.93808315196468617</v>
      </c>
      <c r="I91">
        <v>2</v>
      </c>
      <c r="J91">
        <f t="shared" si="5"/>
        <v>1.8761663039293723</v>
      </c>
    </row>
    <row r="92" spans="7:10" x14ac:dyDescent="0.2">
      <c r="G92">
        <f>G91+$H$1</f>
        <v>0.89000000000000057</v>
      </c>
      <c r="H92">
        <f t="shared" si="4"/>
        <v>0.94339811320566069</v>
      </c>
      <c r="I92">
        <v>4</v>
      </c>
      <c r="J92">
        <f t="shared" si="5"/>
        <v>3.7735924528226428</v>
      </c>
    </row>
    <row r="93" spans="7:10" x14ac:dyDescent="0.2">
      <c r="G93">
        <f>G92+$H$1</f>
        <v>0.90000000000000058</v>
      </c>
      <c r="H93">
        <f t="shared" si="4"/>
        <v>0.9486832980505141</v>
      </c>
      <c r="I93">
        <v>2</v>
      </c>
      <c r="J93">
        <f t="shared" si="5"/>
        <v>1.8973665961010282</v>
      </c>
    </row>
    <row r="94" spans="7:10" x14ac:dyDescent="0.2">
      <c r="G94">
        <f>G93+$H$1</f>
        <v>0.91000000000000059</v>
      </c>
      <c r="H94">
        <f t="shared" si="4"/>
        <v>0.95393920141694599</v>
      </c>
      <c r="I94">
        <v>4</v>
      </c>
      <c r="J94">
        <f t="shared" si="5"/>
        <v>3.815756805667784</v>
      </c>
    </row>
    <row r="95" spans="7:10" x14ac:dyDescent="0.2">
      <c r="G95">
        <f>G94+$H$1</f>
        <v>0.9200000000000006</v>
      </c>
      <c r="H95">
        <f t="shared" si="4"/>
        <v>0.95916630466254427</v>
      </c>
      <c r="I95">
        <v>2</v>
      </c>
      <c r="J95">
        <f t="shared" si="5"/>
        <v>1.9183326093250885</v>
      </c>
    </row>
    <row r="96" spans="7:10" x14ac:dyDescent="0.2">
      <c r="G96">
        <f>G95+$H$1</f>
        <v>0.9300000000000006</v>
      </c>
      <c r="H96">
        <f t="shared" si="4"/>
        <v>0.96436507609929578</v>
      </c>
      <c r="I96">
        <v>4</v>
      </c>
      <c r="J96">
        <f t="shared" si="5"/>
        <v>3.8574603043971831</v>
      </c>
    </row>
    <row r="97" spans="7:10" x14ac:dyDescent="0.2">
      <c r="G97">
        <f>G96+$H$1</f>
        <v>0.94000000000000061</v>
      </c>
      <c r="H97">
        <f t="shared" si="4"/>
        <v>0.96953597148326609</v>
      </c>
      <c r="I97">
        <v>2</v>
      </c>
      <c r="J97">
        <f t="shared" si="5"/>
        <v>1.9390719429665322</v>
      </c>
    </row>
    <row r="98" spans="7:10" x14ac:dyDescent="0.2">
      <c r="G98">
        <f>G97+$H$1</f>
        <v>0.95000000000000062</v>
      </c>
      <c r="H98">
        <f t="shared" si="4"/>
        <v>0.97467943448089667</v>
      </c>
      <c r="I98">
        <v>4</v>
      </c>
      <c r="J98">
        <f t="shared" si="5"/>
        <v>3.8987177379235867</v>
      </c>
    </row>
    <row r="99" spans="7:10" x14ac:dyDescent="0.2">
      <c r="G99">
        <f>G98+$H$1</f>
        <v>0.96000000000000063</v>
      </c>
      <c r="H99">
        <f t="shared" si="4"/>
        <v>0.97979589711327153</v>
      </c>
      <c r="I99">
        <v>2</v>
      </c>
      <c r="J99">
        <f t="shared" si="5"/>
        <v>1.9595917942265431</v>
      </c>
    </row>
    <row r="100" spans="7:10" x14ac:dyDescent="0.2">
      <c r="G100">
        <f>G99+$H$1</f>
        <v>0.97000000000000064</v>
      </c>
      <c r="H100">
        <f t="shared" si="4"/>
        <v>0.98488578017961081</v>
      </c>
      <c r="I100">
        <v>4</v>
      </c>
      <c r="J100">
        <f t="shared" si="5"/>
        <v>3.9395431207184433</v>
      </c>
    </row>
    <row r="101" spans="7:10" x14ac:dyDescent="0.2">
      <c r="G101">
        <f>G100+$H$1</f>
        <v>0.98000000000000065</v>
      </c>
      <c r="H101">
        <f t="shared" si="4"/>
        <v>0.98994949366116691</v>
      </c>
      <c r="I101">
        <v>2</v>
      </c>
      <c r="J101">
        <f t="shared" si="5"/>
        <v>1.9798989873223338</v>
      </c>
    </row>
    <row r="102" spans="7:10" x14ac:dyDescent="0.2">
      <c r="G102">
        <f>G101+$H$1</f>
        <v>0.99000000000000066</v>
      </c>
      <c r="H102">
        <f t="shared" si="4"/>
        <v>0.9949874371066203</v>
      </c>
      <c r="I102">
        <v>4</v>
      </c>
      <c r="J102">
        <f t="shared" si="5"/>
        <v>3.9799497484264812</v>
      </c>
    </row>
    <row r="103" spans="7:10" x14ac:dyDescent="0.2">
      <c r="G103">
        <f>G102+$H$1</f>
        <v>1.0000000000000007</v>
      </c>
      <c r="H103">
        <f t="shared" si="4"/>
        <v>1.0000000000000002</v>
      </c>
      <c r="I103">
        <v>1</v>
      </c>
      <c r="J103">
        <f t="shared" si="5"/>
        <v>1.0000000000000002</v>
      </c>
    </row>
    <row r="104" spans="7:10" x14ac:dyDescent="0.2">
      <c r="I104" t="s">
        <v>24</v>
      </c>
      <c r="J104">
        <f>SUM(J3:J103)</f>
        <v>199.97564462001722</v>
      </c>
    </row>
    <row r="105" spans="7:10" x14ac:dyDescent="0.2">
      <c r="J105">
        <f>(0.01/3)*J104</f>
        <v>0.66658548206672408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4551-0BD2-AF47-B0DC-C98157A2BEBE}">
  <dimension ref="A1:E37"/>
  <sheetViews>
    <sheetView tabSelected="1" workbookViewId="0">
      <selection activeCell="D15" sqref="D15"/>
    </sheetView>
  </sheetViews>
  <sheetFormatPr baseColWidth="10" defaultRowHeight="16" x14ac:dyDescent="0.2"/>
  <cols>
    <col min="1" max="1" width="14" customWidth="1"/>
    <col min="2" max="2" width="13.6640625" customWidth="1"/>
    <col min="3" max="3" width="21.6640625" customWidth="1"/>
    <col min="5" max="5" width="11.6640625" bestFit="1" customWidth="1"/>
  </cols>
  <sheetData>
    <row r="1" spans="1:5" x14ac:dyDescent="0.2">
      <c r="A1" t="s">
        <v>26</v>
      </c>
      <c r="B1" t="s">
        <v>27</v>
      </c>
      <c r="C1" t="s">
        <v>28</v>
      </c>
    </row>
    <row r="3" spans="1:5" x14ac:dyDescent="0.2">
      <c r="A3" t="s">
        <v>26</v>
      </c>
      <c r="B3" t="s">
        <v>29</v>
      </c>
    </row>
    <row r="5" spans="1:5" x14ac:dyDescent="0.2">
      <c r="A5" t="s">
        <v>30</v>
      </c>
    </row>
    <row r="6" spans="1:5" x14ac:dyDescent="0.2">
      <c r="A6" t="s">
        <v>31</v>
      </c>
      <c r="B6">
        <f>-1/(SQRT(3))</f>
        <v>-0.57735026918962584</v>
      </c>
    </row>
    <row r="7" spans="1:5" x14ac:dyDescent="0.2">
      <c r="A7" t="s">
        <v>32</v>
      </c>
      <c r="B7">
        <f>1/(SQRT(3))</f>
        <v>0.57735026918962584</v>
      </c>
    </row>
    <row r="8" spans="1:5" x14ac:dyDescent="0.2">
      <c r="A8" t="s">
        <v>33</v>
      </c>
      <c r="B8">
        <v>1</v>
      </c>
    </row>
    <row r="10" spans="1:5" x14ac:dyDescent="0.2">
      <c r="A10" t="s">
        <v>34</v>
      </c>
      <c r="B10">
        <f>1/2*((1*SQRT((B6+1)/2))+(1*SQRT((B7+1)/2)))</f>
        <v>0.67388733867904915</v>
      </c>
      <c r="D10" t="s">
        <v>44</v>
      </c>
      <c r="E10">
        <f>2/3</f>
        <v>0.66666666666666663</v>
      </c>
    </row>
    <row r="11" spans="1:5" x14ac:dyDescent="0.2">
      <c r="D11" t="s">
        <v>45</v>
      </c>
      <c r="E11" s="4">
        <f>((ABS(B10-E10))/E10)*100</f>
        <v>1.0831008018573784</v>
      </c>
    </row>
    <row r="12" spans="1:5" x14ac:dyDescent="0.2">
      <c r="A12" t="s">
        <v>35</v>
      </c>
      <c r="D12" t="s">
        <v>46</v>
      </c>
      <c r="E12" s="4">
        <f>((ABS(B19-E10))/E10)*100</f>
        <v>0.37694508492077117</v>
      </c>
    </row>
    <row r="13" spans="1:5" x14ac:dyDescent="0.2">
      <c r="A13" t="s">
        <v>31</v>
      </c>
      <c r="B13">
        <f>-SQRT(3/5)</f>
        <v>-0.7745966692414834</v>
      </c>
      <c r="D13" t="s">
        <v>47</v>
      </c>
      <c r="E13" s="4">
        <f>((ABS(B37-E10)/E10))*100</f>
        <v>0.17414680648632497</v>
      </c>
    </row>
    <row r="14" spans="1:5" x14ac:dyDescent="0.2">
      <c r="A14" t="s">
        <v>32</v>
      </c>
      <c r="B14">
        <v>0</v>
      </c>
    </row>
    <row r="15" spans="1:5" x14ac:dyDescent="0.2">
      <c r="A15" t="s">
        <v>36</v>
      </c>
      <c r="B15">
        <f>SQRT(3/5)</f>
        <v>0.7745966692414834</v>
      </c>
    </row>
    <row r="16" spans="1:5" x14ac:dyDescent="0.2">
      <c r="A16" t="s">
        <v>33</v>
      </c>
      <c r="B16">
        <f>5/9</f>
        <v>0.55555555555555558</v>
      </c>
    </row>
    <row r="17" spans="1:2" x14ac:dyDescent="0.2">
      <c r="A17" t="s">
        <v>37</v>
      </c>
      <c r="B17" s="5">
        <f>8/9</f>
        <v>0.88888888888888884</v>
      </c>
    </row>
    <row r="19" spans="1:2" x14ac:dyDescent="0.2">
      <c r="A19" t="s">
        <v>38</v>
      </c>
      <c r="B19">
        <f>1/2*((B16*SQRT((B13+1)/2))+(B17*SQRT((B14+1)/2))+(B16*SQRT((B15+1)/2)))</f>
        <v>0.66917963389947177</v>
      </c>
    </row>
    <row r="21" spans="1:2" x14ac:dyDescent="0.2">
      <c r="A21" t="s">
        <v>39</v>
      </c>
    </row>
    <row r="22" spans="1:2" x14ac:dyDescent="0.2">
      <c r="A22" s="6" t="s">
        <v>31</v>
      </c>
      <c r="B22" s="6">
        <v>-0.86113631160000004</v>
      </c>
    </row>
    <row r="23" spans="1:2" x14ac:dyDescent="0.2">
      <c r="A23" s="6" t="s">
        <v>32</v>
      </c>
      <c r="B23" s="6">
        <v>-0.33998104359999998</v>
      </c>
    </row>
    <row r="24" spans="1:2" x14ac:dyDescent="0.2">
      <c r="A24" s="6" t="s">
        <v>36</v>
      </c>
      <c r="B24" s="6">
        <v>0.33998104359999998</v>
      </c>
    </row>
    <row r="25" spans="1:2" x14ac:dyDescent="0.2">
      <c r="A25" s="6" t="s">
        <v>40</v>
      </c>
      <c r="B25" s="6">
        <v>0.86113631160000004</v>
      </c>
    </row>
    <row r="26" spans="1:2" x14ac:dyDescent="0.2">
      <c r="A26" t="s">
        <v>33</v>
      </c>
      <c r="B26">
        <v>0.34785484509999998</v>
      </c>
    </row>
    <row r="27" spans="1:2" x14ac:dyDescent="0.2">
      <c r="A27" t="s">
        <v>37</v>
      </c>
      <c r="B27">
        <v>0.65214515490000002</v>
      </c>
    </row>
    <row r="28" spans="1:2" x14ac:dyDescent="0.2">
      <c r="A28" t="s">
        <v>41</v>
      </c>
      <c r="B28">
        <v>0.65214515490000002</v>
      </c>
    </row>
    <row r="29" spans="1:2" x14ac:dyDescent="0.2">
      <c r="A29" t="s">
        <v>42</v>
      </c>
      <c r="B29">
        <v>0.34785484509999998</v>
      </c>
    </row>
    <row r="31" spans="1:2" x14ac:dyDescent="0.2">
      <c r="A31">
        <f>SQRT((B22+1)/2)</f>
        <v>0.26349922997989955</v>
      </c>
      <c r="B31">
        <f>A31*B26</f>
        <v>9.1659483828627222E-2</v>
      </c>
    </row>
    <row r="32" spans="1:2" x14ac:dyDescent="0.2">
      <c r="A32">
        <f>SQRT((B23+1)/2)</f>
        <v>0.57446451430876044</v>
      </c>
      <c r="B32">
        <f t="shared" ref="B32:B34" si="0">A32*B27</f>
        <v>0.37463424966843983</v>
      </c>
    </row>
    <row r="33" spans="1:2" x14ac:dyDescent="0.2">
      <c r="A33">
        <f t="shared" ref="A33:A34" si="1">SQRT((B24+1)/2)</f>
        <v>0.81852948743463116</v>
      </c>
      <c r="B33">
        <f t="shared" si="0"/>
        <v>0.53380003937327514</v>
      </c>
    </row>
    <row r="34" spans="1:2" x14ac:dyDescent="0.2">
      <c r="A34">
        <f t="shared" si="1"/>
        <v>0.96465960618240887</v>
      </c>
      <c r="B34">
        <f t="shared" si="0"/>
        <v>0.3355615178828088</v>
      </c>
    </row>
    <row r="36" spans="1:2" x14ac:dyDescent="0.2">
      <c r="A36" t="s">
        <v>24</v>
      </c>
      <c r="B36">
        <f>SUM(B31:B34)</f>
        <v>1.3356552907531509</v>
      </c>
    </row>
    <row r="37" spans="1:2" x14ac:dyDescent="0.2">
      <c r="A37" t="s">
        <v>43</v>
      </c>
      <c r="B37">
        <f>B36/2</f>
        <v>0.66782764537657546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202cd47-7a56-4baa-99e3-e3b71a7c77dd}" enabled="0" method="" siteId="{e202cd47-7a56-4baa-99e3-e3b71a7c77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4.2</vt:lpstr>
      <vt:lpstr>4.4a</vt:lpstr>
      <vt:lpstr>4.4b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Roman-Gomez, Pedro</dc:creator>
  <cp:lastModifiedBy>Roman-Gomez, Pedro</cp:lastModifiedBy>
  <dcterms:created xsi:type="dcterms:W3CDTF">2025-10-25T00:33:27Z</dcterms:created>
  <dcterms:modified xsi:type="dcterms:W3CDTF">2025-10-25T03:28:42Z</dcterms:modified>
</cp:coreProperties>
</file>