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vworo_uic_edu/Documents/"/>
    </mc:Choice>
  </mc:AlternateContent>
  <xr:revisionPtr revIDLastSave="408" documentId="8_{21575A36-E392-7749-A68E-D419B4112EDE}" xr6:coauthVersionLast="47" xr6:coauthVersionMax="47" xr10:uidLastSave="{7EDB08BF-A8E2-944D-ACF1-79F2B15D44BE}"/>
  <bookViews>
    <workbookView xWindow="0" yWindow="740" windowWidth="29400" windowHeight="18380" activeTab="1" xr2:uid="{28DD3586-E115-6444-89B5-D6916DE05FDC}"/>
  </bookViews>
  <sheets>
    <sheet name="exercise 4.2" sheetId="1" r:id="rId1"/>
    <sheet name="exercise 4.4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2" l="1"/>
  <c r="T6" i="2"/>
  <c r="T3" i="2"/>
  <c r="T1" i="2"/>
  <c r="S10" i="2"/>
  <c r="S6" i="2"/>
  <c r="S3" i="2"/>
  <c r="R6" i="2"/>
  <c r="R7" i="2"/>
  <c r="R8" i="2"/>
  <c r="R10" i="2"/>
  <c r="R11" i="2"/>
  <c r="R12" i="2"/>
  <c r="R13" i="2"/>
  <c r="R4" i="2"/>
  <c r="R3" i="2"/>
  <c r="Q11" i="2"/>
  <c r="Q12" i="2"/>
  <c r="Q13" i="2"/>
  <c r="Q10" i="2"/>
  <c r="Q7" i="2"/>
  <c r="Q8" i="2"/>
  <c r="Q6" i="2"/>
  <c r="Q4" i="2"/>
  <c r="Q3" i="2"/>
  <c r="P11" i="2"/>
  <c r="P12" i="2"/>
  <c r="P13" i="2"/>
  <c r="P10" i="2"/>
  <c r="P7" i="2"/>
  <c r="P8" i="2"/>
  <c r="P6" i="2"/>
  <c r="P4" i="2"/>
  <c r="P3" i="2"/>
  <c r="I103" i="2"/>
  <c r="K5" i="2"/>
  <c r="K3" i="2"/>
  <c r="K4" i="2"/>
  <c r="D16" i="2"/>
  <c r="D15" i="2"/>
  <c r="D14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3" i="2"/>
  <c r="D4" i="2"/>
  <c r="D5" i="2"/>
  <c r="D6" i="2"/>
  <c r="D7" i="2"/>
  <c r="D8" i="2"/>
  <c r="D9" i="2"/>
  <c r="D10" i="2"/>
  <c r="D11" i="2"/>
  <c r="D12" i="2"/>
  <c r="D13" i="2"/>
  <c r="D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3" i="2"/>
  <c r="C3" i="2"/>
  <c r="A4" i="2"/>
  <c r="A5" i="2"/>
  <c r="A6" i="2"/>
  <c r="A7" i="2"/>
  <c r="A8" i="2"/>
  <c r="A9" i="2"/>
  <c r="A10" i="2"/>
  <c r="A11" i="2"/>
  <c r="A12" i="2"/>
  <c r="A13" i="2"/>
  <c r="C4" i="2"/>
  <c r="C5" i="2"/>
  <c r="C6" i="2"/>
  <c r="C7" i="2"/>
  <c r="C8" i="2"/>
  <c r="C9" i="2"/>
  <c r="C10" i="2"/>
  <c r="C11" i="2"/>
  <c r="C12" i="2"/>
  <c r="C1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G3" i="2"/>
  <c r="B4" i="2"/>
  <c r="B5" i="2"/>
  <c r="B6" i="2"/>
  <c r="B7" i="2"/>
  <c r="B8" i="2"/>
  <c r="B9" i="2"/>
  <c r="B10" i="2"/>
  <c r="B11" i="2"/>
  <c r="B12" i="2"/>
  <c r="B13" i="2"/>
  <c r="B3" i="2"/>
  <c r="G34" i="1"/>
  <c r="A37" i="1" a="1"/>
  <c r="A37" i="1"/>
  <c r="B46" i="1"/>
  <c r="B48" i="1"/>
  <c r="B40" i="1"/>
  <c r="B47" i="1"/>
  <c r="B45" i="1"/>
  <c r="B44" i="1"/>
  <c r="B41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0" i="1"/>
  <c r="D22" i="1"/>
  <c r="D23" i="1"/>
  <c r="D24" i="1"/>
  <c r="D25" i="1"/>
  <c r="D26" i="1"/>
  <c r="D27" i="1"/>
  <c r="D28" i="1"/>
  <c r="D29" i="1"/>
  <c r="D30" i="1"/>
  <c r="D31" i="1"/>
  <c r="D32" i="1"/>
  <c r="D33" i="1"/>
  <c r="D21" i="1"/>
  <c r="B33" i="1"/>
  <c r="B22" i="1"/>
  <c r="B23" i="1"/>
  <c r="B24" i="1"/>
  <c r="B25" i="1"/>
  <c r="B26" i="1"/>
  <c r="B27" i="1"/>
  <c r="B28" i="1"/>
  <c r="B29" i="1"/>
  <c r="B30" i="1"/>
  <c r="B31" i="1"/>
  <c r="B32" i="1"/>
  <c r="B21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<sst xmlns="http://schemas.openxmlformats.org/spreadsheetml/2006/main" count="52" uniqueCount="43">
  <si>
    <t>Temperature (ºC)</t>
  </si>
  <si>
    <t>Cp (J/mol*K)</t>
  </si>
  <si>
    <t>Part (a): Trapezoidal Rule</t>
  </si>
  <si>
    <t>Interval</t>
  </si>
  <si>
    <t>Ti (ºC)</t>
  </si>
  <si>
    <t>Cp(Ti)</t>
  </si>
  <si>
    <t>T(i+1)</t>
  </si>
  <si>
    <t>Cp(Ti+1)</t>
  </si>
  <si>
    <t>∆T</t>
  </si>
  <si>
    <t>Area</t>
  </si>
  <si>
    <t>∆H=</t>
  </si>
  <si>
    <t>Part (b): Polynomial Fit</t>
  </si>
  <si>
    <t>a</t>
  </si>
  <si>
    <t>b</t>
  </si>
  <si>
    <t>c</t>
  </si>
  <si>
    <t>T1(ºC)</t>
  </si>
  <si>
    <t>T2(ºC)</t>
  </si>
  <si>
    <t>∆H (J/mol)</t>
  </si>
  <si>
    <t>% Error</t>
  </si>
  <si>
    <t>Part (c): Comparison with NIST ∆H</t>
  </si>
  <si>
    <t>∆H (trapezoidal)</t>
  </si>
  <si>
    <t>∆H (NIST)</t>
  </si>
  <si>
    <t>% Error (trap vs NIST)</t>
  </si>
  <si>
    <t>∆H (poly)</t>
  </si>
  <si>
    <t>% Error (poly vs NIST)</t>
  </si>
  <si>
    <t>% Error (poly vs trap)</t>
  </si>
  <si>
    <t>Part (a): Simpson's Rule</t>
  </si>
  <si>
    <t>x</t>
  </si>
  <si>
    <t>√x</t>
  </si>
  <si>
    <t>Weight</t>
  </si>
  <si>
    <t>f(x) x Weight</t>
  </si>
  <si>
    <t>∆x=</t>
  </si>
  <si>
    <t>Simpson's I</t>
  </si>
  <si>
    <t>Exact I</t>
  </si>
  <si>
    <t>Part (b): Gauss Quadrature</t>
  </si>
  <si>
    <t>n (points)</t>
  </si>
  <si>
    <t>Ei</t>
  </si>
  <si>
    <t>wi</t>
  </si>
  <si>
    <t>xi</t>
  </si>
  <si>
    <t>√xi</t>
  </si>
  <si>
    <t>wi*√xi</t>
  </si>
  <si>
    <t>1/2 sum of (wi*√xi)</t>
  </si>
  <si>
    <t>Exact I=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</si>
</sst>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0"/>
    <numFmt numFmtId="174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173" fontId="0" fillId="0" borderId="0" xfId="0" applyNumberFormat="1"/>
    <xf numFmtId="174" fontId="0" fillId="0" borderId="0" xfId="0" applyNumberFormat="1"/>
    <xf numFmtId="173" fontId="0" fillId="2" borderId="0" xfId="0" applyNumberFormat="1" applyFill="1"/>
    <xf numFmtId="174" fontId="0" fillId="2" borderId="0" xfId="0" applyNumberFormat="1" applyFill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D3A1-11C8-F340-8A8C-7E3D4B6AE56E}">
  <dimension ref="A1:G48"/>
  <sheetViews>
    <sheetView topLeftCell="A9" zoomScale="88" workbookViewId="0">
      <selection activeCell="E48" sqref="E48"/>
    </sheetView>
  </sheetViews>
  <sheetFormatPr baseColWidth="10" defaultRowHeight="16" x14ac:dyDescent="0.2"/>
  <cols>
    <col min="1" max="1" width="18.6640625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>
        <v>100</v>
      </c>
      <c r="B2">
        <v>40.460999999999999</v>
      </c>
    </row>
    <row r="3" spans="1:2" x14ac:dyDescent="0.2">
      <c r="A3">
        <f>A2+50</f>
        <v>150</v>
      </c>
      <c r="B3">
        <v>42.256</v>
      </c>
    </row>
    <row r="4" spans="1:2" x14ac:dyDescent="0.2">
      <c r="A4">
        <f t="shared" ref="A4:A16" si="0">A3+50</f>
        <v>200</v>
      </c>
      <c r="B4">
        <v>43.881</v>
      </c>
    </row>
    <row r="5" spans="1:2" x14ac:dyDescent="0.2">
      <c r="A5">
        <f t="shared" si="0"/>
        <v>250</v>
      </c>
      <c r="B5">
        <v>45.354999999999997</v>
      </c>
    </row>
    <row r="6" spans="1:2" x14ac:dyDescent="0.2">
      <c r="A6">
        <f t="shared" si="0"/>
        <v>300</v>
      </c>
      <c r="B6">
        <v>46.695</v>
      </c>
    </row>
    <row r="7" spans="1:2" x14ac:dyDescent="0.2">
      <c r="A7">
        <f t="shared" si="0"/>
        <v>350</v>
      </c>
      <c r="B7">
        <v>47.917000000000002</v>
      </c>
    </row>
    <row r="8" spans="1:2" x14ac:dyDescent="0.2">
      <c r="A8">
        <f t="shared" si="0"/>
        <v>400</v>
      </c>
      <c r="B8">
        <v>49.033999999999999</v>
      </c>
    </row>
    <row r="9" spans="1:2" x14ac:dyDescent="0.2">
      <c r="A9">
        <f t="shared" si="0"/>
        <v>450</v>
      </c>
      <c r="B9">
        <v>50.055</v>
      </c>
    </row>
    <row r="10" spans="1:2" x14ac:dyDescent="0.2">
      <c r="A10">
        <f t="shared" si="0"/>
        <v>500</v>
      </c>
      <c r="B10">
        <v>50.988999999999997</v>
      </c>
    </row>
    <row r="11" spans="1:2" x14ac:dyDescent="0.2">
      <c r="A11">
        <f t="shared" si="0"/>
        <v>550</v>
      </c>
      <c r="B11">
        <v>51.843000000000004</v>
      </c>
    </row>
    <row r="12" spans="1:2" x14ac:dyDescent="0.2">
      <c r="A12">
        <f t="shared" si="0"/>
        <v>600</v>
      </c>
      <c r="B12">
        <v>52.624000000000002</v>
      </c>
    </row>
    <row r="13" spans="1:2" x14ac:dyDescent="0.2">
      <c r="A13">
        <f t="shared" si="0"/>
        <v>650</v>
      </c>
      <c r="B13">
        <v>53.338999999999999</v>
      </c>
    </row>
    <row r="14" spans="1:2" x14ac:dyDescent="0.2">
      <c r="A14">
        <f t="shared" si="0"/>
        <v>700</v>
      </c>
      <c r="B14">
        <v>53.994</v>
      </c>
    </row>
    <row r="15" spans="1:2" x14ac:dyDescent="0.2">
      <c r="A15">
        <f>A14+50</f>
        <v>750</v>
      </c>
      <c r="B15">
        <v>54.593000000000004</v>
      </c>
    </row>
    <row r="16" spans="1:2" x14ac:dyDescent="0.2">
      <c r="A16">
        <f t="shared" si="0"/>
        <v>800</v>
      </c>
      <c r="B16">
        <v>55.143999999999998</v>
      </c>
    </row>
    <row r="18" spans="1:7" x14ac:dyDescent="0.2">
      <c r="A18" s="1" t="s">
        <v>2</v>
      </c>
    </row>
    <row r="19" spans="1:7" x14ac:dyDescent="0.2">
      <c r="A19" s="3" t="s">
        <v>3</v>
      </c>
      <c r="B19" s="3" t="s">
        <v>4</v>
      </c>
      <c r="C19" s="3" t="s">
        <v>5</v>
      </c>
      <c r="D19" s="3" t="s">
        <v>6</v>
      </c>
      <c r="E19" s="3" t="s">
        <v>7</v>
      </c>
      <c r="F19" s="3" t="s">
        <v>8</v>
      </c>
      <c r="G19" s="3" t="s">
        <v>9</v>
      </c>
    </row>
    <row r="20" spans="1:7" x14ac:dyDescent="0.2">
      <c r="A20">
        <v>1</v>
      </c>
      <c r="B20">
        <v>100</v>
      </c>
      <c r="C20">
        <v>40.460999999999999</v>
      </c>
      <c r="D20">
        <v>150</v>
      </c>
      <c r="E20">
        <v>42.256</v>
      </c>
      <c r="F20">
        <f>D20-B20</f>
        <v>50</v>
      </c>
      <c r="G20">
        <f>((C20+E20)/2)*F20</f>
        <v>2067.9250000000002</v>
      </c>
    </row>
    <row r="21" spans="1:7" x14ac:dyDescent="0.2">
      <c r="A21">
        <f>A20+1</f>
        <v>2</v>
      </c>
      <c r="B21">
        <f>B20+50</f>
        <v>150</v>
      </c>
      <c r="C21">
        <v>42.256</v>
      </c>
      <c r="D21">
        <f>D20+50</f>
        <v>200</v>
      </c>
      <c r="E21">
        <v>43.881</v>
      </c>
      <c r="F21">
        <f t="shared" ref="F21:F33" si="1">D21-B21</f>
        <v>50</v>
      </c>
      <c r="G21">
        <f t="shared" ref="G21:G33" si="2">((C21+E21)/2)*F21</f>
        <v>2153.4250000000002</v>
      </c>
    </row>
    <row r="22" spans="1:7" x14ac:dyDescent="0.2">
      <c r="A22">
        <f t="shared" ref="A22:A38" si="3">A21+1</f>
        <v>3</v>
      </c>
      <c r="B22">
        <f t="shared" ref="B22:B32" si="4">B21+50</f>
        <v>200</v>
      </c>
      <c r="C22">
        <v>43.881</v>
      </c>
      <c r="D22">
        <f t="shared" ref="D22:D33" si="5">D21+50</f>
        <v>250</v>
      </c>
      <c r="E22">
        <v>45.354999999999997</v>
      </c>
      <c r="F22">
        <f t="shared" si="1"/>
        <v>50</v>
      </c>
      <c r="G22">
        <f t="shared" si="2"/>
        <v>2230.8999999999996</v>
      </c>
    </row>
    <row r="23" spans="1:7" x14ac:dyDescent="0.2">
      <c r="A23">
        <f t="shared" si="3"/>
        <v>4</v>
      </c>
      <c r="B23">
        <f t="shared" si="4"/>
        <v>250</v>
      </c>
      <c r="C23">
        <v>45.354999999999997</v>
      </c>
      <c r="D23">
        <f t="shared" si="5"/>
        <v>300</v>
      </c>
      <c r="E23">
        <v>46.695</v>
      </c>
      <c r="F23">
        <f t="shared" si="1"/>
        <v>50</v>
      </c>
      <c r="G23">
        <f t="shared" si="2"/>
        <v>2301.25</v>
      </c>
    </row>
    <row r="24" spans="1:7" x14ac:dyDescent="0.2">
      <c r="A24">
        <f t="shared" si="3"/>
        <v>5</v>
      </c>
      <c r="B24">
        <f t="shared" si="4"/>
        <v>300</v>
      </c>
      <c r="C24">
        <v>46.695</v>
      </c>
      <c r="D24">
        <f t="shared" si="5"/>
        <v>350</v>
      </c>
      <c r="E24">
        <v>47.917000000000002</v>
      </c>
      <c r="F24">
        <f t="shared" si="1"/>
        <v>50</v>
      </c>
      <c r="G24">
        <f t="shared" si="2"/>
        <v>2365.2999999999997</v>
      </c>
    </row>
    <row r="25" spans="1:7" x14ac:dyDescent="0.2">
      <c r="A25">
        <f t="shared" si="3"/>
        <v>6</v>
      </c>
      <c r="B25">
        <f t="shared" si="4"/>
        <v>350</v>
      </c>
      <c r="C25">
        <v>47.917000000000002</v>
      </c>
      <c r="D25">
        <f t="shared" si="5"/>
        <v>400</v>
      </c>
      <c r="E25">
        <v>49.033999999999999</v>
      </c>
      <c r="F25">
        <f t="shared" si="1"/>
        <v>50</v>
      </c>
      <c r="G25">
        <f t="shared" si="2"/>
        <v>2423.7749999999996</v>
      </c>
    </row>
    <row r="26" spans="1:7" x14ac:dyDescent="0.2">
      <c r="A26">
        <f t="shared" si="3"/>
        <v>7</v>
      </c>
      <c r="B26">
        <f t="shared" si="4"/>
        <v>400</v>
      </c>
      <c r="C26">
        <v>49.033999999999999</v>
      </c>
      <c r="D26">
        <f t="shared" si="5"/>
        <v>450</v>
      </c>
      <c r="E26">
        <v>50.055</v>
      </c>
      <c r="F26">
        <f t="shared" si="1"/>
        <v>50</v>
      </c>
      <c r="G26">
        <f t="shared" si="2"/>
        <v>2477.2249999999999</v>
      </c>
    </row>
    <row r="27" spans="1:7" x14ac:dyDescent="0.2">
      <c r="A27">
        <f t="shared" si="3"/>
        <v>8</v>
      </c>
      <c r="B27">
        <f t="shared" si="4"/>
        <v>450</v>
      </c>
      <c r="C27">
        <v>50.055</v>
      </c>
      <c r="D27">
        <f t="shared" si="5"/>
        <v>500</v>
      </c>
      <c r="E27">
        <v>50.988999999999997</v>
      </c>
      <c r="F27">
        <f t="shared" si="1"/>
        <v>50</v>
      </c>
      <c r="G27">
        <f t="shared" si="2"/>
        <v>2526.1</v>
      </c>
    </row>
    <row r="28" spans="1:7" x14ac:dyDescent="0.2">
      <c r="A28">
        <f t="shared" si="3"/>
        <v>9</v>
      </c>
      <c r="B28">
        <f t="shared" si="4"/>
        <v>500</v>
      </c>
      <c r="C28">
        <v>50.988999999999997</v>
      </c>
      <c r="D28">
        <f t="shared" si="5"/>
        <v>550</v>
      </c>
      <c r="E28">
        <v>51.843000000000004</v>
      </c>
      <c r="F28">
        <f t="shared" si="1"/>
        <v>50</v>
      </c>
      <c r="G28">
        <f t="shared" si="2"/>
        <v>2570.7999999999997</v>
      </c>
    </row>
    <row r="29" spans="1:7" x14ac:dyDescent="0.2">
      <c r="A29">
        <f t="shared" si="3"/>
        <v>10</v>
      </c>
      <c r="B29">
        <f t="shared" si="4"/>
        <v>550</v>
      </c>
      <c r="C29">
        <v>51.843000000000004</v>
      </c>
      <c r="D29">
        <f t="shared" si="5"/>
        <v>600</v>
      </c>
      <c r="E29">
        <v>52.624000000000002</v>
      </c>
      <c r="F29">
        <f t="shared" si="1"/>
        <v>50</v>
      </c>
      <c r="G29">
        <f t="shared" si="2"/>
        <v>2611.6750000000002</v>
      </c>
    </row>
    <row r="30" spans="1:7" x14ac:dyDescent="0.2">
      <c r="A30">
        <f t="shared" si="3"/>
        <v>11</v>
      </c>
      <c r="B30">
        <f t="shared" si="4"/>
        <v>600</v>
      </c>
      <c r="C30">
        <v>52.624000000000002</v>
      </c>
      <c r="D30">
        <f t="shared" si="5"/>
        <v>650</v>
      </c>
      <c r="E30">
        <v>53.338999999999999</v>
      </c>
      <c r="F30">
        <f t="shared" si="1"/>
        <v>50</v>
      </c>
      <c r="G30">
        <f t="shared" si="2"/>
        <v>2649.0749999999998</v>
      </c>
    </row>
    <row r="31" spans="1:7" x14ac:dyDescent="0.2">
      <c r="A31">
        <f t="shared" si="3"/>
        <v>12</v>
      </c>
      <c r="B31">
        <f t="shared" si="4"/>
        <v>650</v>
      </c>
      <c r="C31">
        <v>53.338999999999999</v>
      </c>
      <c r="D31">
        <f t="shared" si="5"/>
        <v>700</v>
      </c>
      <c r="E31">
        <v>53.994</v>
      </c>
      <c r="F31">
        <f t="shared" si="1"/>
        <v>50</v>
      </c>
      <c r="G31">
        <f t="shared" si="2"/>
        <v>2683.3249999999998</v>
      </c>
    </row>
    <row r="32" spans="1:7" x14ac:dyDescent="0.2">
      <c r="A32">
        <f t="shared" si="3"/>
        <v>13</v>
      </c>
      <c r="B32">
        <f t="shared" si="4"/>
        <v>700</v>
      </c>
      <c r="C32">
        <v>53.994</v>
      </c>
      <c r="D32">
        <f t="shared" si="5"/>
        <v>750</v>
      </c>
      <c r="E32">
        <v>54.593000000000004</v>
      </c>
      <c r="F32">
        <f t="shared" si="1"/>
        <v>50</v>
      </c>
      <c r="G32">
        <f t="shared" si="2"/>
        <v>2714.6750000000002</v>
      </c>
    </row>
    <row r="33" spans="1:7" x14ac:dyDescent="0.2">
      <c r="A33">
        <f t="shared" si="3"/>
        <v>14</v>
      </c>
      <c r="B33">
        <f>B32+50</f>
        <v>750</v>
      </c>
      <c r="C33">
        <v>54.593000000000004</v>
      </c>
      <c r="D33">
        <f t="shared" si="5"/>
        <v>800</v>
      </c>
      <c r="E33">
        <v>55.143999999999998</v>
      </c>
      <c r="F33">
        <f t="shared" si="1"/>
        <v>50</v>
      </c>
      <c r="G33">
        <f t="shared" si="2"/>
        <v>2743.4249999999997</v>
      </c>
    </row>
    <row r="34" spans="1:7" x14ac:dyDescent="0.2">
      <c r="F34" t="s">
        <v>10</v>
      </c>
      <c r="G34" s="2">
        <f>SUM(G20:G33)</f>
        <v>34518.875</v>
      </c>
    </row>
    <row r="35" spans="1:7" x14ac:dyDescent="0.2">
      <c r="A35" s="1" t="s">
        <v>11</v>
      </c>
    </row>
    <row r="36" spans="1:7" x14ac:dyDescent="0.2">
      <c r="A36" s="3" t="s">
        <v>12</v>
      </c>
      <c r="B36" s="3" t="s">
        <v>13</v>
      </c>
      <c r="C36" s="3" t="s">
        <v>14</v>
      </c>
    </row>
    <row r="37" spans="1:7" x14ac:dyDescent="0.2">
      <c r="A37" cm="1">
        <f t="array" ref="A37:C37">LINEST(B2:B16,A2:A16^{1,2})</f>
        <v>-1.8348868778280549E-5</v>
      </c>
      <c r="B37">
        <v>3.7006696186166782E-2</v>
      </c>
      <c r="C37">
        <v>37.130913186813189</v>
      </c>
    </row>
    <row r="38" spans="1:7" x14ac:dyDescent="0.2">
      <c r="A38" t="s">
        <v>15</v>
      </c>
      <c r="B38">
        <v>100</v>
      </c>
    </row>
    <row r="39" spans="1:7" x14ac:dyDescent="0.2">
      <c r="A39" t="s">
        <v>16</v>
      </c>
      <c r="B39">
        <v>800</v>
      </c>
    </row>
    <row r="40" spans="1:7" x14ac:dyDescent="0.2">
      <c r="A40" t="s">
        <v>17</v>
      </c>
      <c r="B40">
        <f>(A37/3)*(B39^3 - B38^3) + (B37/2)*(B39^2 - B38^2) + C37*(B39 - B38)</f>
        <v>34523.324547511314</v>
      </c>
    </row>
    <row r="41" spans="1:7" x14ac:dyDescent="0.2">
      <c r="A41" t="s">
        <v>25</v>
      </c>
      <c r="B41" s="2">
        <f>ABS(B40-G34)/G34*100</f>
        <v>1.289018692328313E-2</v>
      </c>
    </row>
    <row r="43" spans="1:7" x14ac:dyDescent="0.2">
      <c r="A43" s="1" t="s">
        <v>19</v>
      </c>
    </row>
    <row r="44" spans="1:7" x14ac:dyDescent="0.2">
      <c r="A44" t="s">
        <v>20</v>
      </c>
      <c r="B44">
        <f>SUM(G20:G33)</f>
        <v>34518.875</v>
      </c>
    </row>
    <row r="45" spans="1:7" x14ac:dyDescent="0.2">
      <c r="A45" t="s">
        <v>21</v>
      </c>
      <c r="B45">
        <f>(59.71*1000-25.186*1000)</f>
        <v>34524</v>
      </c>
    </row>
    <row r="46" spans="1:7" x14ac:dyDescent="0.2">
      <c r="A46" t="s">
        <v>23</v>
      </c>
      <c r="B46">
        <f>(A37/3)*(B39^3 - B38^3) + (B37/2)*(B39^2 - B38^2) + C37*(B39 - B38)</f>
        <v>34523.324547511314</v>
      </c>
    </row>
    <row r="47" spans="1:7" x14ac:dyDescent="0.2">
      <c r="A47" t="s">
        <v>22</v>
      </c>
      <c r="B47" s="2">
        <f>ABS(B45-B44)/B45*100</f>
        <v>1.4844745684161742E-2</v>
      </c>
    </row>
    <row r="48" spans="1:7" x14ac:dyDescent="0.2">
      <c r="A48" t="s">
        <v>24</v>
      </c>
      <c r="B48" s="2">
        <f>ABS(B46-B45)/B45*100</f>
        <v>1.9564722763455874E-3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5B3B-3615-B940-BD6A-B35BDAD609A0}">
  <dimension ref="A1:T111"/>
  <sheetViews>
    <sheetView tabSelected="1" zoomScale="84" workbookViewId="0">
      <selection activeCell="P22" sqref="P22"/>
    </sheetView>
  </sheetViews>
  <sheetFormatPr baseColWidth="10" defaultRowHeight="16" x14ac:dyDescent="0.2"/>
  <cols>
    <col min="1" max="1" width="15.33203125" customWidth="1"/>
    <col min="14" max="14" width="19" customWidth="1"/>
    <col min="15" max="15" width="16.5" customWidth="1"/>
    <col min="19" max="19" width="16.5" customWidth="1"/>
  </cols>
  <sheetData>
    <row r="1" spans="1:20" x14ac:dyDescent="0.2">
      <c r="A1" s="1" t="s">
        <v>26</v>
      </c>
      <c r="C1" s="4" t="s">
        <v>31</v>
      </c>
      <c r="D1">
        <v>0.1</v>
      </c>
      <c r="H1" s="4" t="s">
        <v>31</v>
      </c>
      <c r="I1">
        <v>0.01</v>
      </c>
      <c r="M1" s="1" t="s">
        <v>34</v>
      </c>
      <c r="S1" s="4" t="s">
        <v>42</v>
      </c>
      <c r="T1" s="5">
        <f>2/3</f>
        <v>0.66666666666666663</v>
      </c>
    </row>
    <row r="2" spans="1:20" x14ac:dyDescent="0.2">
      <c r="A2" s="3" t="s">
        <v>27</v>
      </c>
      <c r="B2" s="3" t="s">
        <v>28</v>
      </c>
      <c r="C2" s="3" t="s">
        <v>29</v>
      </c>
      <c r="D2" s="3" t="s">
        <v>30</v>
      </c>
      <c r="F2" s="3" t="s">
        <v>27</v>
      </c>
      <c r="G2" s="3" t="s">
        <v>28</v>
      </c>
      <c r="H2" s="3" t="s">
        <v>29</v>
      </c>
      <c r="I2" s="3" t="s">
        <v>30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s="5" t="s">
        <v>18</v>
      </c>
    </row>
    <row r="3" spans="1:20" x14ac:dyDescent="0.2">
      <c r="A3" s="9">
        <v>0</v>
      </c>
      <c r="B3" s="6">
        <f>SQRT(A3)</f>
        <v>0</v>
      </c>
      <c r="C3">
        <f>IF(ROW()-ROW($A$3)=0,1,IF(A3=1,1,IF(MOD(ROW()-ROW($A$3),2)=1,4,2)))</f>
        <v>1</v>
      </c>
      <c r="D3" s="6">
        <f>B3*C3</f>
        <v>0</v>
      </c>
      <c r="F3" s="9">
        <v>0</v>
      </c>
      <c r="G3" s="6">
        <f>SQRT(F3)</f>
        <v>0</v>
      </c>
      <c r="H3" s="9">
        <f>IF(ROW()-ROW($A$3)=0,1,IF(F3=1,1,IF(MOD(ROW()-ROW($A$3),2)=1,4,2)))</f>
        <v>1</v>
      </c>
      <c r="I3" s="6">
        <f>G3*H3</f>
        <v>0</v>
      </c>
      <c r="J3" t="s">
        <v>32</v>
      </c>
      <c r="K3" s="6">
        <f>($I$1/3*SUM(I3:I103))</f>
        <v>0.66658548206672408</v>
      </c>
      <c r="M3">
        <v>2</v>
      </c>
      <c r="N3" s="10">
        <v>-0.57735000000000003</v>
      </c>
      <c r="O3" s="10">
        <v>1</v>
      </c>
      <c r="P3" s="5">
        <f>(1+N3)/2</f>
        <v>0.21132499999999999</v>
      </c>
      <c r="Q3" s="5">
        <f>SQRT(P3)</f>
        <v>0.45970098977487528</v>
      </c>
      <c r="R3" s="5">
        <f>O3*Q3</f>
        <v>0.45970098977487528</v>
      </c>
      <c r="S3" s="5">
        <f>0.5*(SUM(R3:R4))</f>
        <v>0.67388737398646015</v>
      </c>
      <c r="T3" s="7">
        <f>ABS(S3-T1)/T1*100</f>
        <v>1.0831060979690277</v>
      </c>
    </row>
    <row r="4" spans="1:20" x14ac:dyDescent="0.2">
      <c r="A4" s="9">
        <f>A3+$D$1</f>
        <v>0.1</v>
      </c>
      <c r="B4" s="6">
        <f t="shared" ref="B4:B13" si="0">SQRT(A4)</f>
        <v>0.31622776601683794</v>
      </c>
      <c r="C4">
        <f t="shared" ref="C4:C13" si="1">IF(ROW()-ROW($A$3)=0,1,IF(A4=1,1,IF(MOD(ROW()-ROW($A$3),2)=1,4,2)))</f>
        <v>4</v>
      </c>
      <c r="D4" s="6">
        <f t="shared" ref="D4:D13" si="2">B4*C4</f>
        <v>1.2649110640673518</v>
      </c>
      <c r="F4" s="9">
        <f>F3+$I$1</f>
        <v>0.01</v>
      </c>
      <c r="G4" s="6">
        <f t="shared" ref="G4:G67" si="3">SQRT(F4)</f>
        <v>0.1</v>
      </c>
      <c r="H4" s="9">
        <f t="shared" ref="H4:H67" si="4">IF(ROW()-ROW($A$3)=0,1,IF(F4=1,1,IF(MOD(ROW()-ROW($A$3),2)=1,4,2)))</f>
        <v>4</v>
      </c>
      <c r="I4" s="6">
        <f t="shared" ref="I4:I67" si="5">G4*H4</f>
        <v>0.4</v>
      </c>
      <c r="J4" t="s">
        <v>33</v>
      </c>
      <c r="K4" s="6">
        <f>2/3</f>
        <v>0.66666666666666663</v>
      </c>
      <c r="N4" s="10">
        <v>0.57735000000000003</v>
      </c>
      <c r="O4" s="10">
        <v>1</v>
      </c>
      <c r="P4" s="5">
        <f>(1+N4)/2</f>
        <v>0.78867500000000001</v>
      </c>
      <c r="Q4" s="5">
        <f>SQRT(P4)</f>
        <v>0.88807375819804513</v>
      </c>
      <c r="R4" s="5">
        <f>O4*Q4</f>
        <v>0.88807375819804513</v>
      </c>
      <c r="S4" s="5"/>
      <c r="T4" s="5"/>
    </row>
    <row r="5" spans="1:20" x14ac:dyDescent="0.2">
      <c r="A5" s="9">
        <f t="shared" ref="A5:A13" si="6">A4+$D$1</f>
        <v>0.2</v>
      </c>
      <c r="B5" s="6">
        <f t="shared" si="0"/>
        <v>0.44721359549995793</v>
      </c>
      <c r="C5">
        <f t="shared" si="1"/>
        <v>2</v>
      </c>
      <c r="D5" s="6">
        <f t="shared" si="2"/>
        <v>0.89442719099991586</v>
      </c>
      <c r="F5" s="9">
        <f t="shared" ref="F5:F68" si="7">F4+$I$1</f>
        <v>0.02</v>
      </c>
      <c r="G5" s="6">
        <f t="shared" si="3"/>
        <v>0.1414213562373095</v>
      </c>
      <c r="H5" s="9">
        <f t="shared" si="4"/>
        <v>2</v>
      </c>
      <c r="I5" s="6">
        <f t="shared" si="5"/>
        <v>0.28284271247461901</v>
      </c>
      <c r="J5" t="s">
        <v>18</v>
      </c>
      <c r="K5" s="8">
        <f>ABS(K4-K3)/K4*100</f>
        <v>1.2177689991382801E-2</v>
      </c>
      <c r="N5" s="10"/>
      <c r="O5" s="10"/>
      <c r="P5" s="5"/>
      <c r="Q5" s="5"/>
      <c r="R5" s="5"/>
      <c r="S5" s="5"/>
      <c r="T5" s="5"/>
    </row>
    <row r="6" spans="1:20" x14ac:dyDescent="0.2">
      <c r="A6" s="9">
        <f t="shared" si="6"/>
        <v>0.30000000000000004</v>
      </c>
      <c r="B6" s="6">
        <f t="shared" si="0"/>
        <v>0.54772255750516619</v>
      </c>
      <c r="C6">
        <f t="shared" si="1"/>
        <v>4</v>
      </c>
      <c r="D6" s="6">
        <f t="shared" si="2"/>
        <v>2.1908902300206647</v>
      </c>
      <c r="F6" s="9">
        <f t="shared" si="7"/>
        <v>0.03</v>
      </c>
      <c r="G6" s="6">
        <f t="shared" si="3"/>
        <v>0.17320508075688773</v>
      </c>
      <c r="H6" s="9">
        <f t="shared" si="4"/>
        <v>4</v>
      </c>
      <c r="I6" s="6">
        <f t="shared" si="5"/>
        <v>0.69282032302755092</v>
      </c>
      <c r="M6">
        <v>3</v>
      </c>
      <c r="N6" s="10">
        <v>-0.77459699999999998</v>
      </c>
      <c r="O6" s="10">
        <v>0.55559999999999998</v>
      </c>
      <c r="P6" s="5">
        <f>(N6+1)/2</f>
        <v>0.11270150000000001</v>
      </c>
      <c r="Q6" s="5">
        <f>SQRT(P6)</f>
        <v>0.33571044070746447</v>
      </c>
      <c r="R6" s="5">
        <f t="shared" ref="R5:R13" si="8">O6*Q6</f>
        <v>0.18652072085706725</v>
      </c>
      <c r="S6" s="5">
        <f>0.5*(SUM(R6:R8))</f>
        <v>0.66921191102764266</v>
      </c>
      <c r="T6" s="7">
        <f>ABS(S6-T1)/T1*100</f>
        <v>0.38178665414640434</v>
      </c>
    </row>
    <row r="7" spans="1:20" x14ac:dyDescent="0.2">
      <c r="A7" s="9">
        <f t="shared" si="6"/>
        <v>0.4</v>
      </c>
      <c r="B7" s="6">
        <f t="shared" si="0"/>
        <v>0.63245553203367588</v>
      </c>
      <c r="C7">
        <f t="shared" si="1"/>
        <v>2</v>
      </c>
      <c r="D7" s="6">
        <f t="shared" si="2"/>
        <v>1.2649110640673518</v>
      </c>
      <c r="F7" s="9">
        <f t="shared" si="7"/>
        <v>0.04</v>
      </c>
      <c r="G7" s="6">
        <f t="shared" si="3"/>
        <v>0.2</v>
      </c>
      <c r="H7" s="9">
        <f t="shared" si="4"/>
        <v>2</v>
      </c>
      <c r="I7" s="6">
        <f t="shared" si="5"/>
        <v>0.4</v>
      </c>
      <c r="N7" s="10">
        <v>0</v>
      </c>
      <c r="O7" s="10">
        <v>0.88890000000000002</v>
      </c>
      <c r="P7" s="5">
        <f t="shared" ref="P7:P8" si="9">(N7+1)/2</f>
        <v>0.5</v>
      </c>
      <c r="Q7" s="5">
        <f t="shared" ref="Q7:Q8" si="10">SQRT(P7)</f>
        <v>0.70710678118654757</v>
      </c>
      <c r="R7" s="5">
        <f t="shared" si="8"/>
        <v>0.62854721779672218</v>
      </c>
      <c r="S7" s="5"/>
      <c r="T7" s="5"/>
    </row>
    <row r="8" spans="1:20" x14ac:dyDescent="0.2">
      <c r="A8" s="9">
        <f t="shared" si="6"/>
        <v>0.5</v>
      </c>
      <c r="B8" s="6">
        <f t="shared" si="0"/>
        <v>0.70710678118654757</v>
      </c>
      <c r="C8">
        <f t="shared" si="1"/>
        <v>4</v>
      </c>
      <c r="D8" s="6">
        <f t="shared" si="2"/>
        <v>2.8284271247461903</v>
      </c>
      <c r="F8" s="9">
        <f t="shared" si="7"/>
        <v>0.05</v>
      </c>
      <c r="G8" s="6">
        <f t="shared" si="3"/>
        <v>0.22360679774997896</v>
      </c>
      <c r="H8" s="9">
        <f t="shared" si="4"/>
        <v>4</v>
      </c>
      <c r="I8" s="6">
        <f t="shared" si="5"/>
        <v>0.89442719099991586</v>
      </c>
      <c r="N8" s="10">
        <v>0.77459699999999998</v>
      </c>
      <c r="O8" s="10">
        <v>0.55559999999999998</v>
      </c>
      <c r="P8" s="5">
        <f t="shared" si="9"/>
        <v>0.88729849999999999</v>
      </c>
      <c r="Q8" s="5">
        <f t="shared" si="10"/>
        <v>0.94196523290405998</v>
      </c>
      <c r="R8" s="5">
        <f t="shared" si="8"/>
        <v>0.52335588340149575</v>
      </c>
      <c r="S8" s="5"/>
      <c r="T8" s="5"/>
    </row>
    <row r="9" spans="1:20" x14ac:dyDescent="0.2">
      <c r="A9" s="9">
        <f t="shared" si="6"/>
        <v>0.6</v>
      </c>
      <c r="B9" s="6">
        <f t="shared" si="0"/>
        <v>0.7745966692414834</v>
      </c>
      <c r="C9">
        <f t="shared" si="1"/>
        <v>2</v>
      </c>
      <c r="D9" s="6">
        <f t="shared" si="2"/>
        <v>1.5491933384829668</v>
      </c>
      <c r="F9" s="9">
        <f t="shared" si="7"/>
        <v>6.0000000000000005E-2</v>
      </c>
      <c r="G9" s="6">
        <f t="shared" si="3"/>
        <v>0.24494897427831783</v>
      </c>
      <c r="H9" s="9">
        <f t="shared" si="4"/>
        <v>2</v>
      </c>
      <c r="I9" s="6">
        <f t="shared" si="5"/>
        <v>0.48989794855663565</v>
      </c>
      <c r="P9" s="5"/>
      <c r="Q9" s="5"/>
      <c r="R9" s="5"/>
      <c r="S9" s="5"/>
      <c r="T9" s="5"/>
    </row>
    <row r="10" spans="1:20" x14ac:dyDescent="0.2">
      <c r="A10" s="9">
        <f t="shared" si="6"/>
        <v>0.7</v>
      </c>
      <c r="B10" s="6">
        <f t="shared" si="0"/>
        <v>0.83666002653407556</v>
      </c>
      <c r="C10">
        <f t="shared" si="1"/>
        <v>4</v>
      </c>
      <c r="D10" s="6">
        <f t="shared" si="2"/>
        <v>3.3466401061363023</v>
      </c>
      <c r="F10" s="9">
        <f t="shared" si="7"/>
        <v>7.0000000000000007E-2</v>
      </c>
      <c r="G10" s="6">
        <f t="shared" si="3"/>
        <v>0.26457513110645908</v>
      </c>
      <c r="H10" s="9">
        <f t="shared" si="4"/>
        <v>4</v>
      </c>
      <c r="I10" s="6">
        <f t="shared" si="5"/>
        <v>1.0583005244258363</v>
      </c>
      <c r="M10">
        <v>4</v>
      </c>
      <c r="N10" s="10">
        <v>-0.86113600000000001</v>
      </c>
      <c r="O10" s="10">
        <v>0.34785500000000003</v>
      </c>
      <c r="P10" s="5">
        <f>(1+N10)/2</f>
        <v>6.9431999999999994E-2</v>
      </c>
      <c r="Q10" s="5">
        <f>SQRT(P10)</f>
        <v>0.26349952561627127</v>
      </c>
      <c r="R10" s="5">
        <f t="shared" si="8"/>
        <v>9.1659627483248046E-2</v>
      </c>
      <c r="S10" s="5">
        <f>0.5*(SUM(R10:R13))</f>
        <v>0.66782925404378768</v>
      </c>
      <c r="T10" s="7">
        <f>ABS(S10-T1)/T1*100</f>
        <v>0.1743881065681574</v>
      </c>
    </row>
    <row r="11" spans="1:20" x14ac:dyDescent="0.2">
      <c r="A11" s="9">
        <f t="shared" si="6"/>
        <v>0.79999999999999993</v>
      </c>
      <c r="B11" s="6">
        <f t="shared" si="0"/>
        <v>0.89442719099991586</v>
      </c>
      <c r="C11">
        <f t="shared" si="1"/>
        <v>2</v>
      </c>
      <c r="D11" s="6">
        <f t="shared" si="2"/>
        <v>1.7888543819998317</v>
      </c>
      <c r="F11" s="9">
        <f t="shared" si="7"/>
        <v>0.08</v>
      </c>
      <c r="G11" s="6">
        <f t="shared" si="3"/>
        <v>0.28284271247461901</v>
      </c>
      <c r="H11" s="9">
        <f t="shared" si="4"/>
        <v>2</v>
      </c>
      <c r="I11" s="6">
        <f t="shared" si="5"/>
        <v>0.56568542494923801</v>
      </c>
      <c r="N11" s="10">
        <v>-0.33998099999999998</v>
      </c>
      <c r="O11" s="10">
        <v>0.65214499999999997</v>
      </c>
      <c r="P11" s="5">
        <f t="shared" ref="P11:P13" si="11">(1+N11)/2</f>
        <v>0.33000950000000001</v>
      </c>
      <c r="Q11" s="5">
        <f t="shared" ref="Q11:Q13" si="12">SQRT(P11)</f>
        <v>0.57446453328295211</v>
      </c>
      <c r="R11" s="5">
        <f t="shared" si="8"/>
        <v>0.37463417305781077</v>
      </c>
      <c r="S11" s="5"/>
      <c r="T11" s="5"/>
    </row>
    <row r="12" spans="1:20" x14ac:dyDescent="0.2">
      <c r="A12" s="9">
        <f t="shared" si="6"/>
        <v>0.89999999999999991</v>
      </c>
      <c r="B12" s="6">
        <f t="shared" si="0"/>
        <v>0.94868329805051377</v>
      </c>
      <c r="C12">
        <f t="shared" si="1"/>
        <v>4</v>
      </c>
      <c r="D12" s="6">
        <f t="shared" si="2"/>
        <v>3.7947331922020551</v>
      </c>
      <c r="F12" s="9">
        <f t="shared" si="7"/>
        <v>0.09</v>
      </c>
      <c r="G12" s="6">
        <f t="shared" si="3"/>
        <v>0.3</v>
      </c>
      <c r="H12" s="9">
        <f t="shared" si="4"/>
        <v>4</v>
      </c>
      <c r="I12" s="6">
        <f t="shared" si="5"/>
        <v>1.2</v>
      </c>
      <c r="N12" s="10">
        <v>0.33998099999999998</v>
      </c>
      <c r="O12" s="10">
        <v>0.65214499999999997</v>
      </c>
      <c r="P12" s="5">
        <f t="shared" si="11"/>
        <v>0.66999049999999993</v>
      </c>
      <c r="Q12" s="5">
        <f t="shared" si="12"/>
        <v>0.81852947411806742</v>
      </c>
      <c r="R12" s="5">
        <f t="shared" si="8"/>
        <v>0.53379990389872711</v>
      </c>
      <c r="S12" s="5"/>
      <c r="T12" s="5"/>
    </row>
    <row r="13" spans="1:20" x14ac:dyDescent="0.2">
      <c r="A13" s="9">
        <f t="shared" si="6"/>
        <v>0.99999999999999989</v>
      </c>
      <c r="B13" s="6">
        <f t="shared" si="0"/>
        <v>0.99999999999999989</v>
      </c>
      <c r="C13">
        <f t="shared" si="1"/>
        <v>1</v>
      </c>
      <c r="D13" s="6">
        <f t="shared" si="2"/>
        <v>0.99999999999999989</v>
      </c>
      <c r="F13" s="9">
        <f t="shared" si="7"/>
        <v>9.9999999999999992E-2</v>
      </c>
      <c r="G13" s="6">
        <f t="shared" si="3"/>
        <v>0.31622776601683794</v>
      </c>
      <c r="H13" s="9">
        <f t="shared" si="4"/>
        <v>2</v>
      </c>
      <c r="I13" s="6">
        <f t="shared" si="5"/>
        <v>0.63245553203367588</v>
      </c>
      <c r="N13" s="10">
        <v>0.86113899999999999</v>
      </c>
      <c r="O13" s="10">
        <v>0.347858</v>
      </c>
      <c r="P13" s="5">
        <f t="shared" si="11"/>
        <v>0.93056950000000005</v>
      </c>
      <c r="Q13" s="5">
        <f t="shared" si="12"/>
        <v>0.96466030290460281</v>
      </c>
      <c r="R13" s="5">
        <f t="shared" si="8"/>
        <v>0.33556480364778934</v>
      </c>
      <c r="S13" s="5"/>
    </row>
    <row r="14" spans="1:20" x14ac:dyDescent="0.2">
      <c r="C14" t="s">
        <v>32</v>
      </c>
      <c r="D14" s="6">
        <f>($D$1/3*SUM(D3:D13))</f>
        <v>0.66409958975742089</v>
      </c>
      <c r="F14" s="9">
        <f t="shared" si="7"/>
        <v>0.10999999999999999</v>
      </c>
      <c r="G14" s="6">
        <f t="shared" si="3"/>
        <v>0.33166247903553997</v>
      </c>
      <c r="H14" s="9">
        <f t="shared" si="4"/>
        <v>4</v>
      </c>
      <c r="I14" s="6">
        <f t="shared" si="5"/>
        <v>1.3266499161421599</v>
      </c>
      <c r="N14" s="10"/>
    </row>
    <row r="15" spans="1:20" x14ac:dyDescent="0.2">
      <c r="C15" t="s">
        <v>33</v>
      </c>
      <c r="D15" s="6">
        <f>2/3</f>
        <v>0.66666666666666663</v>
      </c>
      <c r="F15" s="9">
        <f t="shared" si="7"/>
        <v>0.11999999999999998</v>
      </c>
      <c r="G15" s="6">
        <f t="shared" si="3"/>
        <v>0.34641016151377541</v>
      </c>
      <c r="H15" s="9">
        <f t="shared" si="4"/>
        <v>2</v>
      </c>
      <c r="I15" s="6">
        <f t="shared" si="5"/>
        <v>0.69282032302755081</v>
      </c>
    </row>
    <row r="16" spans="1:20" x14ac:dyDescent="0.2">
      <c r="C16" t="s">
        <v>18</v>
      </c>
      <c r="D16" s="8">
        <f>ABS(D15-D14)/D15*100</f>
        <v>0.38506153638686036</v>
      </c>
      <c r="F16" s="9">
        <f t="shared" si="7"/>
        <v>0.12999999999999998</v>
      </c>
      <c r="G16" s="6">
        <f t="shared" si="3"/>
        <v>0.3605551275463989</v>
      </c>
      <c r="H16" s="9">
        <f t="shared" si="4"/>
        <v>4</v>
      </c>
      <c r="I16" s="6">
        <f t="shared" si="5"/>
        <v>1.4422205101855956</v>
      </c>
    </row>
    <row r="17" spans="6:9" x14ac:dyDescent="0.2">
      <c r="F17" s="9">
        <f t="shared" si="7"/>
        <v>0.13999999999999999</v>
      </c>
      <c r="G17" s="6">
        <f t="shared" si="3"/>
        <v>0.37416573867739411</v>
      </c>
      <c r="H17" s="9">
        <f t="shared" si="4"/>
        <v>2</v>
      </c>
      <c r="I17" s="6">
        <f t="shared" si="5"/>
        <v>0.74833147735478822</v>
      </c>
    </row>
    <row r="18" spans="6:9" x14ac:dyDescent="0.2">
      <c r="F18" s="9">
        <f t="shared" si="7"/>
        <v>0.15</v>
      </c>
      <c r="G18" s="6">
        <f t="shared" si="3"/>
        <v>0.3872983346207417</v>
      </c>
      <c r="H18" s="9">
        <f t="shared" si="4"/>
        <v>4</v>
      </c>
      <c r="I18" s="6">
        <f t="shared" si="5"/>
        <v>1.5491933384829668</v>
      </c>
    </row>
    <row r="19" spans="6:9" x14ac:dyDescent="0.2">
      <c r="F19" s="9">
        <f t="shared" si="7"/>
        <v>0.16</v>
      </c>
      <c r="G19" s="6">
        <f t="shared" si="3"/>
        <v>0.4</v>
      </c>
      <c r="H19" s="9">
        <f t="shared" si="4"/>
        <v>2</v>
      </c>
      <c r="I19" s="6">
        <f t="shared" si="5"/>
        <v>0.8</v>
      </c>
    </row>
    <row r="20" spans="6:9" x14ac:dyDescent="0.2">
      <c r="F20" s="9">
        <f t="shared" si="7"/>
        <v>0.17</v>
      </c>
      <c r="G20" s="6">
        <f t="shared" si="3"/>
        <v>0.41231056256176607</v>
      </c>
      <c r="H20" s="9">
        <f t="shared" si="4"/>
        <v>4</v>
      </c>
      <c r="I20" s="6">
        <f t="shared" si="5"/>
        <v>1.6492422502470643</v>
      </c>
    </row>
    <row r="21" spans="6:9" x14ac:dyDescent="0.2">
      <c r="F21" s="9">
        <f t="shared" si="7"/>
        <v>0.18000000000000002</v>
      </c>
      <c r="G21" s="6">
        <f t="shared" si="3"/>
        <v>0.42426406871192857</v>
      </c>
      <c r="H21" s="9">
        <f t="shared" si="4"/>
        <v>2</v>
      </c>
      <c r="I21" s="6">
        <f t="shared" si="5"/>
        <v>0.84852813742385713</v>
      </c>
    </row>
    <row r="22" spans="6:9" x14ac:dyDescent="0.2">
      <c r="F22" s="9">
        <f t="shared" si="7"/>
        <v>0.19000000000000003</v>
      </c>
      <c r="G22" s="6">
        <f t="shared" si="3"/>
        <v>0.43588989435406739</v>
      </c>
      <c r="H22" s="9">
        <f t="shared" si="4"/>
        <v>4</v>
      </c>
      <c r="I22" s="6">
        <f t="shared" si="5"/>
        <v>1.7435595774162695</v>
      </c>
    </row>
    <row r="23" spans="6:9" x14ac:dyDescent="0.2">
      <c r="F23" s="9">
        <f t="shared" si="7"/>
        <v>0.20000000000000004</v>
      </c>
      <c r="G23" s="6">
        <f t="shared" si="3"/>
        <v>0.44721359549995798</v>
      </c>
      <c r="H23" s="9">
        <f t="shared" si="4"/>
        <v>2</v>
      </c>
      <c r="I23" s="6">
        <f t="shared" si="5"/>
        <v>0.89442719099991597</v>
      </c>
    </row>
    <row r="24" spans="6:9" x14ac:dyDescent="0.2">
      <c r="F24" s="9">
        <f t="shared" si="7"/>
        <v>0.21000000000000005</v>
      </c>
      <c r="G24" s="6">
        <f t="shared" si="3"/>
        <v>0.45825756949558405</v>
      </c>
      <c r="H24" s="9">
        <f t="shared" si="4"/>
        <v>4</v>
      </c>
      <c r="I24" s="6">
        <f t="shared" si="5"/>
        <v>1.8330302779823362</v>
      </c>
    </row>
    <row r="25" spans="6:9" x14ac:dyDescent="0.2">
      <c r="F25" s="9">
        <f t="shared" si="7"/>
        <v>0.22000000000000006</v>
      </c>
      <c r="G25" s="6">
        <f t="shared" si="3"/>
        <v>0.46904157598234303</v>
      </c>
      <c r="H25" s="9">
        <f t="shared" si="4"/>
        <v>2</v>
      </c>
      <c r="I25" s="6">
        <f t="shared" si="5"/>
        <v>0.93808315196468606</v>
      </c>
    </row>
    <row r="26" spans="6:9" x14ac:dyDescent="0.2">
      <c r="F26" s="9">
        <f t="shared" si="7"/>
        <v>0.23000000000000007</v>
      </c>
      <c r="G26" s="6">
        <f t="shared" si="3"/>
        <v>0.47958315233127202</v>
      </c>
      <c r="H26" s="9">
        <f t="shared" si="4"/>
        <v>4</v>
      </c>
      <c r="I26" s="6">
        <f t="shared" si="5"/>
        <v>1.9183326093250881</v>
      </c>
    </row>
    <row r="27" spans="6:9" x14ac:dyDescent="0.2">
      <c r="F27" s="9">
        <f t="shared" si="7"/>
        <v>0.24000000000000007</v>
      </c>
      <c r="G27" s="6">
        <f t="shared" si="3"/>
        <v>0.48989794855663571</v>
      </c>
      <c r="H27" s="9">
        <f t="shared" si="4"/>
        <v>2</v>
      </c>
      <c r="I27" s="6">
        <f t="shared" si="5"/>
        <v>0.97979589711327142</v>
      </c>
    </row>
    <row r="28" spans="6:9" x14ac:dyDescent="0.2">
      <c r="F28" s="9">
        <f t="shared" si="7"/>
        <v>0.25000000000000006</v>
      </c>
      <c r="G28" s="6">
        <f t="shared" si="3"/>
        <v>0.5</v>
      </c>
      <c r="H28" s="9">
        <f t="shared" si="4"/>
        <v>4</v>
      </c>
      <c r="I28" s="6">
        <f t="shared" si="5"/>
        <v>2</v>
      </c>
    </row>
    <row r="29" spans="6:9" x14ac:dyDescent="0.2">
      <c r="F29" s="9">
        <f t="shared" si="7"/>
        <v>0.26000000000000006</v>
      </c>
      <c r="G29" s="6">
        <f t="shared" si="3"/>
        <v>0.50990195135927852</v>
      </c>
      <c r="H29" s="9">
        <f t="shared" si="4"/>
        <v>2</v>
      </c>
      <c r="I29" s="6">
        <f t="shared" si="5"/>
        <v>1.019803902718557</v>
      </c>
    </row>
    <row r="30" spans="6:9" x14ac:dyDescent="0.2">
      <c r="F30" s="9">
        <f t="shared" si="7"/>
        <v>0.27000000000000007</v>
      </c>
      <c r="G30" s="6">
        <f t="shared" si="3"/>
        <v>0.51961524227066325</v>
      </c>
      <c r="H30" s="9">
        <f t="shared" si="4"/>
        <v>4</v>
      </c>
      <c r="I30" s="6">
        <f t="shared" si="5"/>
        <v>2.078460969082653</v>
      </c>
    </row>
    <row r="31" spans="6:9" x14ac:dyDescent="0.2">
      <c r="F31" s="9">
        <f t="shared" si="7"/>
        <v>0.28000000000000008</v>
      </c>
      <c r="G31" s="6">
        <f t="shared" si="3"/>
        <v>0.52915026221291817</v>
      </c>
      <c r="H31" s="9">
        <f t="shared" si="4"/>
        <v>2</v>
      </c>
      <c r="I31" s="6">
        <f t="shared" si="5"/>
        <v>1.0583005244258363</v>
      </c>
    </row>
    <row r="32" spans="6:9" x14ac:dyDescent="0.2">
      <c r="F32" s="9">
        <f t="shared" si="7"/>
        <v>0.29000000000000009</v>
      </c>
      <c r="G32" s="6">
        <f t="shared" si="3"/>
        <v>0.53851648071345048</v>
      </c>
      <c r="H32" s="9">
        <f t="shared" si="4"/>
        <v>4</v>
      </c>
      <c r="I32" s="6">
        <f t="shared" si="5"/>
        <v>2.1540659228538019</v>
      </c>
    </row>
    <row r="33" spans="6:9" x14ac:dyDescent="0.2">
      <c r="F33" s="9">
        <f t="shared" si="7"/>
        <v>0.3000000000000001</v>
      </c>
      <c r="G33" s="6">
        <f t="shared" si="3"/>
        <v>0.54772255750516619</v>
      </c>
      <c r="H33" s="9">
        <f t="shared" si="4"/>
        <v>2</v>
      </c>
      <c r="I33" s="6">
        <f t="shared" si="5"/>
        <v>1.0954451150103324</v>
      </c>
    </row>
    <row r="34" spans="6:9" x14ac:dyDescent="0.2">
      <c r="F34" s="9">
        <f t="shared" si="7"/>
        <v>0.31000000000000011</v>
      </c>
      <c r="G34" s="6">
        <f t="shared" si="3"/>
        <v>0.55677643628300233</v>
      </c>
      <c r="H34" s="9">
        <f t="shared" si="4"/>
        <v>4</v>
      </c>
      <c r="I34" s="6">
        <f t="shared" si="5"/>
        <v>2.2271057451320093</v>
      </c>
    </row>
    <row r="35" spans="6:9" x14ac:dyDescent="0.2">
      <c r="F35" s="9">
        <f t="shared" si="7"/>
        <v>0.32000000000000012</v>
      </c>
      <c r="G35" s="6">
        <f t="shared" si="3"/>
        <v>0.56568542494923812</v>
      </c>
      <c r="H35" s="9">
        <f t="shared" si="4"/>
        <v>2</v>
      </c>
      <c r="I35" s="6">
        <f t="shared" si="5"/>
        <v>1.1313708498984762</v>
      </c>
    </row>
    <row r="36" spans="6:9" x14ac:dyDescent="0.2">
      <c r="F36" s="9">
        <f t="shared" si="7"/>
        <v>0.33000000000000013</v>
      </c>
      <c r="G36" s="6">
        <f t="shared" si="3"/>
        <v>0.57445626465380295</v>
      </c>
      <c r="H36" s="9">
        <f t="shared" si="4"/>
        <v>4</v>
      </c>
      <c r="I36" s="6">
        <f t="shared" si="5"/>
        <v>2.2978250586152118</v>
      </c>
    </row>
    <row r="37" spans="6:9" x14ac:dyDescent="0.2">
      <c r="F37" s="9">
        <f t="shared" si="7"/>
        <v>0.34000000000000014</v>
      </c>
      <c r="G37" s="6">
        <f t="shared" si="3"/>
        <v>0.58309518948453021</v>
      </c>
      <c r="H37" s="9">
        <f t="shared" si="4"/>
        <v>2</v>
      </c>
      <c r="I37" s="6">
        <f t="shared" si="5"/>
        <v>1.1661903789690604</v>
      </c>
    </row>
    <row r="38" spans="6:9" x14ac:dyDescent="0.2">
      <c r="F38" s="9">
        <f t="shared" si="7"/>
        <v>0.35000000000000014</v>
      </c>
      <c r="G38" s="6">
        <f t="shared" si="3"/>
        <v>0.5916079783099617</v>
      </c>
      <c r="H38" s="9">
        <f t="shared" si="4"/>
        <v>4</v>
      </c>
      <c r="I38" s="6">
        <f t="shared" si="5"/>
        <v>2.3664319132398468</v>
      </c>
    </row>
    <row r="39" spans="6:9" x14ac:dyDescent="0.2">
      <c r="F39" s="9">
        <f t="shared" si="7"/>
        <v>0.36000000000000015</v>
      </c>
      <c r="G39" s="6">
        <f t="shared" si="3"/>
        <v>0.60000000000000009</v>
      </c>
      <c r="H39" s="9">
        <f t="shared" si="4"/>
        <v>2</v>
      </c>
      <c r="I39" s="6">
        <f t="shared" si="5"/>
        <v>1.2000000000000002</v>
      </c>
    </row>
    <row r="40" spans="6:9" x14ac:dyDescent="0.2">
      <c r="F40" s="9">
        <f t="shared" si="7"/>
        <v>0.37000000000000016</v>
      </c>
      <c r="G40" s="6">
        <f t="shared" si="3"/>
        <v>0.60827625302982213</v>
      </c>
      <c r="H40" s="9">
        <f t="shared" si="4"/>
        <v>4</v>
      </c>
      <c r="I40" s="6">
        <f t="shared" si="5"/>
        <v>2.4331050121192885</v>
      </c>
    </row>
    <row r="41" spans="6:9" x14ac:dyDescent="0.2">
      <c r="F41" s="9">
        <f t="shared" si="7"/>
        <v>0.38000000000000017</v>
      </c>
      <c r="G41" s="6">
        <f t="shared" si="3"/>
        <v>0.61644140029689776</v>
      </c>
      <c r="H41" s="9">
        <f t="shared" si="4"/>
        <v>2</v>
      </c>
      <c r="I41" s="6">
        <f t="shared" si="5"/>
        <v>1.2328828005937955</v>
      </c>
    </row>
    <row r="42" spans="6:9" x14ac:dyDescent="0.2">
      <c r="F42" s="9">
        <f t="shared" si="7"/>
        <v>0.39000000000000018</v>
      </c>
      <c r="G42" s="6">
        <f t="shared" si="3"/>
        <v>0.62449979983983994</v>
      </c>
      <c r="H42" s="9">
        <f t="shared" si="4"/>
        <v>4</v>
      </c>
      <c r="I42" s="6">
        <f t="shared" si="5"/>
        <v>2.4979991993593598</v>
      </c>
    </row>
    <row r="43" spans="6:9" x14ac:dyDescent="0.2">
      <c r="F43" s="9">
        <f t="shared" si="7"/>
        <v>0.40000000000000019</v>
      </c>
      <c r="G43" s="6">
        <f t="shared" si="3"/>
        <v>0.63245553203367599</v>
      </c>
      <c r="H43" s="9">
        <f t="shared" si="4"/>
        <v>2</v>
      </c>
      <c r="I43" s="6">
        <f t="shared" si="5"/>
        <v>1.264911064067352</v>
      </c>
    </row>
    <row r="44" spans="6:9" x14ac:dyDescent="0.2">
      <c r="F44" s="9">
        <f t="shared" si="7"/>
        <v>0.4100000000000002</v>
      </c>
      <c r="G44" s="6">
        <f t="shared" si="3"/>
        <v>0.64031242374328501</v>
      </c>
      <c r="H44" s="9">
        <f t="shared" si="4"/>
        <v>4</v>
      </c>
      <c r="I44" s="6">
        <f t="shared" si="5"/>
        <v>2.56124969497314</v>
      </c>
    </row>
    <row r="45" spans="6:9" x14ac:dyDescent="0.2">
      <c r="F45" s="9">
        <f t="shared" si="7"/>
        <v>0.42000000000000021</v>
      </c>
      <c r="G45" s="6">
        <f t="shared" si="3"/>
        <v>0.64807406984078619</v>
      </c>
      <c r="H45" s="9">
        <f t="shared" si="4"/>
        <v>2</v>
      </c>
      <c r="I45" s="6">
        <f t="shared" si="5"/>
        <v>1.2961481396815724</v>
      </c>
    </row>
    <row r="46" spans="6:9" x14ac:dyDescent="0.2">
      <c r="F46" s="9">
        <f t="shared" si="7"/>
        <v>0.43000000000000022</v>
      </c>
      <c r="G46" s="6">
        <f t="shared" si="3"/>
        <v>0.65574385243020028</v>
      </c>
      <c r="H46" s="9">
        <f t="shared" si="4"/>
        <v>4</v>
      </c>
      <c r="I46" s="6">
        <f t="shared" si="5"/>
        <v>2.6229754097208011</v>
      </c>
    </row>
    <row r="47" spans="6:9" x14ac:dyDescent="0.2">
      <c r="F47" s="9">
        <f t="shared" si="7"/>
        <v>0.44000000000000022</v>
      </c>
      <c r="G47" s="6">
        <f t="shared" si="3"/>
        <v>0.66332495807108016</v>
      </c>
      <c r="H47" s="9">
        <f t="shared" si="4"/>
        <v>2</v>
      </c>
      <c r="I47" s="6">
        <f t="shared" si="5"/>
        <v>1.3266499161421603</v>
      </c>
    </row>
    <row r="48" spans="6:9" x14ac:dyDescent="0.2">
      <c r="F48" s="9">
        <f t="shared" si="7"/>
        <v>0.45000000000000023</v>
      </c>
      <c r="G48" s="6">
        <f t="shared" si="3"/>
        <v>0.67082039324993703</v>
      </c>
      <c r="H48" s="9">
        <f t="shared" si="4"/>
        <v>4</v>
      </c>
      <c r="I48" s="6">
        <f t="shared" si="5"/>
        <v>2.6832815729997481</v>
      </c>
    </row>
    <row r="49" spans="6:9" x14ac:dyDescent="0.2">
      <c r="F49" s="9">
        <f t="shared" si="7"/>
        <v>0.46000000000000024</v>
      </c>
      <c r="G49" s="6">
        <f t="shared" si="3"/>
        <v>0.67823299831252704</v>
      </c>
      <c r="H49" s="9">
        <f t="shared" si="4"/>
        <v>2</v>
      </c>
      <c r="I49" s="6">
        <f t="shared" si="5"/>
        <v>1.3564659966250541</v>
      </c>
    </row>
    <row r="50" spans="6:9" x14ac:dyDescent="0.2">
      <c r="F50" s="9">
        <f t="shared" si="7"/>
        <v>0.47000000000000025</v>
      </c>
      <c r="G50" s="6">
        <f t="shared" si="3"/>
        <v>0.68556546004010455</v>
      </c>
      <c r="H50" s="9">
        <f t="shared" si="4"/>
        <v>4</v>
      </c>
      <c r="I50" s="6">
        <f t="shared" si="5"/>
        <v>2.7422618401604182</v>
      </c>
    </row>
    <row r="51" spans="6:9" x14ac:dyDescent="0.2">
      <c r="F51" s="9">
        <f t="shared" si="7"/>
        <v>0.48000000000000026</v>
      </c>
      <c r="G51" s="6">
        <f t="shared" si="3"/>
        <v>0.69282032302755114</v>
      </c>
      <c r="H51" s="9">
        <f t="shared" si="4"/>
        <v>2</v>
      </c>
      <c r="I51" s="6">
        <f t="shared" si="5"/>
        <v>1.3856406460551023</v>
      </c>
    </row>
    <row r="52" spans="6:9" x14ac:dyDescent="0.2">
      <c r="F52" s="9">
        <f t="shared" si="7"/>
        <v>0.49000000000000027</v>
      </c>
      <c r="G52" s="6">
        <f t="shared" si="3"/>
        <v>0.70000000000000018</v>
      </c>
      <c r="H52" s="9">
        <f t="shared" si="4"/>
        <v>4</v>
      </c>
      <c r="I52" s="6">
        <f t="shared" si="5"/>
        <v>2.8000000000000007</v>
      </c>
    </row>
    <row r="53" spans="6:9" x14ac:dyDescent="0.2">
      <c r="F53" s="9">
        <f t="shared" si="7"/>
        <v>0.50000000000000022</v>
      </c>
      <c r="G53" s="6">
        <f t="shared" si="3"/>
        <v>0.70710678118654768</v>
      </c>
      <c r="H53" s="9">
        <f t="shared" si="4"/>
        <v>2</v>
      </c>
      <c r="I53" s="6">
        <f t="shared" si="5"/>
        <v>1.4142135623730954</v>
      </c>
    </row>
    <row r="54" spans="6:9" x14ac:dyDescent="0.2">
      <c r="F54" s="9">
        <f t="shared" si="7"/>
        <v>0.51000000000000023</v>
      </c>
      <c r="G54" s="6">
        <f t="shared" si="3"/>
        <v>0.7141428428542852</v>
      </c>
      <c r="H54" s="9">
        <f t="shared" si="4"/>
        <v>4</v>
      </c>
      <c r="I54" s="6">
        <f t="shared" si="5"/>
        <v>2.8565713714171408</v>
      </c>
    </row>
    <row r="55" spans="6:9" x14ac:dyDescent="0.2">
      <c r="F55" s="9">
        <f t="shared" si="7"/>
        <v>0.52000000000000024</v>
      </c>
      <c r="G55" s="6">
        <f t="shared" si="3"/>
        <v>0.72111025509279802</v>
      </c>
      <c r="H55" s="9">
        <f t="shared" si="4"/>
        <v>2</v>
      </c>
      <c r="I55" s="6">
        <f t="shared" si="5"/>
        <v>1.442220510185596</v>
      </c>
    </row>
    <row r="56" spans="6:9" x14ac:dyDescent="0.2">
      <c r="F56" s="9">
        <f t="shared" si="7"/>
        <v>0.53000000000000025</v>
      </c>
      <c r="G56" s="6">
        <f t="shared" si="3"/>
        <v>0.72801098892805205</v>
      </c>
      <c r="H56" s="9">
        <f t="shared" si="4"/>
        <v>4</v>
      </c>
      <c r="I56" s="6">
        <f t="shared" si="5"/>
        <v>2.9120439557122082</v>
      </c>
    </row>
    <row r="57" spans="6:9" x14ac:dyDescent="0.2">
      <c r="F57" s="9">
        <f t="shared" si="7"/>
        <v>0.54000000000000026</v>
      </c>
      <c r="G57" s="6">
        <f t="shared" si="3"/>
        <v>0.73484692283495356</v>
      </c>
      <c r="H57" s="9">
        <f t="shared" si="4"/>
        <v>2</v>
      </c>
      <c r="I57" s="6">
        <f t="shared" si="5"/>
        <v>1.4696938456699071</v>
      </c>
    </row>
    <row r="58" spans="6:9" x14ac:dyDescent="0.2">
      <c r="F58" s="9">
        <f t="shared" si="7"/>
        <v>0.55000000000000027</v>
      </c>
      <c r="G58" s="6">
        <f t="shared" si="3"/>
        <v>0.74161984870956643</v>
      </c>
      <c r="H58" s="9">
        <f t="shared" si="4"/>
        <v>4</v>
      </c>
      <c r="I58" s="6">
        <f t="shared" si="5"/>
        <v>2.9664793948382657</v>
      </c>
    </row>
    <row r="59" spans="6:9" x14ac:dyDescent="0.2">
      <c r="F59" s="9">
        <f t="shared" si="7"/>
        <v>0.56000000000000028</v>
      </c>
      <c r="G59" s="6">
        <f t="shared" si="3"/>
        <v>0.74833147735478844</v>
      </c>
      <c r="H59" s="9">
        <f t="shared" si="4"/>
        <v>2</v>
      </c>
      <c r="I59" s="6">
        <f t="shared" si="5"/>
        <v>1.4966629547095769</v>
      </c>
    </row>
    <row r="60" spans="6:9" x14ac:dyDescent="0.2">
      <c r="F60" s="9">
        <f t="shared" si="7"/>
        <v>0.57000000000000028</v>
      </c>
      <c r="G60" s="6">
        <f t="shared" si="3"/>
        <v>0.75498344352707514</v>
      </c>
      <c r="H60" s="9">
        <f t="shared" si="4"/>
        <v>4</v>
      </c>
      <c r="I60" s="6">
        <f t="shared" si="5"/>
        <v>3.0199337741083006</v>
      </c>
    </row>
    <row r="61" spans="6:9" x14ac:dyDescent="0.2">
      <c r="F61" s="9">
        <f t="shared" si="7"/>
        <v>0.58000000000000029</v>
      </c>
      <c r="G61" s="6">
        <f t="shared" si="3"/>
        <v>0.761577310586391</v>
      </c>
      <c r="H61" s="9">
        <f t="shared" si="4"/>
        <v>2</v>
      </c>
      <c r="I61" s="6">
        <f t="shared" si="5"/>
        <v>1.523154621172782</v>
      </c>
    </row>
    <row r="62" spans="6:9" x14ac:dyDescent="0.2">
      <c r="F62" s="9">
        <f t="shared" si="7"/>
        <v>0.5900000000000003</v>
      </c>
      <c r="G62" s="6">
        <f t="shared" si="3"/>
        <v>0.76811457478686096</v>
      </c>
      <c r="H62" s="9">
        <f t="shared" si="4"/>
        <v>4</v>
      </c>
      <c r="I62" s="6">
        <f t="shared" si="5"/>
        <v>3.0724582991474438</v>
      </c>
    </row>
    <row r="63" spans="6:9" x14ac:dyDescent="0.2">
      <c r="F63" s="9">
        <f t="shared" si="7"/>
        <v>0.60000000000000031</v>
      </c>
      <c r="G63" s="6">
        <f t="shared" si="3"/>
        <v>0.77459666924148363</v>
      </c>
      <c r="H63" s="9">
        <f t="shared" si="4"/>
        <v>2</v>
      </c>
      <c r="I63" s="6">
        <f t="shared" si="5"/>
        <v>1.5491933384829673</v>
      </c>
    </row>
    <row r="64" spans="6:9" x14ac:dyDescent="0.2">
      <c r="F64" s="9">
        <f t="shared" si="7"/>
        <v>0.61000000000000032</v>
      </c>
      <c r="G64" s="6">
        <f t="shared" si="3"/>
        <v>0.78102496759066564</v>
      </c>
      <c r="H64" s="9">
        <f t="shared" si="4"/>
        <v>4</v>
      </c>
      <c r="I64" s="6">
        <f t="shared" si="5"/>
        <v>3.1240998703626626</v>
      </c>
    </row>
    <row r="65" spans="6:9" x14ac:dyDescent="0.2">
      <c r="F65" s="9">
        <f t="shared" si="7"/>
        <v>0.62000000000000033</v>
      </c>
      <c r="G65" s="6">
        <f t="shared" si="3"/>
        <v>0.78740078740118136</v>
      </c>
      <c r="H65" s="9">
        <f t="shared" si="4"/>
        <v>2</v>
      </c>
      <c r="I65" s="6">
        <f t="shared" si="5"/>
        <v>1.5748015748023627</v>
      </c>
    </row>
    <row r="66" spans="6:9" x14ac:dyDescent="0.2">
      <c r="F66" s="9">
        <f t="shared" si="7"/>
        <v>0.63000000000000034</v>
      </c>
      <c r="G66" s="6">
        <f t="shared" si="3"/>
        <v>0.79372539331937741</v>
      </c>
      <c r="H66" s="9">
        <f t="shared" si="4"/>
        <v>4</v>
      </c>
      <c r="I66" s="6">
        <f t="shared" si="5"/>
        <v>3.1749015732775097</v>
      </c>
    </row>
    <row r="67" spans="6:9" x14ac:dyDescent="0.2">
      <c r="F67" s="9">
        <f t="shared" si="7"/>
        <v>0.64000000000000035</v>
      </c>
      <c r="G67" s="6">
        <f t="shared" si="3"/>
        <v>0.80000000000000027</v>
      </c>
      <c r="H67" s="9">
        <f t="shared" si="4"/>
        <v>2</v>
      </c>
      <c r="I67" s="6">
        <f t="shared" si="5"/>
        <v>1.6000000000000005</v>
      </c>
    </row>
    <row r="68" spans="6:9" x14ac:dyDescent="0.2">
      <c r="F68" s="9">
        <f t="shared" si="7"/>
        <v>0.65000000000000036</v>
      </c>
      <c r="G68" s="6">
        <f t="shared" ref="G68:G103" si="13">SQRT(F68)</f>
        <v>0.80622577482985514</v>
      </c>
      <c r="H68" s="9">
        <f t="shared" ref="H68:H103" si="14">IF(ROW()-ROW($A$3)=0,1,IF(F68=1,1,IF(MOD(ROW()-ROW($A$3),2)=1,4,2)))</f>
        <v>4</v>
      </c>
      <c r="I68" s="6">
        <f t="shared" ref="I68:I103" si="15">G68*H68</f>
        <v>3.2249030993194205</v>
      </c>
    </row>
    <row r="69" spans="6:9" x14ac:dyDescent="0.2">
      <c r="F69" s="9">
        <f t="shared" ref="F69:F103" si="16">F68+$I$1</f>
        <v>0.66000000000000036</v>
      </c>
      <c r="G69" s="6">
        <f t="shared" si="13"/>
        <v>0.81240384046359626</v>
      </c>
      <c r="H69" s="9">
        <f t="shared" si="14"/>
        <v>2</v>
      </c>
      <c r="I69" s="6">
        <f t="shared" si="15"/>
        <v>1.6248076809271925</v>
      </c>
    </row>
    <row r="70" spans="6:9" x14ac:dyDescent="0.2">
      <c r="F70" s="9">
        <f t="shared" si="16"/>
        <v>0.67000000000000037</v>
      </c>
      <c r="G70" s="6">
        <f t="shared" si="13"/>
        <v>0.81853527718724517</v>
      </c>
      <c r="H70" s="9">
        <f t="shared" si="14"/>
        <v>4</v>
      </c>
      <c r="I70" s="6">
        <f t="shared" si="15"/>
        <v>3.2741411087489807</v>
      </c>
    </row>
    <row r="71" spans="6:9" x14ac:dyDescent="0.2">
      <c r="F71" s="9">
        <f t="shared" si="16"/>
        <v>0.68000000000000038</v>
      </c>
      <c r="G71" s="6">
        <f t="shared" si="13"/>
        <v>0.82462112512353236</v>
      </c>
      <c r="H71" s="9">
        <f t="shared" si="14"/>
        <v>2</v>
      </c>
      <c r="I71" s="6">
        <f t="shared" si="15"/>
        <v>1.6492422502470647</v>
      </c>
    </row>
    <row r="72" spans="6:9" x14ac:dyDescent="0.2">
      <c r="F72" s="9">
        <f t="shared" si="16"/>
        <v>0.69000000000000039</v>
      </c>
      <c r="G72" s="6">
        <f t="shared" si="13"/>
        <v>0.83066238629180777</v>
      </c>
      <c r="H72" s="9">
        <f t="shared" si="14"/>
        <v>4</v>
      </c>
      <c r="I72" s="6">
        <f t="shared" si="15"/>
        <v>3.3226495451672311</v>
      </c>
    </row>
    <row r="73" spans="6:9" x14ac:dyDescent="0.2">
      <c r="F73" s="9">
        <f t="shared" si="16"/>
        <v>0.7000000000000004</v>
      </c>
      <c r="G73" s="6">
        <f t="shared" si="13"/>
        <v>0.83666002653407578</v>
      </c>
      <c r="H73" s="9">
        <f t="shared" si="14"/>
        <v>2</v>
      </c>
      <c r="I73" s="6">
        <f t="shared" si="15"/>
        <v>1.6733200530681516</v>
      </c>
    </row>
    <row r="74" spans="6:9" x14ac:dyDescent="0.2">
      <c r="F74" s="9">
        <f t="shared" si="16"/>
        <v>0.71000000000000041</v>
      </c>
      <c r="G74" s="6">
        <f t="shared" si="13"/>
        <v>0.84261497731763613</v>
      </c>
      <c r="H74" s="9">
        <f t="shared" si="14"/>
        <v>4</v>
      </c>
      <c r="I74" s="6">
        <f t="shared" si="15"/>
        <v>3.3704599092705445</v>
      </c>
    </row>
    <row r="75" spans="6:9" x14ac:dyDescent="0.2">
      <c r="F75" s="9">
        <f t="shared" si="16"/>
        <v>0.72000000000000042</v>
      </c>
      <c r="G75" s="6">
        <f t="shared" si="13"/>
        <v>0.84852813742385724</v>
      </c>
      <c r="H75" s="9">
        <f t="shared" si="14"/>
        <v>2</v>
      </c>
      <c r="I75" s="6">
        <f t="shared" si="15"/>
        <v>1.6970562748477145</v>
      </c>
    </row>
    <row r="76" spans="6:9" x14ac:dyDescent="0.2">
      <c r="F76" s="9">
        <f t="shared" si="16"/>
        <v>0.73000000000000043</v>
      </c>
      <c r="G76" s="6">
        <f t="shared" si="13"/>
        <v>0.85440037453175333</v>
      </c>
      <c r="H76" s="9">
        <f t="shared" si="14"/>
        <v>4</v>
      </c>
      <c r="I76" s="6">
        <f t="shared" si="15"/>
        <v>3.4176014981270133</v>
      </c>
    </row>
    <row r="77" spans="6:9" x14ac:dyDescent="0.2">
      <c r="F77" s="9">
        <f t="shared" si="16"/>
        <v>0.74000000000000044</v>
      </c>
      <c r="G77" s="6">
        <f t="shared" si="13"/>
        <v>0.86023252670426298</v>
      </c>
      <c r="H77" s="9">
        <f t="shared" si="14"/>
        <v>2</v>
      </c>
      <c r="I77" s="6">
        <f t="shared" si="15"/>
        <v>1.720465053408526</v>
      </c>
    </row>
    <row r="78" spans="6:9" x14ac:dyDescent="0.2">
      <c r="F78" s="9">
        <f t="shared" si="16"/>
        <v>0.75000000000000044</v>
      </c>
      <c r="G78" s="6">
        <f t="shared" si="13"/>
        <v>0.86602540378443893</v>
      </c>
      <c r="H78" s="9">
        <f t="shared" si="14"/>
        <v>4</v>
      </c>
      <c r="I78" s="6">
        <f t="shared" si="15"/>
        <v>3.4641016151377557</v>
      </c>
    </row>
    <row r="79" spans="6:9" x14ac:dyDescent="0.2">
      <c r="F79" s="9">
        <f t="shared" si="16"/>
        <v>0.76000000000000045</v>
      </c>
      <c r="G79" s="6">
        <f t="shared" si="13"/>
        <v>0.871779788708135</v>
      </c>
      <c r="H79" s="9">
        <f t="shared" si="14"/>
        <v>2</v>
      </c>
      <c r="I79" s="6">
        <f t="shared" si="15"/>
        <v>1.74355957741627</v>
      </c>
    </row>
    <row r="80" spans="6:9" x14ac:dyDescent="0.2">
      <c r="F80" s="9">
        <f t="shared" si="16"/>
        <v>0.77000000000000046</v>
      </c>
      <c r="G80" s="6">
        <f t="shared" si="13"/>
        <v>0.87749643873921246</v>
      </c>
      <c r="H80" s="9">
        <f t="shared" si="14"/>
        <v>4</v>
      </c>
      <c r="I80" s="6">
        <f t="shared" si="15"/>
        <v>3.5099857549568498</v>
      </c>
    </row>
    <row r="81" spans="6:9" x14ac:dyDescent="0.2">
      <c r="F81" s="9">
        <f t="shared" si="16"/>
        <v>0.78000000000000047</v>
      </c>
      <c r="G81" s="6">
        <f t="shared" si="13"/>
        <v>0.88317608663278491</v>
      </c>
      <c r="H81" s="9">
        <f t="shared" si="14"/>
        <v>2</v>
      </c>
      <c r="I81" s="6">
        <f t="shared" si="15"/>
        <v>1.7663521732655698</v>
      </c>
    </row>
    <row r="82" spans="6:9" x14ac:dyDescent="0.2">
      <c r="F82" s="9">
        <f t="shared" si="16"/>
        <v>0.79000000000000048</v>
      </c>
      <c r="G82" s="6">
        <f t="shared" si="13"/>
        <v>0.88881944173155913</v>
      </c>
      <c r="H82" s="9">
        <f t="shared" si="14"/>
        <v>4</v>
      </c>
      <c r="I82" s="6">
        <f t="shared" si="15"/>
        <v>3.5552777669262365</v>
      </c>
    </row>
    <row r="83" spans="6:9" x14ac:dyDescent="0.2">
      <c r="F83" s="9">
        <f t="shared" si="16"/>
        <v>0.80000000000000049</v>
      </c>
      <c r="G83" s="6">
        <f t="shared" si="13"/>
        <v>0.89442719099991619</v>
      </c>
      <c r="H83" s="9">
        <f t="shared" si="14"/>
        <v>2</v>
      </c>
      <c r="I83" s="6">
        <f t="shared" si="15"/>
        <v>1.7888543819998324</v>
      </c>
    </row>
    <row r="84" spans="6:9" x14ac:dyDescent="0.2">
      <c r="F84" s="9">
        <f t="shared" si="16"/>
        <v>0.8100000000000005</v>
      </c>
      <c r="G84" s="6">
        <f t="shared" si="13"/>
        <v>0.90000000000000024</v>
      </c>
      <c r="H84" s="9">
        <f t="shared" si="14"/>
        <v>4</v>
      </c>
      <c r="I84" s="6">
        <f t="shared" si="15"/>
        <v>3.600000000000001</v>
      </c>
    </row>
    <row r="85" spans="6:9" x14ac:dyDescent="0.2">
      <c r="F85" s="9">
        <f t="shared" si="16"/>
        <v>0.82000000000000051</v>
      </c>
      <c r="G85" s="6">
        <f t="shared" si="13"/>
        <v>0.90553851381374195</v>
      </c>
      <c r="H85" s="9">
        <f t="shared" si="14"/>
        <v>2</v>
      </c>
      <c r="I85" s="6">
        <f t="shared" si="15"/>
        <v>1.8110770276274839</v>
      </c>
    </row>
    <row r="86" spans="6:9" x14ac:dyDescent="0.2">
      <c r="F86" s="9">
        <f t="shared" si="16"/>
        <v>0.83000000000000052</v>
      </c>
      <c r="G86" s="6">
        <f t="shared" si="13"/>
        <v>0.91104335791443014</v>
      </c>
      <c r="H86" s="9">
        <f t="shared" si="14"/>
        <v>4</v>
      </c>
      <c r="I86" s="6">
        <f t="shared" si="15"/>
        <v>3.6441734316577206</v>
      </c>
    </row>
    <row r="87" spans="6:9" x14ac:dyDescent="0.2">
      <c r="F87" s="9">
        <f t="shared" si="16"/>
        <v>0.84000000000000052</v>
      </c>
      <c r="G87" s="6">
        <f t="shared" si="13"/>
        <v>0.91651513899116832</v>
      </c>
      <c r="H87" s="9">
        <f t="shared" si="14"/>
        <v>2</v>
      </c>
      <c r="I87" s="6">
        <f t="shared" si="15"/>
        <v>1.8330302779823366</v>
      </c>
    </row>
    <row r="88" spans="6:9" x14ac:dyDescent="0.2">
      <c r="F88" s="9">
        <f t="shared" si="16"/>
        <v>0.85000000000000053</v>
      </c>
      <c r="G88" s="6">
        <f t="shared" si="13"/>
        <v>0.92195444572928897</v>
      </c>
      <c r="H88" s="9">
        <f t="shared" si="14"/>
        <v>4</v>
      </c>
      <c r="I88" s="6">
        <f t="shared" si="15"/>
        <v>3.6878177829171559</v>
      </c>
    </row>
    <row r="89" spans="6:9" x14ac:dyDescent="0.2">
      <c r="F89" s="9">
        <f t="shared" si="16"/>
        <v>0.86000000000000054</v>
      </c>
      <c r="G89" s="6">
        <f t="shared" si="13"/>
        <v>0.92736184954957068</v>
      </c>
      <c r="H89" s="9">
        <f t="shared" si="14"/>
        <v>2</v>
      </c>
      <c r="I89" s="6">
        <f t="shared" si="15"/>
        <v>1.8547236990991414</v>
      </c>
    </row>
    <row r="90" spans="6:9" x14ac:dyDescent="0.2">
      <c r="F90" s="9">
        <f t="shared" si="16"/>
        <v>0.87000000000000055</v>
      </c>
      <c r="G90" s="6">
        <f t="shared" si="13"/>
        <v>0.93273790530888179</v>
      </c>
      <c r="H90" s="9">
        <f t="shared" si="14"/>
        <v>4</v>
      </c>
      <c r="I90" s="6">
        <f t="shared" si="15"/>
        <v>3.7309516212355271</v>
      </c>
    </row>
    <row r="91" spans="6:9" x14ac:dyDescent="0.2">
      <c r="F91" s="9">
        <f t="shared" si="16"/>
        <v>0.88000000000000056</v>
      </c>
      <c r="G91" s="6">
        <f t="shared" si="13"/>
        <v>0.93808315196468617</v>
      </c>
      <c r="H91" s="9">
        <f t="shared" si="14"/>
        <v>2</v>
      </c>
      <c r="I91" s="6">
        <f t="shared" si="15"/>
        <v>1.8761663039293723</v>
      </c>
    </row>
    <row r="92" spans="6:9" x14ac:dyDescent="0.2">
      <c r="F92" s="9">
        <f t="shared" si="16"/>
        <v>0.89000000000000057</v>
      </c>
      <c r="G92" s="6">
        <f t="shared" si="13"/>
        <v>0.94339811320566069</v>
      </c>
      <c r="H92" s="9">
        <f t="shared" si="14"/>
        <v>4</v>
      </c>
      <c r="I92" s="6">
        <f t="shared" si="15"/>
        <v>3.7735924528226428</v>
      </c>
    </row>
    <row r="93" spans="6:9" x14ac:dyDescent="0.2">
      <c r="F93" s="9">
        <f t="shared" si="16"/>
        <v>0.90000000000000058</v>
      </c>
      <c r="G93" s="6">
        <f t="shared" si="13"/>
        <v>0.9486832980505141</v>
      </c>
      <c r="H93" s="9">
        <f t="shared" si="14"/>
        <v>2</v>
      </c>
      <c r="I93" s="6">
        <f t="shared" si="15"/>
        <v>1.8973665961010282</v>
      </c>
    </row>
    <row r="94" spans="6:9" x14ac:dyDescent="0.2">
      <c r="F94" s="9">
        <f t="shared" si="16"/>
        <v>0.91000000000000059</v>
      </c>
      <c r="G94" s="6">
        <f t="shared" si="13"/>
        <v>0.95393920141694599</v>
      </c>
      <c r="H94" s="9">
        <f t="shared" si="14"/>
        <v>4</v>
      </c>
      <c r="I94" s="6">
        <f t="shared" si="15"/>
        <v>3.815756805667784</v>
      </c>
    </row>
    <row r="95" spans="6:9" x14ac:dyDescent="0.2">
      <c r="F95" s="9">
        <f t="shared" si="16"/>
        <v>0.9200000000000006</v>
      </c>
      <c r="G95" s="6">
        <f t="shared" si="13"/>
        <v>0.95916630466254427</v>
      </c>
      <c r="H95" s="9">
        <f t="shared" si="14"/>
        <v>2</v>
      </c>
      <c r="I95" s="6">
        <f t="shared" si="15"/>
        <v>1.9183326093250885</v>
      </c>
    </row>
    <row r="96" spans="6:9" x14ac:dyDescent="0.2">
      <c r="F96" s="9">
        <f t="shared" si="16"/>
        <v>0.9300000000000006</v>
      </c>
      <c r="G96" s="6">
        <f t="shared" si="13"/>
        <v>0.96436507609929578</v>
      </c>
      <c r="H96" s="9">
        <f t="shared" si="14"/>
        <v>4</v>
      </c>
      <c r="I96" s="6">
        <f t="shared" si="15"/>
        <v>3.8574603043971831</v>
      </c>
    </row>
    <row r="97" spans="6:9" x14ac:dyDescent="0.2">
      <c r="F97" s="9">
        <f t="shared" si="16"/>
        <v>0.94000000000000061</v>
      </c>
      <c r="G97" s="6">
        <f t="shared" si="13"/>
        <v>0.96953597148326609</v>
      </c>
      <c r="H97" s="9">
        <f t="shared" si="14"/>
        <v>2</v>
      </c>
      <c r="I97" s="6">
        <f t="shared" si="15"/>
        <v>1.9390719429665322</v>
      </c>
    </row>
    <row r="98" spans="6:9" x14ac:dyDescent="0.2">
      <c r="F98" s="9">
        <f t="shared" si="16"/>
        <v>0.95000000000000062</v>
      </c>
      <c r="G98" s="6">
        <f t="shared" si="13"/>
        <v>0.97467943448089667</v>
      </c>
      <c r="H98" s="9">
        <f t="shared" si="14"/>
        <v>4</v>
      </c>
      <c r="I98" s="6">
        <f t="shared" si="15"/>
        <v>3.8987177379235867</v>
      </c>
    </row>
    <row r="99" spans="6:9" x14ac:dyDescent="0.2">
      <c r="F99" s="9">
        <f t="shared" si="16"/>
        <v>0.96000000000000063</v>
      </c>
      <c r="G99" s="6">
        <f t="shared" si="13"/>
        <v>0.97979589711327153</v>
      </c>
      <c r="H99" s="9">
        <f t="shared" si="14"/>
        <v>2</v>
      </c>
      <c r="I99" s="6">
        <f t="shared" si="15"/>
        <v>1.9595917942265431</v>
      </c>
    </row>
    <row r="100" spans="6:9" x14ac:dyDescent="0.2">
      <c r="F100" s="9">
        <f t="shared" si="16"/>
        <v>0.97000000000000064</v>
      </c>
      <c r="G100" s="6">
        <f t="shared" si="13"/>
        <v>0.98488578017961081</v>
      </c>
      <c r="H100" s="9">
        <f t="shared" si="14"/>
        <v>4</v>
      </c>
      <c r="I100" s="6">
        <f t="shared" si="15"/>
        <v>3.9395431207184433</v>
      </c>
    </row>
    <row r="101" spans="6:9" x14ac:dyDescent="0.2">
      <c r="F101" s="9">
        <f t="shared" si="16"/>
        <v>0.98000000000000065</v>
      </c>
      <c r="G101" s="6">
        <f t="shared" si="13"/>
        <v>0.98994949366116691</v>
      </c>
      <c r="H101" s="9">
        <f t="shared" si="14"/>
        <v>2</v>
      </c>
      <c r="I101" s="6">
        <f t="shared" si="15"/>
        <v>1.9798989873223338</v>
      </c>
    </row>
    <row r="102" spans="6:9" x14ac:dyDescent="0.2">
      <c r="F102" s="9">
        <f t="shared" si="16"/>
        <v>0.99000000000000066</v>
      </c>
      <c r="G102" s="6">
        <f t="shared" si="13"/>
        <v>0.9949874371066203</v>
      </c>
      <c r="H102" s="9">
        <f t="shared" si="14"/>
        <v>4</v>
      </c>
      <c r="I102" s="6">
        <f t="shared" si="15"/>
        <v>3.9799497484264812</v>
      </c>
    </row>
    <row r="103" spans="6:9" x14ac:dyDescent="0.2">
      <c r="F103" s="9">
        <f t="shared" si="16"/>
        <v>1.0000000000000007</v>
      </c>
      <c r="G103" s="6">
        <f t="shared" si="13"/>
        <v>1.0000000000000002</v>
      </c>
      <c r="H103" s="9">
        <f t="shared" si="14"/>
        <v>1</v>
      </c>
      <c r="I103" s="6">
        <f>G103*H103</f>
        <v>1.0000000000000002</v>
      </c>
    </row>
    <row r="104" spans="6:9" x14ac:dyDescent="0.2">
      <c r="F104" s="9"/>
    </row>
    <row r="105" spans="6:9" x14ac:dyDescent="0.2">
      <c r="F105" s="9"/>
    </row>
    <row r="106" spans="6:9" x14ac:dyDescent="0.2">
      <c r="F106" s="9"/>
    </row>
    <row r="107" spans="6:9" x14ac:dyDescent="0.2">
      <c r="F107" s="9"/>
    </row>
    <row r="108" spans="6:9" x14ac:dyDescent="0.2">
      <c r="F108" s="9"/>
    </row>
    <row r="109" spans="6:9" x14ac:dyDescent="0.2">
      <c r="F109" s="9"/>
    </row>
    <row r="110" spans="6:9" x14ac:dyDescent="0.2">
      <c r="F110" s="9"/>
    </row>
    <row r="111" spans="6:9" x14ac:dyDescent="0.2">
      <c r="F111" s="9"/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4.2</vt:lpstr>
      <vt:lpstr>exercise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Worotniak, Victoria</dc:creator>
  <cp:lastModifiedBy>Worotniak, Victoria</cp:lastModifiedBy>
  <dcterms:created xsi:type="dcterms:W3CDTF">2025-10-23T14:34:46Z</dcterms:created>
  <dcterms:modified xsi:type="dcterms:W3CDTF">2025-10-23T15:49:27Z</dcterms:modified>
</cp:coreProperties>
</file>