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ic365-my.sharepoint.com/personal/lalsu2_uic_edu1/Documents/"/>
    </mc:Choice>
  </mc:AlternateContent>
  <xr:revisionPtr revIDLastSave="618" documentId="11_0B1D56BE9CDCCE836B02CE7A5FB0D4A9BBFD1C62" xr6:coauthVersionLast="47" xr6:coauthVersionMax="47" xr10:uidLastSave="{C77416B6-D83C-4881-BBDF-F1F1AE47FBF0}"/>
  <bookViews>
    <workbookView xWindow="-110" yWindow="-110" windowWidth="22780" windowHeight="14540" xr2:uid="{00000000-000D-0000-FFFF-FFFF00000000}"/>
  </bookViews>
  <sheets>
    <sheet name="4.1 " sheetId="1" r:id="rId1"/>
    <sheet name="4.5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G22" i="2"/>
  <c r="G23" i="2"/>
  <c r="G24" i="2"/>
  <c r="G25" i="2"/>
  <c r="G26" i="2"/>
  <c r="G29" i="2"/>
  <c r="G30" i="2"/>
  <c r="G31" i="2"/>
  <c r="G20" i="2"/>
  <c r="C24" i="2"/>
  <c r="C25" i="2"/>
  <c r="C26" i="2"/>
  <c r="C27" i="2"/>
  <c r="C28" i="2"/>
  <c r="C29" i="2"/>
  <c r="H6" i="2"/>
  <c r="H7" i="2"/>
  <c r="H8" i="2"/>
  <c r="H9" i="2"/>
  <c r="H10" i="2"/>
  <c r="H11" i="2"/>
  <c r="H12" i="2"/>
  <c r="H13" i="2"/>
  <c r="H14" i="2"/>
  <c r="H5" i="2"/>
  <c r="G5" i="2"/>
  <c r="G6" i="2"/>
  <c r="G7" i="2"/>
  <c r="G8" i="2"/>
  <c r="G9" i="2"/>
  <c r="G10" i="2"/>
  <c r="G11" i="2"/>
  <c r="G12" i="2"/>
  <c r="G13" i="2"/>
  <c r="G14" i="2"/>
  <c r="G4" i="2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F47" i="1"/>
  <c r="D47" i="1"/>
  <c r="C20" i="2"/>
  <c r="C6" i="2"/>
  <c r="C7" i="2"/>
  <c r="C8" i="2"/>
  <c r="C9" i="2"/>
  <c r="C10" i="2"/>
  <c r="C11" i="2"/>
  <c r="C12" i="2"/>
  <c r="C13" i="2"/>
  <c r="C14" i="2"/>
  <c r="C5" i="2"/>
  <c r="F5" i="2"/>
  <c r="D4" i="2"/>
  <c r="D14" i="2"/>
  <c r="D5" i="2"/>
  <c r="A21" i="2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C31" i="2" s="1"/>
  <c r="B20" i="2"/>
  <c r="C4" i="1"/>
  <c r="C8" i="1"/>
  <c r="C5" i="1"/>
  <c r="C2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C23" i="2" l="1"/>
  <c r="G28" i="2"/>
  <c r="C21" i="2"/>
  <c r="C30" i="2"/>
  <c r="C22" i="2"/>
  <c r="G27" i="2"/>
  <c r="B31" i="2"/>
  <c r="A32" i="2"/>
  <c r="B21" i="2"/>
  <c r="B22" i="2"/>
  <c r="D21" i="2" s="1"/>
  <c r="E21" i="2" l="1"/>
  <c r="F21" i="2"/>
  <c r="D20" i="2"/>
  <c r="C32" i="2"/>
  <c r="G32" i="2"/>
  <c r="A33" i="2"/>
  <c r="B32" i="2"/>
  <c r="B24" i="2"/>
  <c r="D23" i="2" s="1"/>
  <c r="E23" i="2" s="1"/>
  <c r="B23" i="2"/>
  <c r="D22" i="2" s="1"/>
  <c r="E22" i="2" s="1"/>
  <c r="B25" i="2"/>
  <c r="D24" i="2" s="1"/>
  <c r="E24" i="2" s="1"/>
  <c r="B5" i="2"/>
  <c r="B4" i="2"/>
  <c r="F22" i="2" l="1"/>
  <c r="H21" i="2"/>
  <c r="C33" i="2"/>
  <c r="G33" i="2"/>
  <c r="A34" i="2"/>
  <c r="B33" i="2"/>
  <c r="D32" i="2" s="1"/>
  <c r="E32" i="2" s="1"/>
  <c r="B26" i="2"/>
  <c r="D25" i="2" s="1"/>
  <c r="E25" i="2" s="1"/>
  <c r="C47" i="1"/>
  <c r="C4" i="2"/>
  <c r="C34" i="2" l="1"/>
  <c r="G34" i="2"/>
  <c r="F23" i="2"/>
  <c r="H22" i="2"/>
  <c r="B34" i="2"/>
  <c r="D33" i="2" s="1"/>
  <c r="E33" i="2" s="1"/>
  <c r="A35" i="2"/>
  <c r="B35" i="2"/>
  <c r="D34" i="2" s="1"/>
  <c r="B6" i="2"/>
  <c r="B27" i="2"/>
  <c r="D26" i="2" s="1"/>
  <c r="E26" i="2" s="1"/>
  <c r="B7" i="2"/>
  <c r="D6" i="2" s="1"/>
  <c r="C62" i="1"/>
  <c r="E40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25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C18" i="1"/>
  <c r="A26" i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C6" i="1"/>
  <c r="C7" i="1"/>
  <c r="C9" i="1"/>
  <c r="C10" i="1"/>
  <c r="C11" i="1"/>
  <c r="C12" i="1"/>
  <c r="C13" i="1"/>
  <c r="C14" i="1"/>
  <c r="C15" i="1"/>
  <c r="C16" i="1"/>
  <c r="C17" i="1"/>
  <c r="C19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5" i="1"/>
  <c r="G35" i="2" l="1"/>
  <c r="C35" i="2"/>
  <c r="F24" i="2"/>
  <c r="F25" i="2" s="1"/>
  <c r="F26" i="2" s="1"/>
  <c r="F27" i="2" s="1"/>
  <c r="H23" i="2"/>
  <c r="A36" i="2"/>
  <c r="E34" i="2"/>
  <c r="H25" i="2"/>
  <c r="H24" i="2"/>
  <c r="E6" i="2"/>
  <c r="E5" i="2"/>
  <c r="F6" i="2"/>
  <c r="H26" i="2"/>
  <c r="B28" i="2"/>
  <c r="D27" i="2" s="1"/>
  <c r="E27" i="2" s="1"/>
  <c r="B8" i="2"/>
  <c r="D7" i="2" s="1"/>
  <c r="G36" i="2" l="1"/>
  <c r="C36" i="2"/>
  <c r="B36" i="2"/>
  <c r="D35" i="2" s="1"/>
  <c r="F28" i="2"/>
  <c r="A37" i="2"/>
  <c r="E35" i="2"/>
  <c r="E7" i="2"/>
  <c r="B37" i="2"/>
  <c r="D36" i="2" s="1"/>
  <c r="F7" i="2"/>
  <c r="H27" i="2"/>
  <c r="B29" i="2"/>
  <c r="B9" i="2"/>
  <c r="D8" i="2" s="1"/>
  <c r="G37" i="2" l="1"/>
  <c r="C37" i="2"/>
  <c r="D28" i="2"/>
  <c r="E28" i="2" s="1"/>
  <c r="D30" i="2"/>
  <c r="E30" i="2" s="1"/>
  <c r="F29" i="2"/>
  <c r="E36" i="2"/>
  <c r="A38" i="2"/>
  <c r="E8" i="2"/>
  <c r="F8" i="2"/>
  <c r="H28" i="2"/>
  <c r="B30" i="2"/>
  <c r="B10" i="2"/>
  <c r="D9" i="2" s="1"/>
  <c r="A39" i="2" l="1"/>
  <c r="C38" i="2"/>
  <c r="G38" i="2"/>
  <c r="D29" i="2"/>
  <c r="E29" i="2" s="1"/>
  <c r="D31" i="2"/>
  <c r="E31" i="2" s="1"/>
  <c r="F30" i="2"/>
  <c r="F31" i="2" s="1"/>
  <c r="F32" i="2" s="1"/>
  <c r="F33" i="2" s="1"/>
  <c r="F34" i="2" s="1"/>
  <c r="F35" i="2" s="1"/>
  <c r="F36" i="2" s="1"/>
  <c r="F37" i="2" s="1"/>
  <c r="F38" i="2" s="1"/>
  <c r="B38" i="2"/>
  <c r="D37" i="2" s="1"/>
  <c r="E37" i="2"/>
  <c r="E9" i="2"/>
  <c r="F9" i="2"/>
  <c r="H29" i="2"/>
  <c r="B11" i="2"/>
  <c r="D10" i="2" s="1"/>
  <c r="C39" i="2" l="1"/>
  <c r="G39" i="2"/>
  <c r="A40" i="2"/>
  <c r="B39" i="2"/>
  <c r="D38" i="2" s="1"/>
  <c r="E38" i="2" s="1"/>
  <c r="F10" i="2"/>
  <c r="E10" i="2"/>
  <c r="B12" i="2"/>
  <c r="D11" i="2" s="1"/>
  <c r="E11" i="2" s="1"/>
  <c r="C40" i="2" l="1"/>
  <c r="G40" i="2"/>
  <c r="A41" i="2"/>
  <c r="B40" i="2"/>
  <c r="D39" i="2" s="1"/>
  <c r="E39" i="2"/>
  <c r="F39" i="2"/>
  <c r="F40" i="2" s="1"/>
  <c r="H30" i="2"/>
  <c r="F11" i="2"/>
  <c r="B13" i="2"/>
  <c r="D12" i="2" s="1"/>
  <c r="C41" i="2" l="1"/>
  <c r="G41" i="2"/>
  <c r="A42" i="2"/>
  <c r="B41" i="2"/>
  <c r="D40" i="2" s="1"/>
  <c r="E40" i="2" s="1"/>
  <c r="H31" i="2"/>
  <c r="E12" i="2"/>
  <c r="F12" i="2"/>
  <c r="G42" i="2" l="1"/>
  <c r="C42" i="2"/>
  <c r="B42" i="2"/>
  <c r="D41" i="2" s="1"/>
  <c r="A43" i="2"/>
  <c r="E41" i="2"/>
  <c r="F41" i="2"/>
  <c r="F42" i="2" s="1"/>
  <c r="H32" i="2"/>
  <c r="B14" i="2"/>
  <c r="F13" i="2"/>
  <c r="G43" i="2" l="1"/>
  <c r="C43" i="2"/>
  <c r="A44" i="2"/>
  <c r="B43" i="2"/>
  <c r="D42" i="2" s="1"/>
  <c r="E42" i="2"/>
  <c r="H33" i="2"/>
  <c r="F14" i="2"/>
  <c r="E14" i="2"/>
  <c r="D13" i="2"/>
  <c r="E13" i="2" s="1"/>
  <c r="G44" i="2" l="1"/>
  <c r="C44" i="2"/>
  <c r="A45" i="2"/>
  <c r="B44" i="2"/>
  <c r="D43" i="2" s="1"/>
  <c r="E43" i="2"/>
  <c r="F43" i="2"/>
  <c r="F44" i="2" s="1"/>
  <c r="H34" i="2"/>
  <c r="F45" i="2" l="1"/>
  <c r="G45" i="2"/>
  <c r="C45" i="2"/>
  <c r="A46" i="2"/>
  <c r="B45" i="2"/>
  <c r="D44" i="2" s="1"/>
  <c r="E44" i="2"/>
  <c r="H35" i="2"/>
  <c r="C46" i="2" l="1"/>
  <c r="G46" i="2"/>
  <c r="B46" i="2"/>
  <c r="D45" i="2" s="1"/>
  <c r="A47" i="2"/>
  <c r="E45" i="2"/>
  <c r="H36" i="2"/>
  <c r="C47" i="2" l="1"/>
  <c r="G47" i="2"/>
  <c r="B47" i="2"/>
  <c r="D46" i="2" s="1"/>
  <c r="A48" i="2"/>
  <c r="E46" i="2"/>
  <c r="F46" i="2"/>
  <c r="F47" i="2" s="1"/>
  <c r="H37" i="2"/>
  <c r="C48" i="2" l="1"/>
  <c r="G48" i="2"/>
  <c r="B48" i="2"/>
  <c r="D47" i="2" s="1"/>
  <c r="A49" i="2"/>
  <c r="E47" i="2"/>
  <c r="H38" i="2"/>
  <c r="C49" i="2" l="1"/>
  <c r="G49" i="2"/>
  <c r="B49" i="2"/>
  <c r="D48" i="2" s="1"/>
  <c r="A50" i="2"/>
  <c r="E48" i="2"/>
  <c r="F48" i="2"/>
  <c r="F49" i="2" s="1"/>
  <c r="H39" i="2"/>
  <c r="C50" i="2" l="1"/>
  <c r="G50" i="2"/>
  <c r="B50" i="2"/>
  <c r="D49" i="2" s="1"/>
  <c r="E49" i="2" s="1"/>
  <c r="A51" i="2"/>
  <c r="H40" i="2"/>
  <c r="G51" i="2" l="1"/>
  <c r="C51" i="2"/>
  <c r="A52" i="2"/>
  <c r="B51" i="2"/>
  <c r="D50" i="2" s="1"/>
  <c r="E50" i="2"/>
  <c r="F50" i="2"/>
  <c r="F51" i="2" s="1"/>
  <c r="H41" i="2"/>
  <c r="G52" i="2" l="1"/>
  <c r="C52" i="2"/>
  <c r="B52" i="2"/>
  <c r="D51" i="2" s="1"/>
  <c r="A53" i="2"/>
  <c r="E51" i="2"/>
  <c r="H42" i="2"/>
  <c r="G53" i="2" l="1"/>
  <c r="C53" i="2"/>
  <c r="A54" i="2"/>
  <c r="B53" i="2"/>
  <c r="D52" i="2" s="1"/>
  <c r="E52" i="2"/>
  <c r="F52" i="2"/>
  <c r="F53" i="2" s="1"/>
  <c r="H43" i="2"/>
  <c r="C54" i="2" l="1"/>
  <c r="G54" i="2"/>
  <c r="B54" i="2"/>
  <c r="D53" i="2" s="1"/>
  <c r="A55" i="2"/>
  <c r="E53" i="2"/>
  <c r="H44" i="2"/>
  <c r="C55" i="2" l="1"/>
  <c r="G55" i="2"/>
  <c r="A56" i="2"/>
  <c r="B55" i="2"/>
  <c r="D54" i="2" s="1"/>
  <c r="E54" i="2"/>
  <c r="F54" i="2"/>
  <c r="F55" i="2" s="1"/>
  <c r="H45" i="2"/>
  <c r="C56" i="2" l="1"/>
  <c r="G56" i="2"/>
  <c r="B56" i="2"/>
  <c r="D55" i="2" s="1"/>
  <c r="A57" i="2"/>
  <c r="E55" i="2"/>
  <c r="H46" i="2"/>
  <c r="C57" i="2" l="1"/>
  <c r="G57" i="2"/>
  <c r="A58" i="2"/>
  <c r="B57" i="2"/>
  <c r="D56" i="2" s="1"/>
  <c r="E56" i="2"/>
  <c r="F56" i="2"/>
  <c r="F57" i="2" s="1"/>
  <c r="H47" i="2"/>
  <c r="G58" i="2" l="1"/>
  <c r="C58" i="2"/>
  <c r="B58" i="2"/>
  <c r="D57" i="2" s="1"/>
  <c r="A59" i="2"/>
  <c r="E57" i="2"/>
  <c r="H48" i="2"/>
  <c r="G59" i="2" l="1"/>
  <c r="C59" i="2"/>
  <c r="A60" i="2"/>
  <c r="B59" i="2"/>
  <c r="D58" i="2" s="1"/>
  <c r="E58" i="2"/>
  <c r="F58" i="2"/>
  <c r="F59" i="2" s="1"/>
  <c r="H49" i="2"/>
  <c r="G60" i="2" l="1"/>
  <c r="C60" i="2"/>
  <c r="B60" i="2"/>
  <c r="D59" i="2" s="1"/>
  <c r="A61" i="2"/>
  <c r="E59" i="2"/>
  <c r="H50" i="2"/>
  <c r="G61" i="2" l="1"/>
  <c r="C61" i="2"/>
  <c r="A62" i="2"/>
  <c r="B61" i="2"/>
  <c r="D60" i="2" s="1"/>
  <c r="E60" i="2"/>
  <c r="F60" i="2"/>
  <c r="F61" i="2" s="1"/>
  <c r="H51" i="2"/>
  <c r="C62" i="2" l="1"/>
  <c r="G62" i="2"/>
  <c r="B62" i="2"/>
  <c r="D61" i="2" s="1"/>
  <c r="E61" i="2" s="1"/>
  <c r="A63" i="2"/>
  <c r="H52" i="2"/>
  <c r="E62" i="2" l="1"/>
  <c r="C63" i="2"/>
  <c r="G63" i="2"/>
  <c r="A64" i="2"/>
  <c r="B63" i="2"/>
  <c r="D62" i="2" s="1"/>
  <c r="F62" i="2"/>
  <c r="F63" i="2" s="1"/>
  <c r="H53" i="2"/>
  <c r="E63" i="2" l="1"/>
  <c r="F64" i="2"/>
  <c r="C64" i="2"/>
  <c r="G64" i="2"/>
  <c r="A65" i="2"/>
  <c r="B64" i="2"/>
  <c r="D63" i="2" s="1"/>
  <c r="H54" i="2"/>
  <c r="C65" i="2" l="1"/>
  <c r="G65" i="2"/>
  <c r="B65" i="2"/>
  <c r="D64" i="2" s="1"/>
  <c r="A66" i="2"/>
  <c r="E64" i="2"/>
  <c r="H55" i="2"/>
  <c r="C66" i="2" l="1"/>
  <c r="G66" i="2"/>
  <c r="A67" i="2"/>
  <c r="B66" i="2"/>
  <c r="D65" i="2" s="1"/>
  <c r="E65" i="2" s="1"/>
  <c r="F65" i="2"/>
  <c r="F66" i="2" s="1"/>
  <c r="H56" i="2"/>
  <c r="G67" i="2" l="1"/>
  <c r="C67" i="2"/>
  <c r="A68" i="2"/>
  <c r="B67" i="2"/>
  <c r="D66" i="2" s="1"/>
  <c r="E66" i="2" s="1"/>
  <c r="H57" i="2"/>
  <c r="E67" i="2" l="1"/>
  <c r="F67" i="2"/>
  <c r="F68" i="2" s="1"/>
  <c r="G68" i="2"/>
  <c r="C68" i="2"/>
  <c r="B68" i="2"/>
  <c r="D67" i="2" s="1"/>
  <c r="A69" i="2"/>
  <c r="H58" i="2"/>
  <c r="G69" i="2" l="1"/>
  <c r="C69" i="2"/>
  <c r="B69" i="2"/>
  <c r="D68" i="2" s="1"/>
  <c r="E68" i="2" s="1"/>
  <c r="A70" i="2"/>
  <c r="H59" i="2"/>
  <c r="C70" i="2" l="1"/>
  <c r="G70" i="2"/>
  <c r="B70" i="2"/>
  <c r="D69" i="2" s="1"/>
  <c r="A71" i="2"/>
  <c r="E69" i="2"/>
  <c r="F69" i="2"/>
  <c r="F70" i="2" s="1"/>
  <c r="H60" i="2"/>
  <c r="E70" i="2" l="1"/>
  <c r="F71" i="2"/>
  <c r="C71" i="2"/>
  <c r="G71" i="2"/>
  <c r="B71" i="2"/>
  <c r="D70" i="2" s="1"/>
  <c r="A72" i="2"/>
  <c r="H61" i="2"/>
  <c r="F72" i="2" l="1"/>
  <c r="C72" i="2"/>
  <c r="G72" i="2"/>
  <c r="A73" i="2"/>
  <c r="B72" i="2"/>
  <c r="D71" i="2" s="1"/>
  <c r="E71" i="2"/>
  <c r="H62" i="2"/>
  <c r="E72" i="2" l="1"/>
  <c r="C73" i="2"/>
  <c r="G73" i="2"/>
  <c r="B73" i="2"/>
  <c r="D72" i="2" s="1"/>
  <c r="A74" i="2"/>
  <c r="H63" i="2"/>
  <c r="C74" i="2" l="1"/>
  <c r="G74" i="2"/>
  <c r="A75" i="2"/>
  <c r="B74" i="2"/>
  <c r="D73" i="2" s="1"/>
  <c r="E73" i="2"/>
  <c r="F73" i="2"/>
  <c r="F74" i="2" s="1"/>
  <c r="H64" i="2"/>
  <c r="E74" i="2" l="1"/>
  <c r="G75" i="2"/>
  <c r="C75" i="2"/>
  <c r="B75" i="2"/>
  <c r="D74" i="2" s="1"/>
  <c r="A76" i="2"/>
  <c r="H65" i="2"/>
  <c r="G76" i="2" l="1"/>
  <c r="C76" i="2"/>
  <c r="A77" i="2"/>
  <c r="B76" i="2"/>
  <c r="D75" i="2" s="1"/>
  <c r="E75" i="2" s="1"/>
  <c r="F75" i="2"/>
  <c r="F76" i="2" s="1"/>
  <c r="H66" i="2"/>
  <c r="G77" i="2" l="1"/>
  <c r="C77" i="2"/>
  <c r="B77" i="2"/>
  <c r="D76" i="2" s="1"/>
  <c r="A78" i="2"/>
  <c r="E76" i="2"/>
  <c r="H67" i="2"/>
  <c r="C78" i="2" l="1"/>
  <c r="G78" i="2"/>
  <c r="A79" i="2"/>
  <c r="B78" i="2"/>
  <c r="D77" i="2" s="1"/>
  <c r="E77" i="2" s="1"/>
  <c r="F77" i="2"/>
  <c r="F78" i="2" s="1"/>
  <c r="H68" i="2"/>
  <c r="E78" i="2" l="1"/>
  <c r="F79" i="2"/>
  <c r="C79" i="2"/>
  <c r="G79" i="2"/>
  <c r="A80" i="2"/>
  <c r="B79" i="2"/>
  <c r="D78" i="2" s="1"/>
  <c r="H69" i="2"/>
  <c r="F80" i="2" l="1"/>
  <c r="C80" i="2"/>
  <c r="G80" i="2"/>
  <c r="B80" i="2"/>
  <c r="D79" i="2" s="1"/>
  <c r="E79" i="2" s="1"/>
  <c r="A81" i="2"/>
  <c r="H70" i="2"/>
  <c r="F81" i="2" l="1"/>
  <c r="E80" i="2"/>
  <c r="C81" i="2"/>
  <c r="G81" i="2"/>
  <c r="B81" i="2"/>
  <c r="D80" i="2" s="1"/>
  <c r="A82" i="2"/>
  <c r="H71" i="2"/>
  <c r="F82" i="2" l="1"/>
  <c r="C82" i="2"/>
  <c r="G82" i="2"/>
  <c r="B82" i="2"/>
  <c r="D81" i="2" s="1"/>
  <c r="A83" i="2"/>
  <c r="E81" i="2"/>
  <c r="H72" i="2"/>
  <c r="E82" i="2" l="1"/>
  <c r="G83" i="2"/>
  <c r="C83" i="2"/>
  <c r="A84" i="2"/>
  <c r="B83" i="2"/>
  <c r="D82" i="2" s="1"/>
  <c r="H73" i="2"/>
  <c r="G84" i="2" l="1"/>
  <c r="C84" i="2"/>
  <c r="A85" i="2"/>
  <c r="B84" i="2"/>
  <c r="D83" i="2" s="1"/>
  <c r="F83" i="2"/>
  <c r="E83" i="2"/>
  <c r="H74" i="2"/>
  <c r="F84" i="2" l="1"/>
  <c r="F85" i="2" s="1"/>
  <c r="E84" i="2"/>
  <c r="G85" i="2"/>
  <c r="C85" i="2"/>
  <c r="B85" i="2"/>
  <c r="D84" i="2" s="1"/>
  <c r="A86" i="2"/>
  <c r="H75" i="2"/>
  <c r="F86" i="2" l="1"/>
  <c r="E85" i="2"/>
  <c r="C86" i="2"/>
  <c r="G86" i="2"/>
  <c r="A87" i="2"/>
  <c r="B86" i="2"/>
  <c r="D85" i="2" s="1"/>
  <c r="H76" i="2"/>
  <c r="C87" i="2" l="1"/>
  <c r="G87" i="2"/>
  <c r="A88" i="2"/>
  <c r="B87" i="2"/>
  <c r="D86" i="2" s="1"/>
  <c r="E86" i="2"/>
  <c r="H77" i="2"/>
  <c r="F87" i="2" l="1"/>
  <c r="F88" i="2" s="1"/>
  <c r="C88" i="2"/>
  <c r="G88" i="2"/>
  <c r="A89" i="2"/>
  <c r="B88" i="2"/>
  <c r="D87" i="2" s="1"/>
  <c r="E87" i="2" s="1"/>
  <c r="H78" i="2"/>
  <c r="F89" i="2" l="1"/>
  <c r="C89" i="2"/>
  <c r="G89" i="2"/>
  <c r="B89" i="2"/>
  <c r="D88" i="2" s="1"/>
  <c r="E88" i="2" s="1"/>
  <c r="A90" i="2"/>
  <c r="H79" i="2"/>
  <c r="F90" i="2" l="1"/>
  <c r="E89" i="2"/>
  <c r="G90" i="2"/>
  <c r="C90" i="2"/>
  <c r="B90" i="2"/>
  <c r="D89" i="2" s="1"/>
  <c r="A91" i="2"/>
  <c r="H80" i="2"/>
  <c r="E90" i="2" l="1"/>
  <c r="F91" i="2"/>
  <c r="G91" i="2"/>
  <c r="C91" i="2"/>
  <c r="A92" i="2"/>
  <c r="B91" i="2"/>
  <c r="D90" i="2" s="1"/>
  <c r="H81" i="2"/>
  <c r="F92" i="2" l="1"/>
  <c r="E91" i="2"/>
  <c r="G92" i="2"/>
  <c r="C92" i="2"/>
  <c r="B92" i="2"/>
  <c r="D91" i="2" s="1"/>
  <c r="A93" i="2"/>
  <c r="H82" i="2"/>
  <c r="F93" i="2" l="1"/>
  <c r="G93" i="2"/>
  <c r="C93" i="2"/>
  <c r="B93" i="2"/>
  <c r="D92" i="2" s="1"/>
  <c r="E92" i="2" s="1"/>
  <c r="A94" i="2"/>
  <c r="H83" i="2"/>
  <c r="F94" i="2" l="1"/>
  <c r="C94" i="2"/>
  <c r="G94" i="2"/>
  <c r="B94" i="2"/>
  <c r="D93" i="2" s="1"/>
  <c r="E93" i="2" s="1"/>
  <c r="A95" i="2"/>
  <c r="H84" i="2"/>
  <c r="F95" i="2" l="1"/>
  <c r="E94" i="2"/>
  <c r="C95" i="2"/>
  <c r="G95" i="2"/>
  <c r="B95" i="2"/>
  <c r="D94" i="2" s="1"/>
  <c r="A96" i="2"/>
  <c r="H85" i="2"/>
  <c r="F96" i="2" l="1"/>
  <c r="C96" i="2"/>
  <c r="G96" i="2"/>
  <c r="B96" i="2"/>
  <c r="D95" i="2" s="1"/>
  <c r="E95" i="2" s="1"/>
  <c r="A97" i="2"/>
  <c r="H86" i="2"/>
  <c r="F97" i="2" l="1"/>
  <c r="E96" i="2"/>
  <c r="C97" i="2"/>
  <c r="G97" i="2"/>
  <c r="B97" i="2"/>
  <c r="D96" i="2" s="1"/>
  <c r="A98" i="2"/>
  <c r="H87" i="2"/>
  <c r="F98" i="2" l="1"/>
  <c r="C98" i="2"/>
  <c r="G98" i="2"/>
  <c r="B98" i="2"/>
  <c r="D97" i="2" s="1"/>
  <c r="E97" i="2" s="1"/>
  <c r="A99" i="2"/>
  <c r="H88" i="2"/>
  <c r="F99" i="2" l="1"/>
  <c r="E98" i="2"/>
  <c r="G99" i="2"/>
  <c r="C99" i="2"/>
  <c r="B99" i="2"/>
  <c r="D98" i="2" s="1"/>
  <c r="A100" i="2"/>
  <c r="H89" i="2"/>
  <c r="F100" i="2" l="1"/>
  <c r="E99" i="2"/>
  <c r="G100" i="2"/>
  <c r="C100" i="2"/>
  <c r="A101" i="2"/>
  <c r="B100" i="2"/>
  <c r="D99" i="2" s="1"/>
  <c r="H90" i="2"/>
  <c r="E100" i="2" l="1"/>
  <c r="F101" i="2"/>
  <c r="G101" i="2"/>
  <c r="C101" i="2"/>
  <c r="B101" i="2"/>
  <c r="D100" i="2" s="1"/>
  <c r="A102" i="2"/>
  <c r="H91" i="2"/>
  <c r="E101" i="2" l="1"/>
  <c r="C102" i="2"/>
  <c r="G102" i="2"/>
  <c r="B102" i="2"/>
  <c r="D101" i="2" s="1"/>
  <c r="A103" i="2"/>
  <c r="H92" i="2"/>
  <c r="C103" i="2" l="1"/>
  <c r="G103" i="2"/>
  <c r="B103" i="2"/>
  <c r="D102" i="2" s="1"/>
  <c r="A104" i="2"/>
  <c r="E102" i="2"/>
  <c r="F102" i="2"/>
  <c r="F103" i="2" s="1"/>
  <c r="H93" i="2"/>
  <c r="E103" i="2" l="1"/>
  <c r="F104" i="2"/>
  <c r="C104" i="2"/>
  <c r="G104" i="2"/>
  <c r="A105" i="2"/>
  <c r="B104" i="2"/>
  <c r="D103" i="2" s="1"/>
  <c r="H94" i="2"/>
  <c r="C105" i="2" l="1"/>
  <c r="G105" i="2"/>
  <c r="B105" i="2"/>
  <c r="D104" i="2" s="1"/>
  <c r="A106" i="2"/>
  <c r="E104" i="2"/>
  <c r="H95" i="2"/>
  <c r="G106" i="2" l="1"/>
  <c r="C106" i="2"/>
  <c r="B106" i="2"/>
  <c r="D105" i="2" s="1"/>
  <c r="A107" i="2"/>
  <c r="E105" i="2"/>
  <c r="F105" i="2"/>
  <c r="F106" i="2" s="1"/>
  <c r="H96" i="2"/>
  <c r="E106" i="2" l="1"/>
  <c r="F107" i="2"/>
  <c r="G107" i="2"/>
  <c r="C107" i="2"/>
  <c r="A108" i="2"/>
  <c r="B107" i="2"/>
  <c r="D106" i="2" s="1"/>
  <c r="H97" i="2"/>
  <c r="F108" i="2" l="1"/>
  <c r="G108" i="2"/>
  <c r="C108" i="2"/>
  <c r="B108" i="2"/>
  <c r="D107" i="2" s="1"/>
  <c r="A109" i="2"/>
  <c r="E107" i="2"/>
  <c r="H98" i="2"/>
  <c r="G109" i="2" l="1"/>
  <c r="C109" i="2"/>
  <c r="A110" i="2"/>
  <c r="B109" i="2"/>
  <c r="D108" i="2" s="1"/>
  <c r="E108" i="2"/>
  <c r="H99" i="2"/>
  <c r="C110" i="2" l="1"/>
  <c r="G110" i="2"/>
  <c r="B110" i="2"/>
  <c r="D109" i="2" s="1"/>
  <c r="A111" i="2"/>
  <c r="E109" i="2"/>
  <c r="F109" i="2"/>
  <c r="F110" i="2" s="1"/>
  <c r="H100" i="2"/>
  <c r="F111" i="2" l="1"/>
  <c r="C111" i="2"/>
  <c r="G111" i="2"/>
  <c r="B111" i="2"/>
  <c r="D110" i="2" s="1"/>
  <c r="A112" i="2"/>
  <c r="E110" i="2"/>
  <c r="H101" i="2"/>
  <c r="E111" i="2" l="1"/>
  <c r="F112" i="2"/>
  <c r="C112" i="2"/>
  <c r="G112" i="2"/>
  <c r="B112" i="2"/>
  <c r="D111" i="2" s="1"/>
  <c r="A113" i="2"/>
  <c r="H102" i="2"/>
  <c r="F113" i="2" l="1"/>
  <c r="C113" i="2"/>
  <c r="G113" i="2"/>
  <c r="B113" i="2"/>
  <c r="D112" i="2" s="1"/>
  <c r="A114" i="2"/>
  <c r="E112" i="2"/>
  <c r="H103" i="2"/>
  <c r="E113" i="2" l="1"/>
  <c r="F114" i="2"/>
  <c r="G114" i="2"/>
  <c r="C114" i="2"/>
  <c r="B114" i="2"/>
  <c r="D113" i="2" s="1"/>
  <c r="A115" i="2"/>
  <c r="H104" i="2"/>
  <c r="F115" i="2" l="1"/>
  <c r="G115" i="2"/>
  <c r="C115" i="2"/>
  <c r="A116" i="2"/>
  <c r="B115" i="2"/>
  <c r="D114" i="2" s="1"/>
  <c r="E114" i="2"/>
  <c r="H105" i="2"/>
  <c r="F116" i="2" l="1"/>
  <c r="G116" i="2"/>
  <c r="C116" i="2"/>
  <c r="B116" i="2"/>
  <c r="D115" i="2" s="1"/>
  <c r="A117" i="2"/>
  <c r="E115" i="2"/>
  <c r="H106" i="2"/>
  <c r="G117" i="2" l="1"/>
  <c r="C117" i="2"/>
  <c r="B117" i="2"/>
  <c r="D116" i="2" s="1"/>
  <c r="E116" i="2" s="1"/>
  <c r="A118" i="2"/>
  <c r="H107" i="2"/>
  <c r="C118" i="2" l="1"/>
  <c r="G118" i="2"/>
  <c r="A119" i="2"/>
  <c r="B118" i="2"/>
  <c r="D117" i="2" s="1"/>
  <c r="E117" i="2"/>
  <c r="F117" i="2"/>
  <c r="F118" i="2" s="1"/>
  <c r="H108" i="2"/>
  <c r="C119" i="2" l="1"/>
  <c r="G119" i="2"/>
  <c r="A120" i="2"/>
  <c r="B119" i="2"/>
  <c r="D118" i="2" s="1"/>
  <c r="E118" i="2" s="1"/>
  <c r="H109" i="2"/>
  <c r="F119" i="2" l="1"/>
  <c r="C120" i="2"/>
  <c r="G120" i="2"/>
  <c r="B120" i="2"/>
  <c r="H110" i="2"/>
  <c r="D120" i="2" l="1"/>
  <c r="D119" i="2"/>
  <c r="E119" i="2" s="1"/>
  <c r="E120" i="2"/>
  <c r="F120" i="2"/>
  <c r="H111" i="2"/>
  <c r="H112" i="2" l="1"/>
  <c r="H113" i="2" l="1"/>
  <c r="H114" i="2" l="1"/>
  <c r="H115" i="2" l="1"/>
  <c r="H116" i="2" l="1"/>
  <c r="H117" i="2" l="1"/>
  <c r="H118" i="2" l="1"/>
  <c r="H120" i="2" l="1"/>
  <c r="H119" i="2"/>
</calcChain>
</file>

<file path=xl/sharedStrings.xml><?xml version="1.0" encoding="utf-8"?>
<sst xmlns="http://schemas.openxmlformats.org/spreadsheetml/2006/main" count="46" uniqueCount="35">
  <si>
    <t xml:space="preserve">Excersise 4.1  </t>
  </si>
  <si>
    <t>a.</t>
  </si>
  <si>
    <t>T (C)</t>
  </si>
  <si>
    <t>H(Kj/mol)</t>
  </si>
  <si>
    <t>Cp=(dH/dt)p (j/mol*k)</t>
  </si>
  <si>
    <t xml:space="preserve">Average </t>
  </si>
  <si>
    <t>b.</t>
  </si>
  <si>
    <t xml:space="preserve">derivative: </t>
  </si>
  <si>
    <t>H(t)'=0.0504+C</t>
  </si>
  <si>
    <t>T©</t>
  </si>
  <si>
    <t>Cp (j/mol*k)</t>
  </si>
  <si>
    <t>average from line fiting curve=</t>
  </si>
  <si>
    <t xml:space="preserve">c. </t>
  </si>
  <si>
    <t>Data from 4.2</t>
  </si>
  <si>
    <t>Cp(j/mol*k)</t>
  </si>
  <si>
    <t xml:space="preserve">Cp from NIST Data </t>
  </si>
  <si>
    <t xml:space="preserve">Error (%) from part a </t>
  </si>
  <si>
    <t>Error (%) from part b</t>
  </si>
  <si>
    <t>average =</t>
  </si>
  <si>
    <t>x^2cos(x)</t>
  </si>
  <si>
    <t>integral= 2xcos(x)+(x^2-2)sin(x)</t>
  </si>
  <si>
    <t xml:space="preserve">a)  </t>
  </si>
  <si>
    <t>h=</t>
  </si>
  <si>
    <t>b)</t>
  </si>
  <si>
    <t>x</t>
  </si>
  <si>
    <t>y</t>
  </si>
  <si>
    <t>excat y'</t>
  </si>
  <si>
    <t xml:space="preserve">% error </t>
  </si>
  <si>
    <t xml:space="preserve">Integral </t>
  </si>
  <si>
    <t xml:space="preserve">exact integration </t>
  </si>
  <si>
    <t>b) Trapezoidal Rule</t>
  </si>
  <si>
    <t>f(x)=(x^2-2)*sin(x)+2x*cos(x)</t>
  </si>
  <si>
    <t>f'(x)</t>
  </si>
  <si>
    <t>exact integration</t>
  </si>
  <si>
    <t xml:space="preserve">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</si>
</sst>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8" formatCode="0.000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wrapText="1"/>
    </xf>
    <xf numFmtId="166" fontId="0" fillId="0" borderId="0" xfId="0" applyNumberFormat="1"/>
    <xf numFmtId="164" fontId="0" fillId="2" borderId="0" xfId="0" applyNumberFormat="1" applyFill="1"/>
    <xf numFmtId="0" fontId="0" fillId="2" borderId="0" xfId="0" applyFill="1"/>
    <xf numFmtId="11" fontId="0" fillId="0" borderId="0" xfId="0" applyNumberFormat="1"/>
    <xf numFmtId="166" fontId="0" fillId="2" borderId="0" xfId="0" applyNumberFormat="1" applyFill="1"/>
    <xf numFmtId="168" fontId="0" fillId="0" borderId="0" xfId="0" applyNumberFormat="1"/>
    <xf numFmtId="49" fontId="0" fillId="0" borderId="0" xfId="0" applyNumberFormat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078772649979964E-2"/>
          <c:y val="0.17746411483253591"/>
          <c:w val="0.88509179131150562"/>
          <c:h val="0.7119221640357156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637CEF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08725319238809E-2"/>
                  <c:y val="-2.63802132388953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'4.1 '!$A$25:$A$39</c:f>
              <c:numCache>
                <c:formatCode>0.00</c:formatCode>
                <c:ptCount val="15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350</c:v>
                </c:pt>
                <c:pt idx="6">
                  <c:v>400</c:v>
                </c:pt>
                <c:pt idx="7">
                  <c:v>450</c:v>
                </c:pt>
                <c:pt idx="8">
                  <c:v>500</c:v>
                </c:pt>
                <c:pt idx="9">
                  <c:v>550</c:v>
                </c:pt>
                <c:pt idx="10">
                  <c:v>600</c:v>
                </c:pt>
                <c:pt idx="11">
                  <c:v>650</c:v>
                </c:pt>
                <c:pt idx="12">
                  <c:v>700</c:v>
                </c:pt>
                <c:pt idx="13">
                  <c:v>750</c:v>
                </c:pt>
                <c:pt idx="14">
                  <c:v>800</c:v>
                </c:pt>
              </c:numCache>
            </c:numRef>
          </c:xVal>
          <c:yVal>
            <c:numRef>
              <c:f>'4.1 '!$B$25:$B$39</c:f>
              <c:numCache>
                <c:formatCode>0.000</c:formatCode>
                <c:ptCount val="15"/>
                <c:pt idx="0">
                  <c:v>25.186</c:v>
                </c:pt>
                <c:pt idx="1">
                  <c:v>27.254000000000001</c:v>
                </c:pt>
                <c:pt idx="2">
                  <c:v>29.408000000000001</c:v>
                </c:pt>
                <c:pt idx="3">
                  <c:v>31.64</c:v>
                </c:pt>
                <c:pt idx="4">
                  <c:v>33.942</c:v>
                </c:pt>
                <c:pt idx="5">
                  <c:v>36.307000000000002</c:v>
                </c:pt>
                <c:pt idx="6">
                  <c:v>38.731999999999999</c:v>
                </c:pt>
                <c:pt idx="7">
                  <c:v>41.209000000000003</c:v>
                </c:pt>
                <c:pt idx="8">
                  <c:v>43.735999999999997</c:v>
                </c:pt>
                <c:pt idx="9">
                  <c:v>46.307000000000002</c:v>
                </c:pt>
                <c:pt idx="10">
                  <c:v>48.918999999999997</c:v>
                </c:pt>
                <c:pt idx="11">
                  <c:v>51.567999999999998</c:v>
                </c:pt>
                <c:pt idx="12">
                  <c:v>54.252000000000002</c:v>
                </c:pt>
                <c:pt idx="13">
                  <c:v>58.966000000000001</c:v>
                </c:pt>
                <c:pt idx="14">
                  <c:v>59.71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55-41F3-83E9-354EAF56C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508552"/>
        <c:axId val="1246510600"/>
      </c:scatterChart>
      <c:valAx>
        <c:axId val="124650855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510600"/>
        <c:crosses val="autoZero"/>
        <c:crossBetween val="midCat"/>
      </c:valAx>
      <c:valAx>
        <c:axId val="124651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508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669925</xdr:colOff>
      <xdr:row>24</xdr:row>
      <xdr:rowOff>19050</xdr:rowOff>
    </xdr:from>
    <xdr:to>
      <xdr:col>10</xdr:col>
      <xdr:colOff>123825</xdr:colOff>
      <xdr:row>38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F1B40E-31D1-C6DB-BB04-B52BADBE3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2"/>
  <sheetViews>
    <sheetView tabSelected="1" zoomScale="110" workbookViewId="0">
      <selection activeCell="F65" sqref="F65"/>
    </sheetView>
  </sheetViews>
  <sheetFormatPr defaultRowHeight="14.5" x14ac:dyDescent="0.35"/>
  <cols>
    <col min="1" max="1" width="15.54296875" customWidth="1"/>
    <col min="2" max="2" width="13.54296875" customWidth="1"/>
    <col min="3" max="3" width="18.26953125" customWidth="1"/>
    <col min="4" max="4" width="22.54296875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  <c r="B3" t="s">
        <v>3</v>
      </c>
      <c r="C3" t="s">
        <v>4</v>
      </c>
    </row>
    <row r="4" spans="1:3" x14ac:dyDescent="0.35">
      <c r="A4" s="4">
        <v>100</v>
      </c>
      <c r="B4" s="3">
        <v>25.186</v>
      </c>
      <c r="C4" s="5">
        <f>(-3*B4+4*B5-B6)/(2*(A5-A4))</f>
        <v>4.0500000000000112E-2</v>
      </c>
    </row>
    <row r="5" spans="1:3" x14ac:dyDescent="0.35">
      <c r="A5" s="1">
        <f>A4+50</f>
        <v>150</v>
      </c>
      <c r="B5" s="3">
        <v>27.254000000000001</v>
      </c>
      <c r="C5" s="5">
        <f>(B6-B4)/(A6-A4)</f>
        <v>4.2220000000000014E-2</v>
      </c>
    </row>
    <row r="6" spans="1:3" x14ac:dyDescent="0.35">
      <c r="A6" s="1">
        <f t="shared" ref="A6:A18" si="0">A5+50</f>
        <v>200</v>
      </c>
      <c r="B6" s="3">
        <v>29.408000000000001</v>
      </c>
      <c r="C6" s="5">
        <f t="shared" ref="C6:C17" si="1">(B7-B5)/(A7-A5)</f>
        <v>4.3859999999999989E-2</v>
      </c>
    </row>
    <row r="7" spans="1:3" x14ac:dyDescent="0.35">
      <c r="A7" s="1">
        <f t="shared" si="0"/>
        <v>250</v>
      </c>
      <c r="B7" s="3">
        <v>31.64</v>
      </c>
      <c r="C7" s="5">
        <f t="shared" si="1"/>
        <v>4.5339999999999991E-2</v>
      </c>
    </row>
    <row r="8" spans="1:3" x14ac:dyDescent="0.35">
      <c r="A8" s="1">
        <f t="shared" si="0"/>
        <v>300</v>
      </c>
      <c r="B8" s="3">
        <v>33.942</v>
      </c>
      <c r="C8" s="5">
        <f>(B9-B7)/(A9-A7)</f>
        <v>4.6670000000000017E-2</v>
      </c>
    </row>
    <row r="9" spans="1:3" x14ac:dyDescent="0.35">
      <c r="A9" s="1">
        <f t="shared" si="0"/>
        <v>350</v>
      </c>
      <c r="B9" s="3">
        <v>36.307000000000002</v>
      </c>
      <c r="C9" s="5">
        <f t="shared" si="1"/>
        <v>4.7899999999999991E-2</v>
      </c>
    </row>
    <row r="10" spans="1:3" x14ac:dyDescent="0.35">
      <c r="A10" s="1">
        <f t="shared" si="0"/>
        <v>400</v>
      </c>
      <c r="B10" s="3">
        <v>38.731999999999999</v>
      </c>
      <c r="C10" s="5">
        <f t="shared" si="1"/>
        <v>4.9020000000000008E-2</v>
      </c>
    </row>
    <row r="11" spans="1:3" x14ac:dyDescent="0.35">
      <c r="A11" s="1">
        <f t="shared" si="0"/>
        <v>450</v>
      </c>
      <c r="B11" s="3">
        <v>41.209000000000003</v>
      </c>
      <c r="C11" s="5">
        <f t="shared" si="1"/>
        <v>5.003999999999998E-2</v>
      </c>
    </row>
    <row r="12" spans="1:3" x14ac:dyDescent="0.35">
      <c r="A12" s="1">
        <f t="shared" si="0"/>
        <v>500</v>
      </c>
      <c r="B12" s="3">
        <v>43.735999999999997</v>
      </c>
      <c r="C12" s="5">
        <f t="shared" si="1"/>
        <v>5.0979999999999991E-2</v>
      </c>
    </row>
    <row r="13" spans="1:3" x14ac:dyDescent="0.35">
      <c r="A13" s="1">
        <f t="shared" si="0"/>
        <v>550</v>
      </c>
      <c r="B13" s="3">
        <v>46.307000000000002</v>
      </c>
      <c r="C13" s="5">
        <f t="shared" si="1"/>
        <v>5.1830000000000001E-2</v>
      </c>
    </row>
    <row r="14" spans="1:3" x14ac:dyDescent="0.35">
      <c r="A14" s="1">
        <f t="shared" si="0"/>
        <v>600</v>
      </c>
      <c r="B14" s="3">
        <v>48.918999999999997</v>
      </c>
      <c r="C14" s="5">
        <f t="shared" si="1"/>
        <v>5.2609999999999955E-2</v>
      </c>
    </row>
    <row r="15" spans="1:3" x14ac:dyDescent="0.35">
      <c r="A15" s="1">
        <f t="shared" si="0"/>
        <v>650</v>
      </c>
      <c r="B15" s="3">
        <v>51.567999999999998</v>
      </c>
      <c r="C15" s="5">
        <f t="shared" si="1"/>
        <v>5.3330000000000058E-2</v>
      </c>
    </row>
    <row r="16" spans="1:3" x14ac:dyDescent="0.35">
      <c r="A16" s="1">
        <f t="shared" si="0"/>
        <v>700</v>
      </c>
      <c r="B16" s="3">
        <v>54.252000000000002</v>
      </c>
      <c r="C16" s="5">
        <f t="shared" si="1"/>
        <v>7.3980000000000032E-2</v>
      </c>
    </row>
    <row r="17" spans="1:4" x14ac:dyDescent="0.35">
      <c r="A17" s="1">
        <f t="shared" si="0"/>
        <v>750</v>
      </c>
      <c r="B17" s="3">
        <v>58.966000000000001</v>
      </c>
      <c r="C17" s="5">
        <f t="shared" si="1"/>
        <v>5.4579999999999983E-2</v>
      </c>
    </row>
    <row r="18" spans="1:4" x14ac:dyDescent="0.35">
      <c r="A18" s="1">
        <f t="shared" si="0"/>
        <v>800</v>
      </c>
      <c r="B18" s="3">
        <v>59.71</v>
      </c>
      <c r="C18" s="5">
        <f>(3*B18-4*B17+B16)/(2*(A17-A16))</f>
        <v>-2.4820000000000064E-2</v>
      </c>
    </row>
    <row r="19" spans="1:4" x14ac:dyDescent="0.35">
      <c r="A19" s="1"/>
      <c r="B19" s="1"/>
      <c r="C19" s="9">
        <f>AVERAGE(C4:C18)</f>
        <v>4.5202666666666676E-2</v>
      </c>
      <c r="D19" t="s">
        <v>5</v>
      </c>
    </row>
    <row r="21" spans="1:4" x14ac:dyDescent="0.35">
      <c r="A21" t="s">
        <v>6</v>
      </c>
    </row>
    <row r="22" spans="1:4" x14ac:dyDescent="0.35">
      <c r="A22" t="s">
        <v>7</v>
      </c>
      <c r="B22" t="s">
        <v>8</v>
      </c>
    </row>
    <row r="24" spans="1:4" x14ac:dyDescent="0.35">
      <c r="A24" t="s">
        <v>9</v>
      </c>
      <c r="B24" t="s">
        <v>3</v>
      </c>
      <c r="C24" t="s">
        <v>10</v>
      </c>
    </row>
    <row r="25" spans="1:4" x14ac:dyDescent="0.35">
      <c r="A25" s="4">
        <v>100</v>
      </c>
      <c r="B25" s="3">
        <v>25.186</v>
      </c>
      <c r="C25" s="2">
        <f>0.0504</f>
        <v>5.04E-2</v>
      </c>
    </row>
    <row r="26" spans="1:4" x14ac:dyDescent="0.35">
      <c r="A26" s="1">
        <f>A25+50</f>
        <v>150</v>
      </c>
      <c r="B26" s="3">
        <v>27.254000000000001</v>
      </c>
      <c r="C26" s="2">
        <f t="shared" ref="C26:C39" si="2">0.0504</f>
        <v>5.04E-2</v>
      </c>
    </row>
    <row r="27" spans="1:4" x14ac:dyDescent="0.35">
      <c r="A27" s="1">
        <f t="shared" ref="A27:A39" si="3">A26+50</f>
        <v>200</v>
      </c>
      <c r="B27" s="3">
        <v>29.408000000000001</v>
      </c>
      <c r="C27" s="2">
        <f t="shared" si="2"/>
        <v>5.04E-2</v>
      </c>
    </row>
    <row r="28" spans="1:4" x14ac:dyDescent="0.35">
      <c r="A28" s="1">
        <f t="shared" si="3"/>
        <v>250</v>
      </c>
      <c r="B28" s="3">
        <v>31.64</v>
      </c>
      <c r="C28" s="2">
        <f t="shared" si="2"/>
        <v>5.04E-2</v>
      </c>
    </row>
    <row r="29" spans="1:4" x14ac:dyDescent="0.35">
      <c r="A29" s="1">
        <f t="shared" si="3"/>
        <v>300</v>
      </c>
      <c r="B29" s="3">
        <v>33.942</v>
      </c>
      <c r="C29" s="2">
        <f t="shared" si="2"/>
        <v>5.04E-2</v>
      </c>
    </row>
    <row r="30" spans="1:4" x14ac:dyDescent="0.35">
      <c r="A30" s="1">
        <f t="shared" si="3"/>
        <v>350</v>
      </c>
      <c r="B30" s="3">
        <v>36.307000000000002</v>
      </c>
      <c r="C30" s="2">
        <f t="shared" si="2"/>
        <v>5.04E-2</v>
      </c>
    </row>
    <row r="31" spans="1:4" x14ac:dyDescent="0.35">
      <c r="A31" s="1">
        <f t="shared" si="3"/>
        <v>400</v>
      </c>
      <c r="B31" s="3">
        <v>38.731999999999999</v>
      </c>
      <c r="C31" s="2">
        <f t="shared" si="2"/>
        <v>5.04E-2</v>
      </c>
    </row>
    <row r="32" spans="1:4" x14ac:dyDescent="0.35">
      <c r="A32" s="1">
        <f t="shared" si="3"/>
        <v>450</v>
      </c>
      <c r="B32" s="3">
        <v>41.209000000000003</v>
      </c>
      <c r="C32" s="2">
        <f t="shared" si="2"/>
        <v>5.04E-2</v>
      </c>
    </row>
    <row r="33" spans="1:6" x14ac:dyDescent="0.35">
      <c r="A33" s="1">
        <f t="shared" si="3"/>
        <v>500</v>
      </c>
      <c r="B33" s="3">
        <v>43.735999999999997</v>
      </c>
      <c r="C33" s="2">
        <f t="shared" si="2"/>
        <v>5.04E-2</v>
      </c>
    </row>
    <row r="34" spans="1:6" x14ac:dyDescent="0.35">
      <c r="A34" s="1">
        <f t="shared" si="3"/>
        <v>550</v>
      </c>
      <c r="B34" s="3">
        <v>46.307000000000002</v>
      </c>
      <c r="C34" s="2">
        <f t="shared" si="2"/>
        <v>5.04E-2</v>
      </c>
    </row>
    <row r="35" spans="1:6" x14ac:dyDescent="0.35">
      <c r="A35" s="1">
        <f t="shared" si="3"/>
        <v>600</v>
      </c>
      <c r="B35" s="3">
        <v>48.918999999999997</v>
      </c>
      <c r="C35" s="2">
        <f t="shared" si="2"/>
        <v>5.04E-2</v>
      </c>
    </row>
    <row r="36" spans="1:6" x14ac:dyDescent="0.35">
      <c r="A36" s="1">
        <f t="shared" si="3"/>
        <v>650</v>
      </c>
      <c r="B36" s="3">
        <v>51.567999999999998</v>
      </c>
      <c r="C36" s="2">
        <f t="shared" si="2"/>
        <v>5.04E-2</v>
      </c>
    </row>
    <row r="37" spans="1:6" x14ac:dyDescent="0.35">
      <c r="A37" s="1">
        <f t="shared" si="3"/>
        <v>700</v>
      </c>
      <c r="B37" s="3">
        <v>54.252000000000002</v>
      </c>
      <c r="C37" s="2">
        <f t="shared" si="2"/>
        <v>5.04E-2</v>
      </c>
    </row>
    <row r="38" spans="1:6" x14ac:dyDescent="0.35">
      <c r="A38" s="1">
        <f t="shared" si="3"/>
        <v>750</v>
      </c>
      <c r="B38" s="3">
        <v>58.966000000000001</v>
      </c>
      <c r="C38" s="2">
        <f t="shared" si="2"/>
        <v>5.04E-2</v>
      </c>
    </row>
    <row r="39" spans="1:6" x14ac:dyDescent="0.35">
      <c r="A39" s="1">
        <f t="shared" si="3"/>
        <v>800</v>
      </c>
      <c r="B39" s="3">
        <v>59.71</v>
      </c>
      <c r="C39" s="2">
        <f t="shared" si="2"/>
        <v>5.04E-2</v>
      </c>
    </row>
    <row r="40" spans="1:6" x14ac:dyDescent="0.35">
      <c r="C40" t="s">
        <v>11</v>
      </c>
      <c r="E40" s="6">
        <f>AVERAGE(C25:C39)</f>
        <v>5.04E-2</v>
      </c>
    </row>
    <row r="44" spans="1:6" x14ac:dyDescent="0.35">
      <c r="A44" t="s">
        <v>12</v>
      </c>
    </row>
    <row r="45" spans="1:6" x14ac:dyDescent="0.35">
      <c r="A45" t="s">
        <v>13</v>
      </c>
    </row>
    <row r="46" spans="1:6" x14ac:dyDescent="0.35">
      <c r="A46" t="s">
        <v>9</v>
      </c>
      <c r="B46" t="s">
        <v>14</v>
      </c>
      <c r="C46" t="s">
        <v>15</v>
      </c>
      <c r="D46" t="s">
        <v>16</v>
      </c>
      <c r="F46" t="s">
        <v>17</v>
      </c>
    </row>
    <row r="47" spans="1:6" x14ac:dyDescent="0.35">
      <c r="A47" s="4">
        <v>100</v>
      </c>
      <c r="B47" s="1">
        <v>40.460999999999999</v>
      </c>
      <c r="C47" s="10">
        <f>B47/1000</f>
        <v>4.0460999999999997E-2</v>
      </c>
      <c r="D47" s="10">
        <f>ABS(C47-C4)/C47*100</f>
        <v>9.6389115444787163E-2</v>
      </c>
      <c r="E47" s="1"/>
      <c r="F47" s="1">
        <f>ABS(C47-C25)/C47*100</f>
        <v>24.56439534366428</v>
      </c>
    </row>
    <row r="48" spans="1:6" x14ac:dyDescent="0.35">
      <c r="A48" s="1">
        <f>A47+50</f>
        <v>150</v>
      </c>
      <c r="B48" s="1">
        <v>42.256</v>
      </c>
      <c r="C48" s="10">
        <f t="shared" ref="C48:C61" si="4">B48/1000</f>
        <v>4.2256000000000002E-2</v>
      </c>
      <c r="D48" s="10">
        <f t="shared" ref="D48:D61" si="5">ABS(C48-C5)/C48*100</f>
        <v>8.5195001893192512E-2</v>
      </c>
      <c r="E48" s="1"/>
      <c r="F48" s="1">
        <f t="shared" ref="F48:F61" si="6">ABS(C48-C26)/C48*100</f>
        <v>19.273002650511163</v>
      </c>
    </row>
    <row r="49" spans="1:6" x14ac:dyDescent="0.35">
      <c r="A49" s="1">
        <f t="shared" ref="A49:A61" si="7">A48+50</f>
        <v>200</v>
      </c>
      <c r="B49" s="1">
        <v>43.881</v>
      </c>
      <c r="C49" s="10">
        <f t="shared" si="4"/>
        <v>4.3881000000000003E-2</v>
      </c>
      <c r="D49" s="10">
        <f t="shared" si="5"/>
        <v>4.7856703356837955E-2</v>
      </c>
      <c r="E49" s="1"/>
      <c r="F49" s="1">
        <f t="shared" si="6"/>
        <v>14.856088056334169</v>
      </c>
    </row>
    <row r="50" spans="1:6" x14ac:dyDescent="0.35">
      <c r="A50" s="1">
        <f t="shared" si="7"/>
        <v>250</v>
      </c>
      <c r="B50" s="1">
        <v>45.354999999999997</v>
      </c>
      <c r="C50" s="10">
        <f t="shared" si="4"/>
        <v>4.5354999999999999E-2</v>
      </c>
      <c r="D50" s="10">
        <f t="shared" si="5"/>
        <v>3.3072428618692674E-2</v>
      </c>
      <c r="E50" s="1"/>
      <c r="F50" s="1">
        <f t="shared" si="6"/>
        <v>11.12336015874766</v>
      </c>
    </row>
    <row r="51" spans="1:6" x14ac:dyDescent="0.35">
      <c r="A51" s="1">
        <f t="shared" si="7"/>
        <v>300</v>
      </c>
      <c r="B51" s="1">
        <v>46.695</v>
      </c>
      <c r="C51" s="10">
        <f t="shared" si="4"/>
        <v>4.6695E-2</v>
      </c>
      <c r="D51" s="10">
        <f t="shared" si="5"/>
        <v>5.353892279683771E-2</v>
      </c>
      <c r="E51" s="1"/>
      <c r="F51" s="1">
        <f t="shared" si="6"/>
        <v>7.9344683584966269</v>
      </c>
    </row>
    <row r="52" spans="1:6" x14ac:dyDescent="0.35">
      <c r="A52" s="1">
        <f t="shared" si="7"/>
        <v>350</v>
      </c>
      <c r="B52" s="1">
        <v>47.917000000000002</v>
      </c>
      <c r="C52" s="10">
        <f t="shared" si="4"/>
        <v>4.7917000000000001E-2</v>
      </c>
      <c r="D52" s="10">
        <f t="shared" si="5"/>
        <v>3.5478014066010102E-2</v>
      </c>
      <c r="E52" s="1"/>
      <c r="F52" s="1">
        <f t="shared" si="6"/>
        <v>5.1818769956382891</v>
      </c>
    </row>
    <row r="53" spans="1:6" x14ac:dyDescent="0.35">
      <c r="A53" s="1">
        <f t="shared" si="7"/>
        <v>400</v>
      </c>
      <c r="B53" s="1">
        <v>49.033999999999999</v>
      </c>
      <c r="C53" s="10">
        <f t="shared" si="4"/>
        <v>4.9034000000000001E-2</v>
      </c>
      <c r="D53" s="10">
        <f t="shared" si="5"/>
        <v>2.8551617245162919E-2</v>
      </c>
      <c r="E53" s="1"/>
      <c r="F53" s="1">
        <f t="shared" si="6"/>
        <v>2.7858220826365363</v>
      </c>
    </row>
    <row r="54" spans="1:6" x14ac:dyDescent="0.35">
      <c r="A54" s="1">
        <f t="shared" si="7"/>
        <v>450</v>
      </c>
      <c r="B54" s="1">
        <v>50.055</v>
      </c>
      <c r="C54" s="10">
        <f t="shared" si="4"/>
        <v>5.0055000000000002E-2</v>
      </c>
      <c r="D54" s="10">
        <f t="shared" si="5"/>
        <v>2.9967036260157707E-2</v>
      </c>
      <c r="E54" s="1"/>
      <c r="F54" s="1">
        <f t="shared" si="6"/>
        <v>0.68924183398261529</v>
      </c>
    </row>
    <row r="55" spans="1:6" x14ac:dyDescent="0.35">
      <c r="A55" s="1">
        <f t="shared" si="7"/>
        <v>500</v>
      </c>
      <c r="B55" s="1">
        <v>50.988999999999997</v>
      </c>
      <c r="C55" s="10">
        <f t="shared" si="4"/>
        <v>5.0989E-2</v>
      </c>
      <c r="D55" s="10">
        <f t="shared" si="5"/>
        <v>1.7650865873049093E-2</v>
      </c>
      <c r="E55" s="1"/>
      <c r="F55" s="1">
        <f t="shared" si="6"/>
        <v>1.1551511110239447</v>
      </c>
    </row>
    <row r="56" spans="1:6" x14ac:dyDescent="0.35">
      <c r="A56" s="1">
        <f t="shared" si="7"/>
        <v>550</v>
      </c>
      <c r="B56" s="1">
        <v>51.843000000000004</v>
      </c>
      <c r="C56" s="10">
        <f t="shared" si="4"/>
        <v>5.1843E-2</v>
      </c>
      <c r="D56" s="10">
        <f t="shared" si="5"/>
        <v>2.5075709353237899E-2</v>
      </c>
      <c r="E56" s="1"/>
      <c r="F56" s="1">
        <f t="shared" si="6"/>
        <v>2.7834037382095942</v>
      </c>
    </row>
    <row r="57" spans="1:6" x14ac:dyDescent="0.35">
      <c r="A57" s="1">
        <f t="shared" si="7"/>
        <v>600</v>
      </c>
      <c r="B57" s="1">
        <v>52.624000000000002</v>
      </c>
      <c r="C57" s="10">
        <f t="shared" si="4"/>
        <v>5.2624000000000004E-2</v>
      </c>
      <c r="D57" s="10">
        <f t="shared" si="5"/>
        <v>2.6603830951749573E-2</v>
      </c>
      <c r="E57" s="1"/>
      <c r="F57" s="1">
        <f t="shared" si="6"/>
        <v>4.2262085740346675</v>
      </c>
    </row>
    <row r="58" spans="1:6" x14ac:dyDescent="0.35">
      <c r="A58" s="1">
        <f t="shared" si="7"/>
        <v>650</v>
      </c>
      <c r="B58" s="1">
        <v>53.338999999999999</v>
      </c>
      <c r="C58" s="10">
        <f t="shared" si="4"/>
        <v>5.3338999999999998E-2</v>
      </c>
      <c r="D58" s="10">
        <f t="shared" si="5"/>
        <v>1.6873207221619477E-2</v>
      </c>
      <c r="E58" s="1"/>
      <c r="F58" s="1">
        <f t="shared" si="6"/>
        <v>5.5100395582969259</v>
      </c>
    </row>
    <row r="59" spans="1:6" x14ac:dyDescent="0.35">
      <c r="A59" s="1">
        <f t="shared" si="7"/>
        <v>700</v>
      </c>
      <c r="B59" s="1">
        <v>53.994</v>
      </c>
      <c r="C59" s="10">
        <f t="shared" si="4"/>
        <v>5.3994E-2</v>
      </c>
      <c r="D59" s="10">
        <f t="shared" si="5"/>
        <v>37.015223913768253</v>
      </c>
      <c r="E59" s="1"/>
      <c r="F59" s="1">
        <f t="shared" si="6"/>
        <v>6.6562951439048774</v>
      </c>
    </row>
    <row r="60" spans="1:6" x14ac:dyDescent="0.35">
      <c r="A60" s="1">
        <f t="shared" si="7"/>
        <v>750</v>
      </c>
      <c r="B60" s="1">
        <v>54.593000000000004</v>
      </c>
      <c r="C60" s="10">
        <f t="shared" si="4"/>
        <v>5.4593000000000003E-2</v>
      </c>
      <c r="D60" s="10">
        <f t="shared" si="5"/>
        <v>2.3812576704009561E-2</v>
      </c>
      <c r="E60" s="1"/>
      <c r="F60" s="1">
        <f t="shared" si="6"/>
        <v>7.6804718553660765</v>
      </c>
    </row>
    <row r="61" spans="1:6" x14ac:dyDescent="0.35">
      <c r="A61" s="1">
        <f t="shared" si="7"/>
        <v>800</v>
      </c>
      <c r="B61" s="1">
        <v>55.143999999999998</v>
      </c>
      <c r="C61" s="10">
        <f t="shared" si="4"/>
        <v>5.5143999999999999E-2</v>
      </c>
      <c r="D61" s="10">
        <f t="shared" si="5"/>
        <v>145.00942985637616</v>
      </c>
      <c r="E61" s="1"/>
      <c r="F61" s="1">
        <f t="shared" si="6"/>
        <v>8.602930509212241</v>
      </c>
    </row>
    <row r="62" spans="1:6" x14ac:dyDescent="0.35">
      <c r="B62" t="s">
        <v>18</v>
      </c>
      <c r="C62" s="6">
        <f>AVERAGE(C47:C61)</f>
        <v>4.9212000000000006E-2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2A4F-75B9-4768-81A8-F1BACC4B4054}">
  <dimension ref="A1:H158"/>
  <sheetViews>
    <sheetView zoomScale="157" workbookViewId="0">
      <selection activeCell="G17" sqref="G17"/>
    </sheetView>
  </sheetViews>
  <sheetFormatPr defaultRowHeight="14.5" x14ac:dyDescent="0.35"/>
  <cols>
    <col min="1" max="1" width="9.453125" style="1" bestFit="1" customWidth="1"/>
    <col min="2" max="2" width="9.453125" style="10" bestFit="1" customWidth="1"/>
    <col min="3" max="3" width="9.453125" bestFit="1" customWidth="1"/>
    <col min="4" max="4" width="8.1796875" customWidth="1"/>
    <col min="5" max="5" width="11.54296875" customWidth="1"/>
    <col min="6" max="6" width="16.08984375" customWidth="1"/>
    <col min="7" max="7" width="15.7265625" customWidth="1"/>
    <col min="8" max="8" width="11.7265625" bestFit="1" customWidth="1"/>
  </cols>
  <sheetData>
    <row r="1" spans="1:8" x14ac:dyDescent="0.35">
      <c r="A1" s="1" t="s">
        <v>19</v>
      </c>
      <c r="B1" s="10" t="s">
        <v>20</v>
      </c>
      <c r="F1" t="s">
        <v>31</v>
      </c>
    </row>
    <row r="2" spans="1:8" x14ac:dyDescent="0.35">
      <c r="A2" s="12" t="s">
        <v>21</v>
      </c>
      <c r="B2" s="10" t="s">
        <v>22</v>
      </c>
      <c r="C2">
        <f>0.1</f>
        <v>0.1</v>
      </c>
      <c r="F2" s="7" t="s">
        <v>30</v>
      </c>
    </row>
    <row r="3" spans="1:8" x14ac:dyDescent="0.35">
      <c r="A3" s="1" t="s">
        <v>24</v>
      </c>
      <c r="B3" s="10" t="s">
        <v>25</v>
      </c>
      <c r="C3" t="s">
        <v>26</v>
      </c>
      <c r="D3" t="s">
        <v>32</v>
      </c>
      <c r="E3" t="s">
        <v>27</v>
      </c>
      <c r="F3" t="s">
        <v>28</v>
      </c>
      <c r="G3" t="s">
        <v>29</v>
      </c>
      <c r="H3" t="s">
        <v>27</v>
      </c>
    </row>
    <row r="4" spans="1:8" x14ac:dyDescent="0.35">
      <c r="A4" s="1">
        <v>0</v>
      </c>
      <c r="B4" s="10">
        <f>A4^2*COS(A4)</f>
        <v>0</v>
      </c>
      <c r="C4" s="5">
        <f t="shared" ref="C4" si="0">2*A4*COS(A4)+((A4^2)-2)*SIN(A4)</f>
        <v>0</v>
      </c>
      <c r="D4" s="5">
        <f>((-3*B4+4*B5)-B6)/(2*$C$2)</f>
        <v>2.9875174873568444E-3</v>
      </c>
      <c r="E4" s="5"/>
      <c r="F4" s="5">
        <v>0</v>
      </c>
      <c r="G4">
        <f>(A4^2-2)*SIN(A4)+2*A4*COS(A4)</f>
        <v>0</v>
      </c>
      <c r="H4" s="5">
        <v>0</v>
      </c>
    </row>
    <row r="5" spans="1:8" x14ac:dyDescent="0.35">
      <c r="A5" s="1">
        <f>A4+$C$2</f>
        <v>0.1</v>
      </c>
      <c r="B5" s="10">
        <f t="shared" ref="B5:B14" si="1">A5^2*COS(A5)</f>
        <v>9.9500416527802601E-3</v>
      </c>
      <c r="C5" s="5">
        <f>2*A5*COS(A5)-((A5^2)*SIN(A5))</f>
        <v>0.1980024988891369</v>
      </c>
      <c r="D5" s="5">
        <f>(B6-B4)/(2*$C$2)</f>
        <v>0.19601331556824836</v>
      </c>
      <c r="E5" s="5">
        <f t="shared" ref="E5:E14" si="2">ABS(D5-C5)/C5*100</f>
        <v>1.0046253618255101</v>
      </c>
      <c r="F5" s="5">
        <f>F4+(B4+B5)*$C$2/2</f>
        <v>4.9750208263901307E-4</v>
      </c>
      <c r="G5">
        <f t="shared" ref="G5:G14" si="3">(A5^2-2)*SIN(A5)+2*A5*COS(A5)</f>
        <v>3.3233392841713894E-4</v>
      </c>
      <c r="H5" s="5">
        <f>ABS(F5-G5)/G5*100</f>
        <v>49.699455908262955</v>
      </c>
    </row>
    <row r="6" spans="1:8" x14ac:dyDescent="0.35">
      <c r="A6" s="1">
        <f t="shared" ref="A6:A14" si="4">A5+$C$2</f>
        <v>0.2</v>
      </c>
      <c r="B6" s="10">
        <f t="shared" si="1"/>
        <v>3.9202663113649672E-2</v>
      </c>
      <c r="C6" s="5">
        <f t="shared" ref="C6:C14" si="5">2*A6*COS(A6)-((A6^2)*SIN(A6))</f>
        <v>0.38407985790469423</v>
      </c>
      <c r="D6" s="5">
        <f t="shared" ref="D6:D13" si="6">(B7-B5)/(2*$C$2)</f>
        <v>0.38015121184262146</v>
      </c>
      <c r="E6" s="5">
        <f t="shared" si="2"/>
        <v>1.0228721921282391</v>
      </c>
      <c r="F6" s="5">
        <f t="shared" ref="F6:F14" si="7">F5+(B5+B6)*$C$2/2</f>
        <v>2.9551373209605099E-3</v>
      </c>
      <c r="G6">
        <f t="shared" si="3"/>
        <v>2.6347427781766575E-3</v>
      </c>
      <c r="H6" s="5">
        <f t="shared" ref="H6:H14" si="8">ABS(F6-G6)/G6*100</f>
        <v>12.160372748248985</v>
      </c>
    </row>
    <row r="7" spans="1:8" x14ac:dyDescent="0.35">
      <c r="A7" s="1">
        <f t="shared" si="4"/>
        <v>0.30000000000000004</v>
      </c>
      <c r="B7" s="10">
        <f t="shared" si="1"/>
        <v>8.5980284021304559E-2</v>
      </c>
      <c r="C7" s="5">
        <f t="shared" si="5"/>
        <v>0.54660507487584309</v>
      </c>
      <c r="D7" s="5">
        <f t="shared" si="6"/>
        <v>0.54083547963405987</v>
      </c>
      <c r="E7" s="5">
        <f t="shared" si="2"/>
        <v>1.0555326884028176</v>
      </c>
      <c r="F7" s="5">
        <f t="shared" si="7"/>
        <v>9.2142846777082225E-3</v>
      </c>
      <c r="G7">
        <f t="shared" si="3"/>
        <v>8.7582987522050182E-3</v>
      </c>
      <c r="H7" s="5">
        <f t="shared" si="8"/>
        <v>5.2063298867077794</v>
      </c>
    </row>
    <row r="8" spans="1:8" x14ac:dyDescent="0.35">
      <c r="A8" s="1">
        <f t="shared" si="4"/>
        <v>0.4</v>
      </c>
      <c r="B8" s="10">
        <f t="shared" si="1"/>
        <v>0.14736975904046165</v>
      </c>
      <c r="C8" s="5">
        <f t="shared" si="5"/>
        <v>0.67454186043292408</v>
      </c>
      <c r="D8" s="5">
        <f t="shared" si="6"/>
        <v>0.66707678225644307</v>
      </c>
      <c r="E8" s="5">
        <f t="shared" si="2"/>
        <v>1.1066886451924405</v>
      </c>
      <c r="F8" s="5">
        <f t="shared" si="7"/>
        <v>2.0881786830796535E-2</v>
      </c>
      <c r="G8">
        <f t="shared" si="3"/>
        <v>2.0319045354391219E-2</v>
      </c>
      <c r="H8" s="5">
        <f t="shared" si="8"/>
        <v>2.7695271435756728</v>
      </c>
    </row>
    <row r="9" spans="1:8" x14ac:dyDescent="0.35">
      <c r="A9" s="1">
        <f t="shared" si="4"/>
        <v>0.5</v>
      </c>
      <c r="B9" s="10">
        <f t="shared" si="1"/>
        <v>0.21939564047259319</v>
      </c>
      <c r="C9" s="5">
        <f t="shared" si="5"/>
        <v>0.75772617723932201</v>
      </c>
      <c r="D9" s="5">
        <f t="shared" si="6"/>
        <v>0.74875531163511266</v>
      </c>
      <c r="E9" s="5">
        <f t="shared" si="2"/>
        <v>1.1839191879174005</v>
      </c>
      <c r="F9" s="5">
        <f t="shared" si="7"/>
        <v>3.9220056806449279E-2</v>
      </c>
      <c r="G9">
        <f t="shared" si="3"/>
        <v>3.8587869333017499E-2</v>
      </c>
      <c r="H9" s="5">
        <f t="shared" si="8"/>
        <v>1.6383062458720712</v>
      </c>
    </row>
    <row r="10" spans="1:8" x14ac:dyDescent="0.35">
      <c r="A10" s="1">
        <f t="shared" si="4"/>
        <v>0.6</v>
      </c>
      <c r="B10" s="10">
        <f t="shared" si="1"/>
        <v>0.29712082136748419</v>
      </c>
      <c r="C10" s="5">
        <f t="shared" si="5"/>
        <v>0.78713144746940122</v>
      </c>
      <c r="D10" s="5">
        <f t="shared" si="6"/>
        <v>0.77688515648403067</v>
      </c>
      <c r="E10" s="5">
        <f t="shared" si="2"/>
        <v>1.3017255273324428</v>
      </c>
      <c r="F10" s="5">
        <f t="shared" si="7"/>
        <v>6.5045879898453146E-2</v>
      </c>
      <c r="G10">
        <f t="shared" si="3"/>
        <v>6.4389081523755887E-2</v>
      </c>
      <c r="H10" s="5">
        <f t="shared" si="8"/>
        <v>1.0200461928548219</v>
      </c>
    </row>
    <row r="11" spans="1:8" x14ac:dyDescent="0.35">
      <c r="A11" s="1">
        <f t="shared" si="4"/>
        <v>0.7</v>
      </c>
      <c r="B11" s="10">
        <f t="shared" si="1"/>
        <v>0.37477267176939932</v>
      </c>
      <c r="C11" s="5">
        <f t="shared" si="5"/>
        <v>0.7551123954518153</v>
      </c>
      <c r="D11" s="5">
        <f t="shared" si="6"/>
        <v>0.74385736307350814</v>
      </c>
      <c r="E11" s="5">
        <f t="shared" si="2"/>
        <v>1.4905108757449022</v>
      </c>
      <c r="F11" s="5">
        <f t="shared" si="7"/>
        <v>9.8640554555297327E-2</v>
      </c>
      <c r="G11">
        <f t="shared" si="3"/>
        <v>9.8010354469370342E-2</v>
      </c>
      <c r="H11" s="5">
        <f t="shared" si="8"/>
        <v>0.64299337487237818</v>
      </c>
    </row>
    <row r="12" spans="1:8" x14ac:dyDescent="0.35">
      <c r="A12" s="1">
        <f t="shared" si="4"/>
        <v>0.79999999999999993</v>
      </c>
      <c r="B12" s="10">
        <f t="shared" si="1"/>
        <v>0.44589229398218583</v>
      </c>
      <c r="C12" s="5">
        <f t="shared" si="5"/>
        <v>0.65562283677977029</v>
      </c>
      <c r="D12" s="5">
        <f t="shared" si="6"/>
        <v>0.64365701264919417</v>
      </c>
      <c r="E12" s="5">
        <f t="shared" si="2"/>
        <v>1.8251078911998835</v>
      </c>
      <c r="F12" s="5">
        <f t="shared" si="7"/>
        <v>0.13967380284287659</v>
      </c>
      <c r="G12">
        <f t="shared" si="3"/>
        <v>0.13912645133211377</v>
      </c>
      <c r="H12" s="5">
        <f t="shared" si="8"/>
        <v>0.39342016239328914</v>
      </c>
    </row>
    <row r="13" spans="1:8" x14ac:dyDescent="0.35">
      <c r="A13" s="1">
        <f t="shared" si="4"/>
        <v>0.89999999999999991</v>
      </c>
      <c r="B13" s="10">
        <f t="shared" si="1"/>
        <v>0.50350407429923816</v>
      </c>
      <c r="C13" s="5">
        <f t="shared" si="5"/>
        <v>0.48440314608893453</v>
      </c>
      <c r="D13" s="5">
        <f t="shared" si="6"/>
        <v>0.47205005942976913</v>
      </c>
      <c r="E13" s="5">
        <f t="shared" si="2"/>
        <v>2.5501664799050303</v>
      </c>
      <c r="F13" s="5">
        <f t="shared" si="7"/>
        <v>0.18714362125694778</v>
      </c>
      <c r="G13">
        <f t="shared" si="3"/>
        <v>0.18673892043049067</v>
      </c>
      <c r="H13" s="5">
        <f t="shared" si="8"/>
        <v>0.2167201275042959</v>
      </c>
    </row>
    <row r="14" spans="1:8" x14ac:dyDescent="0.35">
      <c r="A14" s="1">
        <f t="shared" si="4"/>
        <v>0.99999999999999989</v>
      </c>
      <c r="B14" s="10">
        <f t="shared" si="1"/>
        <v>0.54030230586813965</v>
      </c>
      <c r="C14" s="5">
        <f t="shared" si="5"/>
        <v>0.23913362692838314</v>
      </c>
      <c r="D14" s="5">
        <f>(3*B14-4*B13+B12)/(2*C2)</f>
        <v>0.26391457194826023</v>
      </c>
      <c r="E14" s="5">
        <f t="shared" si="2"/>
        <v>10.362802311905138</v>
      </c>
      <c r="F14" s="5">
        <f t="shared" si="7"/>
        <v>0.23933394026531668</v>
      </c>
      <c r="G14">
        <f t="shared" si="3"/>
        <v>0.23913362692838269</v>
      </c>
      <c r="H14" s="5">
        <f t="shared" si="8"/>
        <v>8.376627725132918E-2</v>
      </c>
    </row>
    <row r="18" spans="1:8" x14ac:dyDescent="0.35">
      <c r="A18" s="12" t="s">
        <v>34</v>
      </c>
      <c r="C18" s="1" t="s">
        <v>22</v>
      </c>
      <c r="D18" s="1">
        <v>0.01</v>
      </c>
      <c r="F18" s="7" t="s">
        <v>23</v>
      </c>
    </row>
    <row r="19" spans="1:8" x14ac:dyDescent="0.35">
      <c r="A19" s="1" t="s">
        <v>24</v>
      </c>
      <c r="B19" s="10" t="s">
        <v>25</v>
      </c>
      <c r="C19" t="s">
        <v>26</v>
      </c>
      <c r="D19" t="s">
        <v>32</v>
      </c>
      <c r="E19" t="s">
        <v>27</v>
      </c>
      <c r="F19" t="s">
        <v>28</v>
      </c>
      <c r="G19" t="s">
        <v>33</v>
      </c>
      <c r="H19" t="s">
        <v>27</v>
      </c>
    </row>
    <row r="20" spans="1:8" x14ac:dyDescent="0.35">
      <c r="A20" s="1">
        <v>0</v>
      </c>
      <c r="B20" s="10">
        <f>A20^2*COS(A20)</f>
        <v>0</v>
      </c>
      <c r="C20" s="10">
        <f>2*A20*COS(A20)-(A20^2)*SIN(A20)</f>
        <v>0</v>
      </c>
      <c r="D20" s="5">
        <f>(-3*B20+4*B21-B22)/(2*$D$18)</f>
        <v>2.9998750017499326E-6</v>
      </c>
      <c r="E20" s="10"/>
      <c r="F20" s="11">
        <v>0</v>
      </c>
      <c r="G20">
        <f>(A20^2-2)*SIN(A20)+2*A20*COS(A20)</f>
        <v>0</v>
      </c>
      <c r="H20" s="10">
        <v>0</v>
      </c>
    </row>
    <row r="21" spans="1:8" x14ac:dyDescent="0.35">
      <c r="A21" s="1">
        <f>A20+$D$18</f>
        <v>0.01</v>
      </c>
      <c r="B21" s="10">
        <f t="shared" ref="B21:B31" si="9">A21^2*COS(A21)</f>
        <v>9.9995000041666534E-5</v>
      </c>
      <c r="C21" s="10">
        <f t="shared" ref="C21:C84" si="10">2*A21*COS(A21)-(A21^2)*SIN(A21)</f>
        <v>1.9998000024999889E-2</v>
      </c>
      <c r="D21" s="5">
        <f>(B22-B20)/(A22-A20)</f>
        <v>1.9996000133331557E-2</v>
      </c>
      <c r="E21" s="10">
        <f>ABS(C21-D21)/C21*100</f>
        <v>1.0000458374996865E-2</v>
      </c>
      <c r="F21" s="11">
        <f>F20+((B20+B21)/2)*(A21-A20)</f>
        <v>4.9997500020833265E-7</v>
      </c>
      <c r="G21">
        <f t="shared" ref="G21:G84" si="11">(A21^2-2)*SIN(A21)+2*A21*COS(A21)</f>
        <v>3.3332333339297637E-7</v>
      </c>
      <c r="H21" s="10">
        <f>ABS(F21-G21)/G21*100</f>
        <v>49.996999945659333</v>
      </c>
    </row>
    <row r="22" spans="1:8" x14ac:dyDescent="0.35">
      <c r="A22" s="1">
        <f>A21+$D$18</f>
        <v>0.02</v>
      </c>
      <c r="B22" s="10">
        <f t="shared" si="9"/>
        <v>3.9992000266663114E-4</v>
      </c>
      <c r="C22" s="10">
        <f t="shared" si="10"/>
        <v>3.9984000799985778E-2</v>
      </c>
      <c r="D22" s="5">
        <f t="shared" ref="D22:D85" si="12">(B23-B21)/(A23-A21)</f>
        <v>3.9980001516621122E-2</v>
      </c>
      <c r="E22" s="10">
        <f t="shared" ref="E22:E85" si="13">ABS(C22-D22)/C22*100</f>
        <v>1.0002209095236756E-2</v>
      </c>
      <c r="F22" s="11">
        <f t="shared" ref="F22:F85" si="14">F21+((B21+B22)/2)*(A22-A21)</f>
        <v>2.999550013749821E-6</v>
      </c>
      <c r="G22">
        <f t="shared" si="11"/>
        <v>2.6663466742779529E-6</v>
      </c>
      <c r="H22" s="10">
        <f t="shared" ref="H22:H85" si="15">ABS(F22-G22)/G22*100</f>
        <v>12.496624789501523</v>
      </c>
    </row>
    <row r="23" spans="1:8" x14ac:dyDescent="0.35">
      <c r="A23" s="1">
        <f>A22+$D$18</f>
        <v>0.03</v>
      </c>
      <c r="B23" s="10">
        <f t="shared" si="9"/>
        <v>8.9959503037408876E-4</v>
      </c>
      <c r="C23" s="10">
        <f t="shared" si="10"/>
        <v>5.9946006074757002E-2</v>
      </c>
      <c r="D23" s="5">
        <f t="shared" si="12"/>
        <v>5.9940008399546676E-2</v>
      </c>
      <c r="E23" s="10">
        <f t="shared" si="13"/>
        <v>1.0005128953622463E-2</v>
      </c>
      <c r="F23" s="11">
        <f t="shared" si="14"/>
        <v>9.4971251789534192E-6</v>
      </c>
      <c r="G23">
        <f t="shared" si="11"/>
        <v>8.9975701301689415E-6</v>
      </c>
      <c r="H23" s="10">
        <f t="shared" si="15"/>
        <v>5.5521106427330276</v>
      </c>
    </row>
    <row r="24" spans="1:8" x14ac:dyDescent="0.35">
      <c r="A24" s="1">
        <f>A23+$D$18</f>
        <v>0.04</v>
      </c>
      <c r="B24" s="10">
        <f t="shared" si="9"/>
        <v>1.5987201706575648E-3</v>
      </c>
      <c r="C24" s="10">
        <f t="shared" si="10"/>
        <v>7.9872025598179616E-2</v>
      </c>
      <c r="D24" s="5">
        <f t="shared" si="12"/>
        <v>7.986403103066636E-2</v>
      </c>
      <c r="E24" s="10">
        <f t="shared" si="13"/>
        <v>1.0009220942354687E-2</v>
      </c>
      <c r="F24" s="11">
        <f t="shared" si="14"/>
        <v>2.1988701184111689E-5</v>
      </c>
      <c r="G24">
        <f t="shared" si="11"/>
        <v>2.1323094308522972E-5</v>
      </c>
      <c r="H24" s="10">
        <f t="shared" si="15"/>
        <v>3.1215304212328605</v>
      </c>
    </row>
    <row r="25" spans="1:8" x14ac:dyDescent="0.35">
      <c r="A25" s="1">
        <f>A24+$D$18</f>
        <v>0.05</v>
      </c>
      <c r="B25" s="10">
        <f t="shared" si="9"/>
        <v>2.4968756509874163E-3</v>
      </c>
      <c r="C25" s="10">
        <f t="shared" si="10"/>
        <v>9.9750078116319932E-2</v>
      </c>
      <c r="D25" s="5">
        <f t="shared" si="12"/>
        <v>9.9740088655458553E-2</v>
      </c>
      <c r="E25" s="10">
        <f t="shared" si="13"/>
        <v>1.0014489261582236E-2</v>
      </c>
      <c r="F25" s="11">
        <f t="shared" si="14"/>
        <v>4.2466680292336593E-5</v>
      </c>
      <c r="G25">
        <f t="shared" si="11"/>
        <v>4.1635421316660315E-5</v>
      </c>
      <c r="H25" s="10">
        <f t="shared" si="15"/>
        <v>1.9965187078427653</v>
      </c>
    </row>
    <row r="26" spans="1:8" x14ac:dyDescent="0.35">
      <c r="A26" s="1">
        <f>A25+$D$18</f>
        <v>6.0000000000000005E-2</v>
      </c>
      <c r="B26" s="10">
        <f t="shared" si="9"/>
        <v>3.5935219437667359E-3</v>
      </c>
      <c r="C26" s="10">
        <f t="shared" si="10"/>
        <v>0.11956819436889851</v>
      </c>
      <c r="D26" s="5">
        <f t="shared" si="12"/>
        <v>0.11955621251268271</v>
      </c>
      <c r="E26" s="10">
        <f t="shared" si="13"/>
        <v>1.0020939330097884E-2</v>
      </c>
      <c r="F26" s="11">
        <f t="shared" si="14"/>
        <v>7.2918668266107363E-5</v>
      </c>
      <c r="G26">
        <f t="shared" si="11"/>
        <v>7.1922256661319239E-5</v>
      </c>
      <c r="H26" s="10">
        <f t="shared" si="15"/>
        <v>1.3854009190509835</v>
      </c>
    </row>
    <row r="27" spans="1:8" x14ac:dyDescent="0.35">
      <c r="A27" s="1">
        <f>A26+$D$18</f>
        <v>7.0000000000000007E-2</v>
      </c>
      <c r="B27" s="10">
        <f t="shared" si="9"/>
        <v>4.887999901241071E-3</v>
      </c>
      <c r="C27" s="10">
        <f t="shared" si="10"/>
        <v>0.13931442008350522</v>
      </c>
      <c r="D27" s="5">
        <f t="shared" si="12"/>
        <v>0.13930044882850146</v>
      </c>
      <c r="E27" s="10">
        <f t="shared" si="13"/>
        <v>1.0028577799337086E-2</v>
      </c>
      <c r="F27" s="11">
        <f t="shared" si="14"/>
        <v>1.1532627749114641E-4</v>
      </c>
      <c r="G27">
        <f t="shared" si="11"/>
        <v>1.1416531234750837E-4</v>
      </c>
      <c r="H27" s="10">
        <f t="shared" si="15"/>
        <v>1.0169158387656012</v>
      </c>
    </row>
    <row r="28" spans="1:8" x14ac:dyDescent="0.35">
      <c r="A28" s="1">
        <f>A27+$D$18</f>
        <v>0.08</v>
      </c>
      <c r="B28" s="10">
        <f t="shared" si="9"/>
        <v>6.3795309203367647E-3</v>
      </c>
      <c r="C28" s="10">
        <f t="shared" si="10"/>
        <v>0.1589768189670164</v>
      </c>
      <c r="D28" s="5">
        <f t="shared" si="12"/>
        <v>0.15896086180780417</v>
      </c>
      <c r="E28" s="10">
        <f t="shared" si="13"/>
        <v>1.0037412571167571E-2</v>
      </c>
      <c r="F28" s="11">
        <f t="shared" si="14"/>
        <v>1.7166393159903556E-4</v>
      </c>
      <c r="G28">
        <f t="shared" si="11"/>
        <v>1.7033911147643077E-4</v>
      </c>
      <c r="H28" s="10">
        <f t="shared" si="15"/>
        <v>0.77775451047136457</v>
      </c>
    </row>
    <row r="29" spans="1:8" x14ac:dyDescent="0.35">
      <c r="A29" s="1">
        <f>A28+$D$18</f>
        <v>0.09</v>
      </c>
      <c r="B29" s="10">
        <f t="shared" si="9"/>
        <v>8.0672171373971525E-3</v>
      </c>
      <c r="C29" s="10">
        <f t="shared" si="10"/>
        <v>0.17854347569365508</v>
      </c>
      <c r="D29" s="5">
        <f t="shared" si="12"/>
        <v>0.17852553662217469</v>
      </c>
      <c r="E29" s="10">
        <f t="shared" si="13"/>
        <v>1.0047452818258891E-2</v>
      </c>
      <c r="F29" s="11">
        <f t="shared" si="14"/>
        <v>2.4389767188770511E-4</v>
      </c>
      <c r="G29">
        <f t="shared" si="11"/>
        <v>2.4240979464076884E-4</v>
      </c>
      <c r="H29" s="10">
        <f t="shared" si="15"/>
        <v>0.61378594422770105</v>
      </c>
    </row>
    <row r="30" spans="1:8" x14ac:dyDescent="0.35">
      <c r="A30" s="1">
        <f>A29+$D$18</f>
        <v>9.9999999999999992E-2</v>
      </c>
      <c r="B30" s="10">
        <f t="shared" si="9"/>
        <v>9.9500416527802567E-3</v>
      </c>
      <c r="C30" s="10">
        <f t="shared" si="10"/>
        <v>0.19800249888913687</v>
      </c>
      <c r="D30" s="5">
        <f t="shared" si="12"/>
        <v>0.19798258239394395</v>
      </c>
      <c r="E30" s="10">
        <f t="shared" si="13"/>
        <v>1.0058709008553754E-2</v>
      </c>
      <c r="F30" s="11">
        <f t="shared" si="14"/>
        <v>3.3398396583859209E-4</v>
      </c>
      <c r="G30">
        <f t="shared" si="11"/>
        <v>3.3233392841713894E-4</v>
      </c>
      <c r="H30" s="10">
        <f t="shared" si="15"/>
        <v>0.49649983957763777</v>
      </c>
    </row>
    <row r="31" spans="1:8" x14ac:dyDescent="0.35">
      <c r="A31" s="1">
        <f>A30+$D$18</f>
        <v>0.10999999999999999</v>
      </c>
      <c r="B31" s="10">
        <f t="shared" si="9"/>
        <v>1.202686878527603E-2</v>
      </c>
      <c r="C31" s="10">
        <f t="shared" si="10"/>
        <v>0.21734202411034345</v>
      </c>
      <c r="D31" s="5">
        <f t="shared" si="12"/>
        <v>0.21732013517577078</v>
      </c>
      <c r="E31" s="10">
        <f t="shared" si="13"/>
        <v>1.0071192933012365E-2</v>
      </c>
      <c r="F31" s="11">
        <f t="shared" si="14"/>
        <v>4.4386851802887347E-4</v>
      </c>
      <c r="G31">
        <f t="shared" si="11"/>
        <v>4.4205731625349132E-4</v>
      </c>
      <c r="H31" s="10">
        <f t="shared" si="15"/>
        <v>0.40972102684158462</v>
      </c>
    </row>
    <row r="32" spans="1:8" x14ac:dyDescent="0.35">
      <c r="A32" s="1">
        <f>A31+$D$18</f>
        <v>0.11999999999999998</v>
      </c>
      <c r="B32" s="10">
        <f t="shared" ref="B32:B39" si="16">A32^2*COS(A32)</f>
        <v>1.429644435629567E-2</v>
      </c>
      <c r="C32" s="10">
        <f t="shared" si="10"/>
        <v>0.23655021681996743</v>
      </c>
      <c r="D32" s="5">
        <f t="shared" si="12"/>
        <v>0.23652636092519438</v>
      </c>
      <c r="E32" s="10">
        <f t="shared" si="13"/>
        <v>1.0084917737026061E-2</v>
      </c>
      <c r="F32" s="11">
        <f t="shared" si="14"/>
        <v>5.7548508373673189E-4</v>
      </c>
      <c r="G32">
        <f t="shared" si="11"/>
        <v>5.7351381204959195E-4</v>
      </c>
      <c r="H32" s="10">
        <f t="shared" si="15"/>
        <v>0.34371825851850224</v>
      </c>
    </row>
    <row r="33" spans="1:8" x14ac:dyDescent="0.35">
      <c r="A33" s="1">
        <f>A32+$D$18</f>
        <v>0.12999999999999998</v>
      </c>
      <c r="B33" s="10">
        <f t="shared" si="16"/>
        <v>1.6757396003779915E-2</v>
      </c>
      <c r="C33" s="10">
        <f t="shared" si="10"/>
        <v>0.25561527535557199</v>
      </c>
      <c r="D33" s="5">
        <f t="shared" si="12"/>
        <v>0.25558945847360076</v>
      </c>
      <c r="E33" s="10">
        <f t="shared" si="13"/>
        <v>1.0099897956144327E-2</v>
      </c>
      <c r="F33" s="11">
        <f t="shared" si="14"/>
        <v>7.3075428553710971E-4</v>
      </c>
      <c r="G33">
        <f t="shared" si="11"/>
        <v>7.2862413672802884E-4</v>
      </c>
      <c r="H33" s="10">
        <f t="shared" si="15"/>
        <v>0.2923522158690145</v>
      </c>
    </row>
    <row r="34" spans="1:8" x14ac:dyDescent="0.35">
      <c r="A34" s="1">
        <f>A33+$D$18</f>
        <v>0.13999999999999999</v>
      </c>
      <c r="B34" s="10">
        <f t="shared" si="16"/>
        <v>1.9408233525767687E-2</v>
      </c>
      <c r="C34" s="10">
        <f t="shared" si="10"/>
        <v>0.27452543389251133</v>
      </c>
      <c r="D34" s="5">
        <f t="shared" si="12"/>
        <v>0.2744976624890515</v>
      </c>
      <c r="E34" s="10">
        <f t="shared" si="13"/>
        <v>1.0116149555273842E-2</v>
      </c>
      <c r="F34" s="11">
        <f t="shared" si="14"/>
        <v>9.1158243318484788E-4</v>
      </c>
      <c r="G34">
        <f t="shared" si="11"/>
        <v>9.0929469809247765E-4</v>
      </c>
      <c r="H34" s="10">
        <f t="shared" si="15"/>
        <v>0.25159446075837189</v>
      </c>
    </row>
    <row r="35" spans="1:8" x14ac:dyDescent="0.35">
      <c r="A35" s="1">
        <f>A34+$D$18</f>
        <v>0.15</v>
      </c>
      <c r="B35" s="10">
        <f t="shared" si="16"/>
        <v>2.224734925356095E-2</v>
      </c>
      <c r="C35" s="10">
        <f t="shared" si="10"/>
        <v>0.29326896540015668</v>
      </c>
      <c r="D35" s="5">
        <f t="shared" si="12"/>
        <v>0.29323924643241794</v>
      </c>
      <c r="E35" s="10">
        <f t="shared" si="13"/>
        <v>1.0133689972337767E-2</v>
      </c>
      <c r="F35" s="11">
        <f t="shared" si="14"/>
        <v>1.1198603470814912E-3</v>
      </c>
      <c r="G35">
        <f t="shared" si="11"/>
        <v>1.1174164142702114E-3</v>
      </c>
      <c r="H35" s="10">
        <f t="shared" si="15"/>
        <v>0.21871280751464012</v>
      </c>
    </row>
    <row r="36" spans="1:8" x14ac:dyDescent="0.35">
      <c r="A36" s="1">
        <f>A35+$D$18</f>
        <v>0.16</v>
      </c>
      <c r="B36" s="10">
        <f t="shared" si="16"/>
        <v>2.5273018454416051E-2</v>
      </c>
      <c r="C36" s="10">
        <f t="shared" si="10"/>
        <v>0.31183418459087597</v>
      </c>
      <c r="D36" s="5">
        <f t="shared" si="12"/>
        <v>0.3118025255062678</v>
      </c>
      <c r="E36" s="10">
        <f t="shared" si="13"/>
        <v>1.0152538166945196E-2</v>
      </c>
      <c r="F36" s="11">
        <f t="shared" si="14"/>
        <v>1.3574621856213764E-3</v>
      </c>
      <c r="G36">
        <f t="shared" si="11"/>
        <v>1.3548635410334242E-3</v>
      </c>
      <c r="H36" s="10">
        <f t="shared" si="15"/>
        <v>0.1918012042725753</v>
      </c>
    </row>
    <row r="37" spans="1:8" x14ac:dyDescent="0.35">
      <c r="A37" s="1">
        <f>A36+$D$18</f>
        <v>0.17</v>
      </c>
      <c r="B37" s="10">
        <f t="shared" si="16"/>
        <v>2.8483399763686312E-2</v>
      </c>
      <c r="C37" s="10">
        <f t="shared" si="10"/>
        <v>0.3302094508612145</v>
      </c>
      <c r="D37" s="5">
        <f t="shared" si="12"/>
        <v>0.3301758595959543</v>
      </c>
      <c r="E37" s="10">
        <f t="shared" si="13"/>
        <v>1.0172714673245506E-2</v>
      </c>
      <c r="F37" s="11">
        <f t="shared" si="14"/>
        <v>1.6262442767118884E-3</v>
      </c>
      <c r="G37">
        <f t="shared" si="11"/>
        <v>1.6234925032947989E-3</v>
      </c>
      <c r="H37" s="10">
        <f t="shared" si="15"/>
        <v>0.16949714344260616</v>
      </c>
    </row>
    <row r="38" spans="1:8" x14ac:dyDescent="0.35">
      <c r="A38" s="1">
        <f>A37+$D$18</f>
        <v>0.18000000000000002</v>
      </c>
      <c r="B38" s="10">
        <f t="shared" si="16"/>
        <v>3.1876535646335143E-2</v>
      </c>
      <c r="C38" s="10">
        <f t="shared" si="10"/>
        <v>0.34838317122472706</v>
      </c>
      <c r="D38" s="5">
        <f t="shared" si="12"/>
        <v>0.34834765620235786</v>
      </c>
      <c r="E38" s="10">
        <f t="shared" si="13"/>
        <v>1.0194241657641477E-2</v>
      </c>
      <c r="F38" s="11">
        <f t="shared" si="14"/>
        <v>1.928043953761996E-3</v>
      </c>
      <c r="G38">
        <f t="shared" si="11"/>
        <v>1.9251407310720836E-3</v>
      </c>
      <c r="H38" s="10">
        <f t="shared" si="15"/>
        <v>0.15080573814962608</v>
      </c>
    </row>
    <row r="39" spans="1:8" x14ac:dyDescent="0.35">
      <c r="A39" s="1">
        <f>A38+$D$18</f>
        <v>0.19000000000000003</v>
      </c>
      <c r="B39" s="10">
        <f t="shared" si="16"/>
        <v>3.5450352887733474E-2</v>
      </c>
      <c r="C39" s="10">
        <f t="shared" si="10"/>
        <v>0.36634380323591109</v>
      </c>
      <c r="D39" s="5">
        <f t="shared" si="12"/>
        <v>0.36630637336572647</v>
      </c>
      <c r="E39" s="10">
        <f t="shared" si="13"/>
        <v>1.0217142982631787E-2</v>
      </c>
      <c r="F39" s="11">
        <f t="shared" si="14"/>
        <v>2.2646783964323392E-3</v>
      </c>
      <c r="G39">
        <f t="shared" si="11"/>
        <v>2.261625500213249E-3</v>
      </c>
      <c r="H39" s="10">
        <f t="shared" si="15"/>
        <v>0.13498681451912872</v>
      </c>
    </row>
    <row r="40" spans="1:8" x14ac:dyDescent="0.35">
      <c r="A40" s="1">
        <f>A39+$D$18</f>
        <v>0.20000000000000004</v>
      </c>
      <c r="B40" s="10">
        <f t="shared" ref="B40:B65" si="17">A40^2*COS(A40)</f>
        <v>3.9202663113649679E-2</v>
      </c>
      <c r="C40" s="10">
        <f t="shared" si="10"/>
        <v>0.38407985790469429</v>
      </c>
      <c r="D40" s="5">
        <f t="shared" si="12"/>
        <v>0.38404052258007376</v>
      </c>
      <c r="E40" s="10">
        <f t="shared" si="13"/>
        <v>1.0241444275447278E-2</v>
      </c>
      <c r="F40" s="11">
        <f t="shared" si="14"/>
        <v>2.6379434764392555E-3</v>
      </c>
      <c r="G40">
        <f t="shared" si="11"/>
        <v>2.634742778176713E-3</v>
      </c>
      <c r="H40" s="10">
        <f t="shared" si="15"/>
        <v>0.1214804833721727</v>
      </c>
    </row>
    <row r="41" spans="1:8" x14ac:dyDescent="0.35">
      <c r="A41" s="1">
        <f>A40+$D$18</f>
        <v>0.21000000000000005</v>
      </c>
      <c r="B41" s="10">
        <f t="shared" si="17"/>
        <v>4.3131163339334956E-2</v>
      </c>
      <c r="C41" s="10">
        <f t="shared" si="10"/>
        <v>0.40157990260092935</v>
      </c>
      <c r="D41" s="5">
        <f t="shared" si="12"/>
        <v>0.40153867169758251</v>
      </c>
      <c r="E41" s="10">
        <f t="shared" si="13"/>
        <v>1.0267173003380663E-2</v>
      </c>
      <c r="F41" s="11">
        <f t="shared" si="14"/>
        <v>3.0496126087041792E-3</v>
      </c>
      <c r="G41">
        <f t="shared" si="11"/>
        <v>3.0462660751561788E-3</v>
      </c>
      <c r="H41" s="10">
        <f t="shared" si="15"/>
        <v>0.10985690236624862</v>
      </c>
    </row>
    <row r="42" spans="1:8" x14ac:dyDescent="0.35">
      <c r="A42" s="1">
        <f>A41+$D$18</f>
        <v>0.22000000000000006</v>
      </c>
      <c r="B42" s="10">
        <f t="shared" si="17"/>
        <v>4.7233436547601336E-2</v>
      </c>
      <c r="C42" s="10">
        <f t="shared" si="10"/>
        <v>0.41883256394835244</v>
      </c>
      <c r="D42" s="5">
        <f t="shared" si="12"/>
        <v>0.41878944782246968</v>
      </c>
      <c r="E42" s="10">
        <f t="shared" si="13"/>
        <v>1.0294358556149697E-2</v>
      </c>
      <c r="F42" s="11">
        <f t="shared" si="14"/>
        <v>3.5014356081388611E-3</v>
      </c>
      <c r="G42">
        <f t="shared" si="11"/>
        <v>3.4979453008418537E-3</v>
      </c>
      <c r="H42" s="10">
        <f t="shared" si="15"/>
        <v>9.9781643131107836E-2</v>
      </c>
    </row>
    <row r="43" spans="1:8" x14ac:dyDescent="0.35">
      <c r="A43" s="1">
        <f>A42+$D$18</f>
        <v>0.23000000000000007</v>
      </c>
      <c r="B43" s="10">
        <f t="shared" si="17"/>
        <v>5.1506952295784357E-2</v>
      </c>
      <c r="C43" s="10">
        <f t="shared" si="10"/>
        <v>0.43582653070746102</v>
      </c>
      <c r="D43" s="5">
        <f t="shared" si="12"/>
        <v>0.43578154019377963</v>
      </c>
      <c r="E43" s="10">
        <f t="shared" si="13"/>
        <v>1.0323032333154729E-2</v>
      </c>
      <c r="F43" s="11">
        <f t="shared" si="14"/>
        <v>3.9951375523557897E-3</v>
      </c>
      <c r="G43">
        <f t="shared" si="11"/>
        <v>3.9915056271070393E-3</v>
      </c>
      <c r="H43" s="10">
        <f t="shared" si="15"/>
        <v>9.0991359853921178E-2</v>
      </c>
    </row>
    <row r="44" spans="1:8" x14ac:dyDescent="0.35">
      <c r="A44" s="1">
        <f>A43+$D$18</f>
        <v>0.24000000000000007</v>
      </c>
      <c r="B44" s="10">
        <f t="shared" si="17"/>
        <v>5.5949067351476936E-2</v>
      </c>
      <c r="C44" s="10">
        <f t="shared" si="10"/>
        <v>0.45255055664677141</v>
      </c>
      <c r="D44" s="5">
        <f t="shared" si="12"/>
        <v>0.45250370305654858</v>
      </c>
      <c r="E44" s="10">
        <f t="shared" si="13"/>
        <v>1.035322784044192E-2</v>
      </c>
      <c r="F44" s="11">
        <f t="shared" si="14"/>
        <v>4.5324176505920962E-3</v>
      </c>
      <c r="G44">
        <f t="shared" si="11"/>
        <v>4.5286463569080282E-3</v>
      </c>
      <c r="H44" s="10">
        <f t="shared" si="15"/>
        <v>8.3276400647077725E-2</v>
      </c>
    </row>
    <row r="45" spans="1:8" x14ac:dyDescent="0.35">
      <c r="A45" s="1">
        <f>A44+$D$18</f>
        <v>0.25000000000000006</v>
      </c>
      <c r="B45" s="10">
        <f t="shared" si="17"/>
        <v>6.0557026356915324E-2</v>
      </c>
      <c r="C45" s="10">
        <f t="shared" si="10"/>
        <v>0.46899346340191478</v>
      </c>
      <c r="D45" s="5">
        <f t="shared" si="12"/>
        <v>0.46894475852080991</v>
      </c>
      <c r="E45" s="10">
        <f t="shared" si="13"/>
        <v>1.038498079516462E-2</v>
      </c>
      <c r="F45" s="11">
        <f t="shared" si="14"/>
        <v>5.1149481191340562E-3</v>
      </c>
      <c r="G45">
        <f t="shared" si="11"/>
        <v>5.1110397996841916E-3</v>
      </c>
      <c r="H45" s="10">
        <f t="shared" si="15"/>
        <v>7.6468186573424982E-2</v>
      </c>
    </row>
    <row r="46" spans="1:8" x14ac:dyDescent="0.35">
      <c r="A46" s="1">
        <f>A45+$D$18</f>
        <v>0.26000000000000006</v>
      </c>
      <c r="B46" s="10">
        <f t="shared" si="17"/>
        <v>6.5327962521893129E-2</v>
      </c>
      <c r="C46" s="10">
        <f t="shared" si="10"/>
        <v>0.48514414332203731</v>
      </c>
      <c r="D46" s="5">
        <f t="shared" si="12"/>
        <v>0.4850935994079062</v>
      </c>
      <c r="E46" s="10">
        <f t="shared" si="13"/>
        <v>1.0418329238196581E-2</v>
      </c>
      <c r="F46" s="11">
        <f t="shared" si="14"/>
        <v>5.7443730635280991E-3</v>
      </c>
      <c r="G46">
        <f t="shared" si="11"/>
        <v>5.7403301535464135E-3</v>
      </c>
      <c r="H46" s="10">
        <f t="shared" si="15"/>
        <v>7.042992081540575E-2</v>
      </c>
    </row>
    <row r="47" spans="1:8" x14ac:dyDescent="0.35">
      <c r="A47" s="1">
        <f>A46+$D$18</f>
        <v>0.27000000000000007</v>
      </c>
      <c r="B47" s="10">
        <f t="shared" si="17"/>
        <v>7.0258898345073456E-2</v>
      </c>
      <c r="C47" s="10">
        <f t="shared" si="10"/>
        <v>0.50099156230296527</v>
      </c>
      <c r="D47" s="5">
        <f t="shared" si="12"/>
        <v>0.50093919208356685</v>
      </c>
      <c r="E47" s="10">
        <f t="shared" si="13"/>
        <v>1.0453313656157391E-2</v>
      </c>
      <c r="F47" s="11">
        <f t="shared" si="14"/>
        <v>6.4223073678629323E-3</v>
      </c>
      <c r="G47">
        <f t="shared" si="11"/>
        <v>6.4181323945343705E-3</v>
      </c>
      <c r="H47" s="10">
        <f t="shared" si="15"/>
        <v>6.5049660429523648E-2</v>
      </c>
    </row>
    <row r="48" spans="1:8" x14ac:dyDescent="0.35">
      <c r="A48" s="1">
        <f>A47+$D$18</f>
        <v>0.28000000000000008</v>
      </c>
      <c r="B48" s="10">
        <f t="shared" si="17"/>
        <v>7.5346746363564476E-2</v>
      </c>
      <c r="C48" s="10">
        <f t="shared" si="10"/>
        <v>0.51652476260660529</v>
      </c>
      <c r="D48" s="5">
        <f t="shared" si="12"/>
        <v>0.51647057927722095</v>
      </c>
      <c r="E48" s="10">
        <f t="shared" si="13"/>
        <v>1.0489977113760483E-2</v>
      </c>
      <c r="F48" s="11">
        <f t="shared" si="14"/>
        <v>7.1503355914061227E-3</v>
      </c>
      <c r="G48">
        <f t="shared" si="11"/>
        <v>7.1460311732307602E-3</v>
      </c>
      <c r="H48" s="10">
        <f t="shared" si="15"/>
        <v>6.0235088135173288E-2</v>
      </c>
    </row>
    <row r="49" spans="1:8" x14ac:dyDescent="0.35">
      <c r="A49" s="1">
        <f>A48+$D$18</f>
        <v>0.29000000000000009</v>
      </c>
      <c r="B49" s="10">
        <f t="shared" si="17"/>
        <v>8.0588309930617885E-2</v>
      </c>
      <c r="C49" s="10">
        <f t="shared" si="10"/>
        <v>0.53173286566604783</v>
      </c>
      <c r="D49" s="5">
        <f t="shared" si="12"/>
        <v>0.53167688288700576</v>
      </c>
      <c r="E49" s="10">
        <f t="shared" si="13"/>
        <v>1.0528365398655416E-2</v>
      </c>
      <c r="F49" s="11">
        <f t="shared" si="14"/>
        <v>7.9300108728770358E-3</v>
      </c>
      <c r="G49">
        <f t="shared" si="11"/>
        <v>7.9255797190098676E-3</v>
      </c>
      <c r="H49" s="10">
        <f t="shared" si="15"/>
        <v>5.5909523647082439E-2</v>
      </c>
    </row>
    <row r="50" spans="1:8" x14ac:dyDescent="0.35">
      <c r="A50" s="1">
        <f>A49+$D$18</f>
        <v>0.3000000000000001</v>
      </c>
      <c r="B50" s="10">
        <f t="shared" si="17"/>
        <v>8.5980284021304601E-2</v>
      </c>
      <c r="C50" s="10">
        <f t="shared" si="10"/>
        <v>0.5466050748758432</v>
      </c>
      <c r="D50" s="5">
        <f t="shared" si="12"/>
        <v>0.54654730676996177</v>
      </c>
      <c r="E50" s="10">
        <f t="shared" si="13"/>
        <v>1.0568527175593801E-2</v>
      </c>
      <c r="F50" s="11">
        <f t="shared" si="14"/>
        <v>8.762853842636649E-3</v>
      </c>
      <c r="G50">
        <f t="shared" si="11"/>
        <v>8.7582987522050182E-3</v>
      </c>
      <c r="H50" s="10">
        <f t="shared" si="15"/>
        <v>5.2008849669394598E-2</v>
      </c>
    </row>
    <row r="51" spans="1:8" x14ac:dyDescent="0.35">
      <c r="A51" s="1">
        <f>A50+$D$18</f>
        <v>0.31000000000000011</v>
      </c>
      <c r="B51" s="10">
        <f t="shared" si="17"/>
        <v>9.1519256066017129E-2</v>
      </c>
      <c r="C51" s="10">
        <f t="shared" si="10"/>
        <v>0.56113067836692754</v>
      </c>
      <c r="D51" s="5">
        <f t="shared" si="12"/>
        <v>0.56107113951687027</v>
      </c>
      <c r="E51" s="10">
        <f t="shared" si="13"/>
        <v>1.0610514155196402E-2</v>
      </c>
      <c r="F51" s="11">
        <f t="shared" si="14"/>
        <v>9.650351543073258E-3</v>
      </c>
      <c r="G51">
        <f t="shared" si="11"/>
        <v>9.6456754044702553E-3</v>
      </c>
      <c r="H51" s="10">
        <f t="shared" si="15"/>
        <v>4.8479120506538416E-2</v>
      </c>
    </row>
    <row r="52" spans="1:8" x14ac:dyDescent="0.35">
      <c r="A52" s="1">
        <f>A51+$D$18</f>
        <v>0.32000000000000012</v>
      </c>
      <c r="B52" s="10">
        <f t="shared" si="17"/>
        <v>9.7201706811642016E-2</v>
      </c>
      <c r="C52" s="10">
        <f t="shared" si="10"/>
        <v>0.57529905176567186</v>
      </c>
      <c r="D52" s="5">
        <f t="shared" si="12"/>
        <v>0.57523775721121329</v>
      </c>
      <c r="E52" s="10">
        <f t="shared" si="13"/>
        <v>1.0654381277086806E-2</v>
      </c>
      <c r="F52" s="11">
        <f t="shared" si="14"/>
        <v>1.0593956357461555E-2</v>
      </c>
      <c r="G52">
        <f t="shared" si="11"/>
        <v>1.0589162147617182E-2</v>
      </c>
      <c r="H52" s="10">
        <f t="shared" si="15"/>
        <v>4.5274685357918211E-2</v>
      </c>
    </row>
    <row r="53" spans="1:8" x14ac:dyDescent="0.35">
      <c r="A53" s="1">
        <f>A52+$D$18</f>
        <v>0.33000000000000013</v>
      </c>
      <c r="B53" s="10">
        <f t="shared" si="17"/>
        <v>0.10302401121024141</v>
      </c>
      <c r="C53" s="10">
        <f t="shared" si="10"/>
        <v>0.58909966093653432</v>
      </c>
      <c r="D53" s="5">
        <f t="shared" si="12"/>
        <v>0.58903662617174424</v>
      </c>
      <c r="E53" s="10">
        <f t="shared" si="13"/>
        <v>1.0700186907232479E-2</v>
      </c>
      <c r="F53" s="11">
        <f t="shared" si="14"/>
        <v>1.1595084947570973E-2</v>
      </c>
      <c r="G53">
        <f t="shared" si="11"/>
        <v>1.1590175731199803E-2</v>
      </c>
      <c r="H53" s="10">
        <f t="shared" si="15"/>
        <v>4.2356703513605015E-2</v>
      </c>
    </row>
    <row r="54" spans="1:8" x14ac:dyDescent="0.35">
      <c r="A54" s="1">
        <f>A53+$D$18</f>
        <v>0.34000000000000014</v>
      </c>
      <c r="B54" s="10">
        <f t="shared" si="17"/>
        <v>0.10898243933507691</v>
      </c>
      <c r="C54" s="10">
        <f t="shared" si="10"/>
        <v>0.60252206470779746</v>
      </c>
      <c r="D54" s="5">
        <f t="shared" si="12"/>
        <v>0.6024573056781295</v>
      </c>
      <c r="E54" s="10">
        <f t="shared" si="13"/>
        <v>1.074799305472174E-2</v>
      </c>
      <c r="F54" s="11">
        <f t="shared" si="14"/>
        <v>1.2655117200297565E-2</v>
      </c>
      <c r="G54">
        <f t="shared" si="11"/>
        <v>1.2650096129124822E-2</v>
      </c>
      <c r="H54" s="10">
        <f t="shared" si="15"/>
        <v>3.9691960610352357E-2</v>
      </c>
    </row>
    <row r="55" spans="1:8" x14ac:dyDescent="0.35">
      <c r="A55" s="1">
        <f>A54+$D$18</f>
        <v>0.35000000000000014</v>
      </c>
      <c r="B55" s="10">
        <f t="shared" si="17"/>
        <v>0.11507315732380401</v>
      </c>
      <c r="C55" s="10">
        <f t="shared" si="10"/>
        <v>0.6155559175798726</v>
      </c>
      <c r="D55" s="5">
        <f t="shared" si="12"/>
        <v>0.61548945067917638</v>
      </c>
      <c r="E55" s="10">
        <f t="shared" si="13"/>
        <v>1.0797865603753624E-2</v>
      </c>
      <c r="F55" s="11">
        <f t="shared" si="14"/>
        <v>1.3775395183591971E-2</v>
      </c>
      <c r="G55">
        <f t="shared" si="11"/>
        <v>1.3770265495555267E-2</v>
      </c>
      <c r="H55" s="10">
        <f t="shared" si="15"/>
        <v>3.7251918188209943E-2</v>
      </c>
    </row>
    <row r="56" spans="1:8" x14ac:dyDescent="0.35">
      <c r="A56" s="1">
        <f>A55+$D$18</f>
        <v>0.36000000000000015</v>
      </c>
      <c r="B56" s="10">
        <f t="shared" si="17"/>
        <v>0.12129222834866045</v>
      </c>
      <c r="C56" s="10">
        <f t="shared" si="10"/>
        <v>0.62819097241566169</v>
      </c>
      <c r="D56" s="5">
        <f t="shared" si="12"/>
        <v>0.62812281448311069</v>
      </c>
      <c r="E56" s="10">
        <f t="shared" si="13"/>
        <v>1.0849874567426167E-2</v>
      </c>
      <c r="F56" s="11">
        <f t="shared" si="14"/>
        <v>1.4957222111954294E-2</v>
      </c>
      <c r="G56">
        <f t="shared" si="11"/>
        <v>1.4951987130384925E-2</v>
      </c>
      <c r="H56" s="10">
        <f t="shared" si="15"/>
        <v>3.5011945393737184E-2</v>
      </c>
    </row>
    <row r="57" spans="1:8" x14ac:dyDescent="0.35">
      <c r="A57" s="1">
        <f>A56+$D$18</f>
        <v>0.37000000000000016</v>
      </c>
      <c r="B57" s="10">
        <f t="shared" si="17"/>
        <v>0.12763561361346623</v>
      </c>
      <c r="C57" s="10">
        <f t="shared" si="10"/>
        <v>0.64041708311246237</v>
      </c>
      <c r="D57" s="5">
        <f t="shared" si="12"/>
        <v>0.64034725142938664</v>
      </c>
      <c r="E57" s="10">
        <f t="shared" si="13"/>
        <v>1.0904094365556498E-2</v>
      </c>
      <c r="F57" s="11">
        <f t="shared" si="14"/>
        <v>1.6201861321764929E-2</v>
      </c>
      <c r="G57">
        <f t="shared" si="11"/>
        <v>1.6196524454544892E-2</v>
      </c>
      <c r="H57" s="10">
        <f t="shared" si="15"/>
        <v>3.2950694051768682E-2</v>
      </c>
    </row>
    <row r="58" spans="1:8" x14ac:dyDescent="0.35">
      <c r="A58" s="1">
        <f>A57+$D$18</f>
        <v>0.38000000000000017</v>
      </c>
      <c r="B58" s="10">
        <f t="shared" si="17"/>
        <v>0.13409917337724819</v>
      </c>
      <c r="C58" s="10">
        <f t="shared" si="10"/>
        <v>0.65222420725491326</v>
      </c>
      <c r="D58" s="5">
        <f t="shared" si="12"/>
        <v>0.6521527195415594</v>
      </c>
      <c r="E58" s="10">
        <f t="shared" si="13"/>
        <v>1.0960604123348205E-2</v>
      </c>
      <c r="F58" s="11">
        <f t="shared" si="14"/>
        <v>1.7510535256718501E-2</v>
      </c>
      <c r="G58">
        <f t="shared" si="11"/>
        <v>1.7505099995417051E-2</v>
      </c>
      <c r="H58" s="10">
        <f t="shared" si="15"/>
        <v>3.1049587279557186E-2</v>
      </c>
    </row>
    <row r="59" spans="1:8" x14ac:dyDescent="0.35">
      <c r="A59" s="1">
        <f>A58+$D$18</f>
        <v>0.39000000000000018</v>
      </c>
      <c r="B59" s="10">
        <f t="shared" si="17"/>
        <v>0.14067866800429743</v>
      </c>
      <c r="C59" s="10">
        <f t="shared" si="10"/>
        <v>0.66360240874847154</v>
      </c>
      <c r="D59" s="5">
        <f t="shared" si="12"/>
        <v>0.6635292831606765</v>
      </c>
      <c r="E59" s="10">
        <f t="shared" si="13"/>
        <v>1.1019487999290735E-2</v>
      </c>
      <c r="F59" s="11">
        <f t="shared" si="14"/>
        <v>1.8884424463626232E-2</v>
      </c>
      <c r="G59">
        <f t="shared" si="11"/>
        <v>1.8878894382614142E-2</v>
      </c>
      <c r="H59" s="10">
        <f t="shared" si="15"/>
        <v>2.9292398696727978E-2</v>
      </c>
    </row>
    <row r="60" spans="1:8" x14ac:dyDescent="0.35">
      <c r="A60" s="1">
        <f>A59+$D$18</f>
        <v>0.40000000000000019</v>
      </c>
      <c r="B60" s="10">
        <f t="shared" si="17"/>
        <v>0.14736975904046173</v>
      </c>
      <c r="C60" s="10">
        <f t="shared" si="10"/>
        <v>0.67454186043292419</v>
      </c>
      <c r="D60" s="5">
        <f t="shared" si="12"/>
        <v>0.67446711555870031</v>
      </c>
      <c r="E60" s="10">
        <f t="shared" si="13"/>
        <v>1.1080835543090509E-2</v>
      </c>
      <c r="F60" s="11">
        <f t="shared" si="14"/>
        <v>2.032466659885003E-2</v>
      </c>
      <c r="G60">
        <f t="shared" si="11"/>
        <v>2.0319045354391219E-2</v>
      </c>
      <c r="H60" s="10">
        <f t="shared" si="15"/>
        <v>2.7664904333691048E-2</v>
      </c>
    </row>
    <row r="61" spans="1:8" x14ac:dyDescent="0.35">
      <c r="A61" s="1">
        <f>A60+$D$18</f>
        <v>0.4100000000000002</v>
      </c>
      <c r="B61" s="10">
        <f t="shared" si="17"/>
        <v>0.15416801031547145</v>
      </c>
      <c r="C61" s="10">
        <f t="shared" si="10"/>
        <v>0.68503284667543496</v>
      </c>
      <c r="D61" s="5">
        <f t="shared" si="12"/>
        <v>0.68495650153147869</v>
      </c>
      <c r="E61" s="10">
        <f t="shared" si="13"/>
        <v>1.1144742084526781E-2</v>
      </c>
      <c r="F61" s="11">
        <f t="shared" si="14"/>
        <v>2.1832355445629698E-2</v>
      </c>
      <c r="G61">
        <f t="shared" si="11"/>
        <v>2.1826646774951941E-2</v>
      </c>
      <c r="H61" s="10">
        <f t="shared" si="15"/>
        <v>2.6154593220923457E-2</v>
      </c>
    </row>
    <row r="62" spans="1:8" x14ac:dyDescent="0.35">
      <c r="A62" s="1">
        <f>A61+$D$18</f>
        <v>0.42000000000000021</v>
      </c>
      <c r="B62" s="10">
        <f t="shared" si="17"/>
        <v>0.16106888907109132</v>
      </c>
      <c r="C62" s="10">
        <f t="shared" si="10"/>
        <v>0.69506576594263092</v>
      </c>
      <c r="D62" s="5">
        <f t="shared" si="12"/>
        <v>0.69498783997074753</v>
      </c>
      <c r="E62" s="10">
        <f t="shared" si="13"/>
        <v>1.1211309159746132E-2</v>
      </c>
      <c r="F62" s="11">
        <f t="shared" si="14"/>
        <v>2.3408539942562513E-2</v>
      </c>
      <c r="G62">
        <f t="shared" si="11"/>
        <v>2.3402747662906731E-2</v>
      </c>
      <c r="H62" s="10">
        <f t="shared" si="15"/>
        <v>2.4750425630418193E-2</v>
      </c>
    </row>
    <row r="63" spans="1:8" x14ac:dyDescent="0.35">
      <c r="A63" s="1">
        <f>A62+$D$18</f>
        <v>0.43000000000000022</v>
      </c>
      <c r="B63" s="10">
        <f t="shared" si="17"/>
        <v>0.16806776711488641</v>
      </c>
      <c r="C63" s="10">
        <f t="shared" si="10"/>
        <v>0.70463113335124039</v>
      </c>
      <c r="D63" s="5">
        <f t="shared" si="12"/>
        <v>0.70455164641468693</v>
      </c>
      <c r="E63" s="10">
        <f t="shared" si="13"/>
        <v>1.1280644977382971E-2</v>
      </c>
      <c r="F63" s="11">
        <f t="shared" si="14"/>
        <v>2.5054223223492402E-2</v>
      </c>
      <c r="G63">
        <f t="shared" si="11"/>
        <v>2.5048351231140797E-2</v>
      </c>
      <c r="H63" s="10">
        <f t="shared" si="15"/>
        <v>2.3442630205154934E-2</v>
      </c>
    </row>
    <row r="64" spans="1:8" x14ac:dyDescent="0.35">
      <c r="A64" s="1">
        <f>A63+$D$18</f>
        <v>0.44000000000000022</v>
      </c>
      <c r="B64" s="10">
        <f t="shared" si="17"/>
        <v>0.17515992199938507</v>
      </c>
      <c r="C64" s="10">
        <f t="shared" si="10"/>
        <v>0.71371958319679052</v>
      </c>
      <c r="D64" s="5">
        <f t="shared" si="12"/>
        <v>0.71363855557654088</v>
      </c>
      <c r="E64" s="10">
        <f t="shared" si="13"/>
        <v>1.1352864928647944E-2</v>
      </c>
      <c r="F64" s="11">
        <f t="shared" si="14"/>
        <v>2.6770361669063762E-2</v>
      </c>
      <c r="G64">
        <f t="shared" si="11"/>
        <v>2.6764413938346165E-2</v>
      </c>
      <c r="H64" s="10">
        <f t="shared" si="15"/>
        <v>2.222253299212076E-2</v>
      </c>
    </row>
    <row r="65" spans="1:8" x14ac:dyDescent="0.35">
      <c r="A65" s="1">
        <f>A64+$D$18</f>
        <v>0.45000000000000023</v>
      </c>
      <c r="B65" s="10">
        <f t="shared" si="17"/>
        <v>0.18234053822641724</v>
      </c>
      <c r="C65" s="10">
        <f t="shared" si="10"/>
        <v>0.72232187145988525</v>
      </c>
      <c r="D65" s="5">
        <f t="shared" si="12"/>
        <v>0.72223932385081313</v>
      </c>
      <c r="E65" s="10">
        <f t="shared" si="13"/>
        <v>1.1428092147518311E-2</v>
      </c>
      <c r="F65" s="11">
        <f t="shared" si="14"/>
        <v>2.8557863970192776E-2</v>
      </c>
      <c r="G65">
        <f t="shared" si="11"/>
        <v>2.8551844552472949E-2</v>
      </c>
      <c r="H65" s="10">
        <f t="shared" si="15"/>
        <v>2.1082412762385223E-2</v>
      </c>
    </row>
    <row r="66" spans="1:8" x14ac:dyDescent="0.35">
      <c r="A66" s="1">
        <f>A65+$D$18</f>
        <v>0.46000000000000024</v>
      </c>
      <c r="B66" s="10">
        <f t="shared" ref="B66:B120" si="18">A66^2*COS(A66)</f>
        <v>0.18960470847640135</v>
      </c>
      <c r="C66" s="10">
        <f t="shared" si="10"/>
        <v>0.73042887828957948</v>
      </c>
      <c r="D66" s="5">
        <f t="shared" si="12"/>
        <v>0.7303448317965554</v>
      </c>
      <c r="E66" s="10">
        <f t="shared" si="13"/>
        <v>1.1506458126474835E-2</v>
      </c>
      <c r="F66" s="11">
        <f t="shared" si="14"/>
        <v>3.0417590203706872E-2</v>
      </c>
      <c r="G66">
        <f t="shared" si="11"/>
        <v>3.041150322634778E-2</v>
      </c>
      <c r="H66" s="10">
        <f t="shared" si="15"/>
        <v>2.0015378108038582E-2</v>
      </c>
    </row>
    <row r="67" spans="1:8" x14ac:dyDescent="0.35">
      <c r="A67" s="1">
        <f>A66+$D$18</f>
        <v>0.47000000000000025</v>
      </c>
      <c r="B67" s="10">
        <f t="shared" si="18"/>
        <v>0.19694743486234836</v>
      </c>
      <c r="C67" s="10">
        <f t="shared" si="10"/>
        <v>0.73803161046337329</v>
      </c>
      <c r="D67" s="5">
        <f t="shared" si="12"/>
        <v>0.73794608659729444</v>
      </c>
      <c r="E67" s="10">
        <f t="shared" si="13"/>
        <v>1.1588103391012664E-2</v>
      </c>
      <c r="F67" s="11">
        <f t="shared" si="14"/>
        <v>3.2350350920400624E-2</v>
      </c>
      <c r="G67">
        <f t="shared" si="11"/>
        <v>3.2344200585708971E-2</v>
      </c>
      <c r="H67" s="10">
        <f t="shared" si="15"/>
        <v>1.9015262644550401E-2</v>
      </c>
    </row>
    <row r="68" spans="1:8" x14ac:dyDescent="0.35">
      <c r="A68" s="1">
        <f>A67+$D$18</f>
        <v>0.48000000000000026</v>
      </c>
      <c r="B68" s="10">
        <f t="shared" si="18"/>
        <v>0.20436363020834725</v>
      </c>
      <c r="C68" s="10">
        <f t="shared" si="10"/>
        <v>0.74512120382335534</v>
      </c>
      <c r="D68" s="5">
        <f t="shared" si="12"/>
        <v>0.74503422449709944</v>
      </c>
      <c r="E68" s="10">
        <f t="shared" si="13"/>
        <v>1.167317824396771E-2</v>
      </c>
      <c r="F68" s="11">
        <f t="shared" si="14"/>
        <v>3.4356906245754104E-2</v>
      </c>
      <c r="G68">
        <f t="shared" si="11"/>
        <v>3.435069682990477E-2</v>
      </c>
      <c r="H68" s="10">
        <f t="shared" si="15"/>
        <v>1.807653533225697E-2</v>
      </c>
    </row>
    <row r="69" spans="1:8" x14ac:dyDescent="0.35">
      <c r="A69" s="1">
        <f>A68+$D$18</f>
        <v>0.49000000000000027</v>
      </c>
      <c r="B69" s="10">
        <f t="shared" si="18"/>
        <v>0.21184811935229036</v>
      </c>
      <c r="C69" s="10">
        <f t="shared" si="10"/>
        <v>0.75168892568802415</v>
      </c>
      <c r="D69" s="5">
        <f t="shared" si="12"/>
        <v>0.75160051321230692</v>
      </c>
      <c r="E69" s="10">
        <f t="shared" si="13"/>
        <v>1.1761843589261505E-2</v>
      </c>
      <c r="F69" s="11">
        <f t="shared" si="14"/>
        <v>3.6437964993557295E-2</v>
      </c>
      <c r="G69">
        <f t="shared" si="11"/>
        <v>3.6431700845498072E-2</v>
      </c>
      <c r="H69" s="10">
        <f t="shared" si="15"/>
        <v>1.7194223475288432E-2</v>
      </c>
    </row>
    <row r="70" spans="1:8" x14ac:dyDescent="0.35">
      <c r="A70" s="1">
        <f>A69+$D$18</f>
        <v>0.50000000000000022</v>
      </c>
      <c r="B70" s="10">
        <f t="shared" si="18"/>
        <v>0.21939564047259336</v>
      </c>
      <c r="C70" s="10">
        <f t="shared" si="10"/>
        <v>0.75772617723932223</v>
      </c>
      <c r="D70" s="5">
        <f t="shared" si="12"/>
        <v>0.75763635431848753</v>
      </c>
      <c r="E70" s="10">
        <f t="shared" si="13"/>
        <v>1.1854271837613119E-2</v>
      </c>
      <c r="F70" s="11">
        <f t="shared" si="14"/>
        <v>3.8594183792681702E-2</v>
      </c>
      <c r="G70">
        <f t="shared" si="11"/>
        <v>3.858786933301761E-2</v>
      </c>
      <c r="H70" s="10">
        <f t="shared" si="15"/>
        <v>1.6363846393272822E-2</v>
      </c>
    </row>
    <row r="71" spans="1:8" x14ac:dyDescent="0.35">
      <c r="A71" s="1">
        <f>A70+$D$18</f>
        <v>0.51000000000000023</v>
      </c>
      <c r="B71" s="10">
        <f t="shared" si="18"/>
        <v>0.22700084643866009</v>
      </c>
      <c r="C71" s="10">
        <f t="shared" si="10"/>
        <v>0.7632244958844222</v>
      </c>
      <c r="D71" s="5">
        <f t="shared" si="12"/>
        <v>0.76313328561216709</v>
      </c>
      <c r="E71" s="10">
        <f t="shared" si="13"/>
        <v>1.1950647908571303E-2</v>
      </c>
      <c r="F71" s="11">
        <f t="shared" si="14"/>
        <v>4.0826166227237969E-2</v>
      </c>
      <c r="G71">
        <f t="shared" si="11"/>
        <v>4.0819805947095666E-2</v>
      </c>
      <c r="H71" s="10">
        <f t="shared" si="15"/>
        <v>1.5581358104801683E-2</v>
      </c>
    </row>
    <row r="72" spans="1:8" x14ac:dyDescent="0.35">
      <c r="A72" s="1">
        <f>A71+$D$18</f>
        <v>0.52000000000000024</v>
      </c>
      <c r="B72" s="10">
        <f t="shared" si="18"/>
        <v>0.23465830618483671</v>
      </c>
      <c r="C72" s="10">
        <f t="shared" si="10"/>
        <v>0.76817555759180955</v>
      </c>
      <c r="D72" s="5">
        <f t="shared" si="12"/>
        <v>0.7680829834468238</v>
      </c>
      <c r="E72" s="10">
        <f t="shared" si="13"/>
        <v>1.2051170343921471E-2</v>
      </c>
      <c r="F72" s="11">
        <f t="shared" si="14"/>
        <v>4.3134461990355456E-2</v>
      </c>
      <c r="G72">
        <f t="shared" si="11"/>
        <v>4.3128060450228878E-2</v>
      </c>
      <c r="H72" s="10">
        <f t="shared" si="15"/>
        <v>1.484309764860881E-2</v>
      </c>
    </row>
    <row r="73" spans="1:8" x14ac:dyDescent="0.35">
      <c r="A73" s="1">
        <f>A72+$D$18</f>
        <v>0.53000000000000025</v>
      </c>
      <c r="B73" s="10">
        <f t="shared" si="18"/>
        <v>0.24236250610759658</v>
      </c>
      <c r="C73" s="10">
        <f t="shared" si="10"/>
        <v>0.77257117920120533</v>
      </c>
      <c r="D73" s="5">
        <f t="shared" si="12"/>
        <v>0.77247726504273206</v>
      </c>
      <c r="E73" s="10">
        <f t="shared" si="13"/>
        <v>1.2156052542675056E-2</v>
      </c>
      <c r="F73" s="11">
        <f t="shared" si="14"/>
        <v>4.5519566051817624E-2</v>
      </c>
      <c r="G73">
        <f t="shared" si="11"/>
        <v>4.5513127880394411E-2</v>
      </c>
      <c r="H73" s="10">
        <f t="shared" si="15"/>
        <v>1.4145745904637679E-2</v>
      </c>
    </row>
    <row r="74" spans="1:8" x14ac:dyDescent="0.35">
      <c r="A74" s="1">
        <f>A73+$D$18</f>
        <v>0.54000000000000026</v>
      </c>
      <c r="B74" s="10">
        <f t="shared" si="18"/>
        <v>0.25010785148569137</v>
      </c>
      <c r="C74" s="10">
        <f t="shared" si="10"/>
        <v>0.77640332070688234</v>
      </c>
      <c r="D74" s="5">
        <f t="shared" si="12"/>
        <v>0.77630809077020513</v>
      </c>
      <c r="E74" s="10">
        <f t="shared" si="13"/>
        <v>1.2265524133836447E-2</v>
      </c>
      <c r="F74" s="11">
        <f t="shared" si="14"/>
        <v>4.7981917839784068E-2</v>
      </c>
      <c r="G74">
        <f t="shared" si="11"/>
        <v>4.7975447732751753E-2</v>
      </c>
      <c r="H74" s="10">
        <f t="shared" si="15"/>
        <v>1.3486287962036143E-2</v>
      </c>
    </row>
    <row r="75" spans="1:8" x14ac:dyDescent="0.35">
      <c r="A75" s="1">
        <f>A74+$D$18</f>
        <v>0.55000000000000027</v>
      </c>
      <c r="B75" s="10">
        <f t="shared" si="18"/>
        <v>0.25788866792300069</v>
      </c>
      <c r="C75" s="10">
        <f t="shared" si="10"/>
        <v>0.77966408751393201</v>
      </c>
      <c r="D75" s="5">
        <f t="shared" si="12"/>
        <v>0.77956756640580815</v>
      </c>
      <c r="E75" s="10">
        <f t="shared" si="13"/>
        <v>1.2379832503460602E-2</v>
      </c>
      <c r="F75" s="11">
        <f t="shared" si="14"/>
        <v>5.0521900436827527E-2</v>
      </c>
      <c r="G75">
        <f t="shared" si="11"/>
        <v>5.0515403155662275E-2</v>
      </c>
      <c r="H75" s="10">
        <f t="shared" si="15"/>
        <v>1.286198022656712E-2</v>
      </c>
    </row>
    <row r="76" spans="1:8" x14ac:dyDescent="0.35">
      <c r="A76" s="1">
        <f>A75+$D$18</f>
        <v>0.56000000000000028</v>
      </c>
      <c r="B76" s="10">
        <f t="shared" si="18"/>
        <v>0.26569920281380754</v>
      </c>
      <c r="C76" s="10">
        <f t="shared" si="10"/>
        <v>0.78234573266703711</v>
      </c>
      <c r="D76" s="5">
        <f t="shared" si="12"/>
        <v>0.78224794536103026</v>
      </c>
      <c r="E76" s="10">
        <f t="shared" si="13"/>
        <v>1.2499244505812966E-2</v>
      </c>
      <c r="F76" s="11">
        <f t="shared" si="14"/>
        <v>5.3139839790511567E-2</v>
      </c>
      <c r="G76">
        <f t="shared" si="11"/>
        <v>5.3133320161248498E-2</v>
      </c>
      <c r="H76" s="10">
        <f t="shared" si="15"/>
        <v>1.2270321604753845E-2</v>
      </c>
    </row>
    <row r="77" spans="1:8" x14ac:dyDescent="0.35">
      <c r="A77" s="1">
        <f>A76+$D$18</f>
        <v>0.57000000000000028</v>
      </c>
      <c r="B77" s="10">
        <f t="shared" si="18"/>
        <v>0.27353362683022131</v>
      </c>
      <c r="C77" s="10">
        <f t="shared" si="10"/>
        <v>0.78444065905131977</v>
      </c>
      <c r="D77" s="5">
        <f t="shared" si="12"/>
        <v>0.78434163088308073</v>
      </c>
      <c r="E77" s="10">
        <f t="shared" si="13"/>
        <v>1.2624048370822169E-2</v>
      </c>
      <c r="F77" s="11">
        <f t="shared" si="14"/>
        <v>5.5836003938731713E-2</v>
      </c>
      <c r="G77">
        <f t="shared" si="11"/>
        <v>5.5829466850714549E-2</v>
      </c>
      <c r="H77" s="10">
        <f t="shared" si="15"/>
        <v>1.170902819946997E-2</v>
      </c>
    </row>
    <row r="78" spans="1:8" x14ac:dyDescent="0.35">
      <c r="A78" s="1">
        <f>A77+$D$18</f>
        <v>0.58000000000000029</v>
      </c>
      <c r="B78" s="10">
        <f t="shared" si="18"/>
        <v>0.28138603543146917</v>
      </c>
      <c r="C78" s="10">
        <f t="shared" si="10"/>
        <v>0.78594142156483071</v>
      </c>
      <c r="D78" s="5">
        <f t="shared" si="12"/>
        <v>0.7858411782272916</v>
      </c>
      <c r="E78" s="10">
        <f t="shared" si="13"/>
        <v>1.2754555847116497E-2</v>
      </c>
      <c r="F78" s="11">
        <f t="shared" si="14"/>
        <v>5.8610602250040167E-2</v>
      </c>
      <c r="G78">
        <f t="shared" si="11"/>
        <v>5.860405265465618E-2</v>
      </c>
      <c r="H78" s="10">
        <f t="shared" si="15"/>
        <v>1.1176011021937951E-2</v>
      </c>
    </row>
    <row r="79" spans="1:8" x14ac:dyDescent="0.35">
      <c r="A79" s="1">
        <f>A78+$D$18</f>
        <v>0.5900000000000003</v>
      </c>
      <c r="B79" s="10">
        <f t="shared" si="18"/>
        <v>0.28925045039476716</v>
      </c>
      <c r="C79" s="10">
        <f t="shared" si="10"/>
        <v>0.7868407292622529</v>
      </c>
      <c r="D79" s="5">
        <f t="shared" si="12"/>
        <v>0.78673929680076127</v>
      </c>
      <c r="E79" s="10">
        <f t="shared" si="13"/>
        <v>1.2891104605977735E-2</v>
      </c>
      <c r="F79" s="11">
        <f t="shared" si="14"/>
        <v>6.1463784679171352E-2</v>
      </c>
      <c r="G79">
        <f t="shared" si="11"/>
        <v>6.1457227588565533E-2</v>
      </c>
      <c r="H79" s="10">
        <f t="shared" si="15"/>
        <v>1.066935633627371E-2</v>
      </c>
    </row>
    <row r="80" spans="1:8" x14ac:dyDescent="0.35">
      <c r="A80" s="1">
        <f>A79+$D$18</f>
        <v>0.60000000000000031</v>
      </c>
      <c r="B80" s="10">
        <f t="shared" si="18"/>
        <v>0.29712082136748441</v>
      </c>
      <c r="C80" s="10">
        <f t="shared" si="10"/>
        <v>0.78713144746940122</v>
      </c>
      <c r="D80" s="5">
        <f t="shared" si="12"/>
        <v>0.7870288522767992</v>
      </c>
      <c r="E80" s="10">
        <f t="shared" si="13"/>
        <v>1.3034060947744919E-2</v>
      </c>
      <c r="F80" s="11">
        <f t="shared" si="14"/>
        <v>6.4395641037982607E-2</v>
      </c>
      <c r="G80">
        <f t="shared" si="11"/>
        <v>6.4389081523756109E-2</v>
      </c>
      <c r="H80" s="10">
        <f t="shared" si="15"/>
        <v>1.0187308269147793E-2</v>
      </c>
    </row>
    <row r="81" spans="1:8" x14ac:dyDescent="0.35">
      <c r="A81" s="1">
        <f>A80+$D$18</f>
        <v>0.61000000000000032</v>
      </c>
      <c r="B81" s="10">
        <f t="shared" si="18"/>
        <v>0.30499102744030315</v>
      </c>
      <c r="C81" s="10">
        <f t="shared" si="10"/>
        <v>0.78680659986809598</v>
      </c>
      <c r="D81" s="5">
        <f t="shared" si="12"/>
        <v>0.78670286867969441</v>
      </c>
      <c r="E81" s="10">
        <f t="shared" si="13"/>
        <v>1.3183822863071805E-2</v>
      </c>
      <c r="F81" s="11">
        <f t="shared" si="14"/>
        <v>6.7406200282021544E-2</v>
      </c>
      <c r="G81">
        <f t="shared" si="11"/>
        <v>6.7399643473911697E-2</v>
      </c>
      <c r="H81" s="10">
        <f t="shared" si="15"/>
        <v>9.7282534029807556E-3</v>
      </c>
    </row>
    <row r="82" spans="1:8" x14ac:dyDescent="0.35">
      <c r="A82" s="1">
        <f>A81+$D$18</f>
        <v>0.62000000000000033</v>
      </c>
      <c r="B82" s="10">
        <f t="shared" si="18"/>
        <v>0.31285487874107831</v>
      </c>
      <c r="C82" s="10">
        <f t="shared" si="10"/>
        <v>0.78585937055100208</v>
      </c>
      <c r="D82" s="5">
        <f t="shared" si="12"/>
        <v>0.78575453043950794</v>
      </c>
      <c r="E82" s="10">
        <f t="shared" si="13"/>
        <v>1.3340823488639447E-2</v>
      </c>
      <c r="F82" s="11">
        <f t="shared" si="14"/>
        <v>7.0495429812928459E-2</v>
      </c>
      <c r="G82">
        <f t="shared" si="11"/>
        <v>7.0488880897472184E-2</v>
      </c>
      <c r="H82" s="10">
        <f t="shared" si="15"/>
        <v>9.2907070915211418E-3</v>
      </c>
    </row>
    <row r="83" spans="1:8" x14ac:dyDescent="0.35">
      <c r="A83" s="1">
        <f>A82+$D$18</f>
        <v>0.63000000000000034</v>
      </c>
      <c r="B83" s="10">
        <f t="shared" si="18"/>
        <v>0.32070611804909332</v>
      </c>
      <c r="C83" s="10">
        <f t="shared" si="10"/>
        <v>0.78428310604602447</v>
      </c>
      <c r="D83" s="5">
        <f t="shared" si="12"/>
        <v>0.78417718441641182</v>
      </c>
      <c r="E83" s="10">
        <f t="shared" si="13"/>
        <v>1.3505535028881875E-2</v>
      </c>
      <c r="F83" s="11">
        <f t="shared" si="14"/>
        <v>7.3663234796879321E-2</v>
      </c>
      <c r="G83">
        <f t="shared" si="11"/>
        <v>7.3656699016059091E-2</v>
      </c>
      <c r="H83" s="10">
        <f t="shared" si="15"/>
        <v>8.8733012849311968E-3</v>
      </c>
    </row>
    <row r="84" spans="1:8" x14ac:dyDescent="0.35">
      <c r="A84" s="1">
        <f>A83+$D$18</f>
        <v>0.64000000000000035</v>
      </c>
      <c r="B84" s="10">
        <f t="shared" si="18"/>
        <v>0.32853842242940656</v>
      </c>
      <c r="C84" s="10">
        <f t="shared" si="10"/>
        <v>0.78207131730985868</v>
      </c>
      <c r="D84" s="5">
        <f t="shared" si="12"/>
        <v>0.78196434189415287</v>
      </c>
      <c r="E84" s="10">
        <f t="shared" si="13"/>
        <v>1.3678473220803252E-2</v>
      </c>
      <c r="F84" s="11">
        <f t="shared" si="14"/>
        <v>7.6909457499271819E-2</v>
      </c>
      <c r="G84">
        <f t="shared" si="11"/>
        <v>7.6902940149146337E-2</v>
      </c>
      <c r="H84" s="10">
        <f t="shared" si="15"/>
        <v>8.4747736729465731E-3</v>
      </c>
    </row>
    <row r="85" spans="1:8" x14ac:dyDescent="0.35">
      <c r="A85" s="1">
        <f>A84+$D$18</f>
        <v>0.65000000000000036</v>
      </c>
      <c r="B85" s="10">
        <f t="shared" si="18"/>
        <v>0.3363454048869764</v>
      </c>
      <c r="C85" s="10">
        <f t="shared" ref="C85:C120" si="19">2*A85*COS(A85)-(A85^2)*SIN(A85)</f>
        <v>0.7792176816902957</v>
      </c>
      <c r="D85" s="5">
        <f t="shared" si="12"/>
        <v>0.7791096805422969</v>
      </c>
      <c r="E85" s="10">
        <f t="shared" si="13"/>
        <v>1.3860202423092572E-2</v>
      </c>
      <c r="F85" s="11">
        <f t="shared" si="14"/>
        <v>8.023387663585374E-2</v>
      </c>
      <c r="G85">
        <f t="shared" ref="G85:G120" si="20">(A85^2-2)*SIN(A85)+2*A85*COS(A85)</f>
        <v>8.0227383065170299E-2</v>
      </c>
      <c r="H85" s="10">
        <f t="shared" si="15"/>
        <v>8.0939579920815755E-3</v>
      </c>
    </row>
    <row r="86" spans="1:8" x14ac:dyDescent="0.35">
      <c r="A86" s="1">
        <f>A85+$D$18</f>
        <v>0.66000000000000036</v>
      </c>
      <c r="B86" s="10">
        <f t="shared" si="18"/>
        <v>0.34412061604025251</v>
      </c>
      <c r="C86" s="10">
        <f t="shared" si="19"/>
        <v>0.77571604485689405</v>
      </c>
      <c r="D86" s="5">
        <f t="shared" ref="D86:D119" si="21">(B87-B85)/(A87-A85)</f>
        <v>0.77560704634685662</v>
      </c>
      <c r="E86" s="10">
        <f t="shared" ref="E86:E120" si="22">ABS(C86-D86)/C86*100</f>
        <v>1.4051341436096799E-2</v>
      </c>
      <c r="F86" s="11">
        <f t="shared" ref="F86:F120" si="23">F85+((B85+B86)/2)*(A86-A85)</f>
        <v>8.3636206740489882E-2</v>
      </c>
      <c r="G86">
        <f t="shared" si="20"/>
        <v>8.3629742349282221E-2</v>
      </c>
      <c r="H86" s="10">
        <f t="shared" ref="H86:H120" si="24">ABS(F86-G86)/G86*100</f>
        <v>7.729775347940746E-3</v>
      </c>
    </row>
    <row r="87" spans="1:8" x14ac:dyDescent="0.35">
      <c r="A87" s="1">
        <f>A86+$D$18</f>
        <v>0.67000000000000037</v>
      </c>
      <c r="B87" s="10">
        <f t="shared" si="18"/>
        <v>0.35185754581391354</v>
      </c>
      <c r="C87" s="10">
        <f t="shared" si="19"/>
        <v>0.77156042269962621</v>
      </c>
      <c r="D87" s="5">
        <f t="shared" si="21"/>
        <v>0.77145045550884239</v>
      </c>
      <c r="E87" s="10">
        <f t="shared" si="22"/>
        <v>1.4252570187446327E-2</v>
      </c>
      <c r="F87" s="11">
        <f t="shared" si="23"/>
        <v>8.7116097549760713E-2</v>
      </c>
      <c r="G87">
        <f t="shared" si="20"/>
        <v>8.7109667787930389E-2</v>
      </c>
      <c r="H87" s="10">
        <f t="shared" si="24"/>
        <v>7.3812264397295447E-3</v>
      </c>
    </row>
    <row r="88" spans="1:8" x14ac:dyDescent="0.35">
      <c r="A88" s="1">
        <f>A87+$D$18</f>
        <v>0.68000000000000038</v>
      </c>
      <c r="B88" s="10">
        <f t="shared" si="18"/>
        <v>0.35954962515042937</v>
      </c>
      <c r="C88" s="10">
        <f t="shared" si="19"/>
        <v>0.76674500319512195</v>
      </c>
      <c r="D88" s="5">
        <f t="shared" si="21"/>
        <v>0.76663409631045831</v>
      </c>
      <c r="E88" s="10">
        <f t="shared" si="22"/>
        <v>1.4464637422021538E-2</v>
      </c>
      <c r="F88" s="11">
        <f t="shared" si="23"/>
        <v>9.0673133404582426E-2</v>
      </c>
      <c r="G88">
        <f t="shared" si="20"/>
        <v>9.0666743770465019E-2</v>
      </c>
      <c r="H88" s="10">
        <f t="shared" si="24"/>
        <v>7.0473845775062879E-3</v>
      </c>
    </row>
    <row r="89" spans="1:8" x14ac:dyDescent="0.35">
      <c r="A89" s="1">
        <f>A88+$D$18</f>
        <v>0.69000000000000039</v>
      </c>
      <c r="B89" s="10">
        <f t="shared" si="18"/>
        <v>0.36719022774012272</v>
      </c>
      <c r="C89" s="10">
        <f t="shared" si="19"/>
        <v>0.76126414824012789</v>
      </c>
      <c r="D89" s="5">
        <f t="shared" si="21"/>
        <v>0.76115233094851065</v>
      </c>
      <c r="E89" s="10">
        <f t="shared" si="22"/>
        <v>1.4688369585739842E-2</v>
      </c>
      <c r="F89" s="11">
        <f t="shared" si="23"/>
        <v>9.4306832669035195E-2</v>
      </c>
      <c r="G89">
        <f t="shared" si="20"/>
        <v>9.4300488707950381E-2</v>
      </c>
      <c r="H89" s="10">
        <f t="shared" si="24"/>
        <v>6.7273894035291227E-3</v>
      </c>
    </row>
    <row r="90" spans="1:8" x14ac:dyDescent="0.35">
      <c r="A90" s="1">
        <f>A89+$D$18</f>
        <v>0.7000000000000004</v>
      </c>
      <c r="B90" s="10">
        <f t="shared" si="18"/>
        <v>0.3747726717693996</v>
      </c>
      <c r="C90" s="10">
        <f t="shared" si="19"/>
        <v>0.75511239545181486</v>
      </c>
      <c r="D90" s="5">
        <f t="shared" si="21"/>
        <v>0.75499969733463446</v>
      </c>
      <c r="E90" s="10">
        <f t="shared" si="22"/>
        <v>1.492468112816063E-2</v>
      </c>
      <c r="F90" s="11">
        <f t="shared" si="23"/>
        <v>9.8016647166582815E-2</v>
      </c>
      <c r="G90">
        <f t="shared" si="20"/>
        <v>9.8010354469370453E-2</v>
      </c>
      <c r="H90" s="10">
        <f t="shared" si="24"/>
        <v>6.420441234429781E-3</v>
      </c>
    </row>
    <row r="91" spans="1:8" x14ac:dyDescent="0.35">
      <c r="A91" s="1">
        <f>A90+$D$18</f>
        <v>0.71000000000000041</v>
      </c>
      <c r="B91" s="10">
        <f t="shared" si="18"/>
        <v>0.38229022168681542</v>
      </c>
      <c r="C91" s="10">
        <f t="shared" si="19"/>
        <v>0.74828445993456472</v>
      </c>
      <c r="D91" s="5">
        <f t="shared" si="21"/>
        <v>0.74817091086203313</v>
      </c>
      <c r="E91" s="10">
        <f t="shared" si="22"/>
        <v>1.5174586485667756E-2</v>
      </c>
      <c r="F91" s="11">
        <f t="shared" si="23"/>
        <v>0.10180196163386389</v>
      </c>
      <c r="G91">
        <f t="shared" si="20"/>
        <v>0.10179572583540519</v>
      </c>
      <c r="H91" s="10">
        <f t="shared" si="24"/>
        <v>6.1257959580523101E-3</v>
      </c>
    </row>
    <row r="92" spans="1:8" x14ac:dyDescent="0.35">
      <c r="A92" s="1">
        <f>A91+$D$18</f>
        <v>0.72000000000000042</v>
      </c>
      <c r="B92" s="10">
        <f t="shared" si="18"/>
        <v>0.38973608998664028</v>
      </c>
      <c r="C92" s="10">
        <f t="shared" si="19"/>
        <v>0.74077523601287676</v>
      </c>
      <c r="D92" s="5">
        <f t="shared" si="21"/>
        <v>0.7406608661383145</v>
      </c>
      <c r="E92" s="10">
        <f t="shared" si="22"/>
        <v>1.5439214083051628E-2</v>
      </c>
      <c r="F92" s="11">
        <f t="shared" si="23"/>
        <v>0.10566209319223117</v>
      </c>
      <c r="G92">
        <f t="shared" si="20"/>
        <v>0.10565591996995449</v>
      </c>
      <c r="H92" s="10">
        <f t="shared" si="24"/>
        <v>5.8427604231138823E-3</v>
      </c>
    </row>
    <row r="93" spans="1:8" x14ac:dyDescent="0.35">
      <c r="A93" s="1">
        <f>A92+$D$18</f>
        <v>0.73000000000000043</v>
      </c>
      <c r="B93" s="10">
        <f t="shared" si="18"/>
        <v>0.39710343900958173</v>
      </c>
      <c r="C93" s="10">
        <f t="shared" si="19"/>
        <v>0.73257979893003977</v>
      </c>
      <c r="D93" s="5">
        <f t="shared" si="21"/>
        <v>0.73246463868411815</v>
      </c>
      <c r="E93" s="10">
        <f t="shared" si="22"/>
        <v>1.571982275375533E-2</v>
      </c>
      <c r="F93" s="11">
        <f t="shared" si="23"/>
        <v>0.10959629083721228</v>
      </c>
      <c r="G93">
        <f t="shared" si="20"/>
        <v>0.10959018590958569</v>
      </c>
      <c r="H93" s="10">
        <f t="shared" si="24"/>
        <v>5.5706882654895078E-3</v>
      </c>
    </row>
    <row r="94" spans="1:8" x14ac:dyDescent="0.35">
      <c r="A94" s="1">
        <f>A93+$D$18</f>
        <v>0.74000000000000044</v>
      </c>
      <c r="B94" s="10">
        <f t="shared" si="18"/>
        <v>0.40438538276032265</v>
      </c>
      <c r="C94" s="10">
        <f t="shared" si="19"/>
        <v>0.72369340651221747</v>
      </c>
      <c r="D94" s="5">
        <f t="shared" si="21"/>
        <v>0.72357748659713994</v>
      </c>
      <c r="E94" s="10">
        <f t="shared" si="22"/>
        <v>1.6017821087551481E-2</v>
      </c>
      <c r="F94" s="11">
        <f t="shared" si="23"/>
        <v>0.11360373494606181</v>
      </c>
      <c r="G94">
        <f t="shared" si="20"/>
        <v>0.11359770407107228</v>
      </c>
      <c r="H94" s="10">
        <f t="shared" si="24"/>
        <v>5.3089761266267819E-3</v>
      </c>
    </row>
    <row r="95" spans="1:8" x14ac:dyDescent="0.35">
      <c r="A95" s="1">
        <f>A94+$D$18</f>
        <v>0.75000000000000044</v>
      </c>
      <c r="B95" s="10">
        <f t="shared" si="18"/>
        <v>0.41157498874152454</v>
      </c>
      <c r="C95" s="10">
        <f t="shared" si="19"/>
        <v>0.71411150079760544</v>
      </c>
      <c r="D95" s="5">
        <f t="shared" si="21"/>
        <v>0.71399485218122327</v>
      </c>
      <c r="E95" s="10">
        <f t="shared" si="22"/>
        <v>1.6334790330624467E-2</v>
      </c>
      <c r="F95" s="11">
        <f t="shared" si="23"/>
        <v>0.11768353680357105</v>
      </c>
      <c r="G95">
        <f t="shared" si="20"/>
        <v>0.11767758577718868</v>
      </c>
      <c r="H95" s="10">
        <f t="shared" si="24"/>
        <v>5.0570602235503461E-3</v>
      </c>
    </row>
    <row r="96" spans="1:8" x14ac:dyDescent="0.35">
      <c r="A96" s="1">
        <f>A95+$D$18</f>
        <v>0.76000000000000045</v>
      </c>
      <c r="B96" s="10">
        <f t="shared" si="18"/>
        <v>0.41866527980394713</v>
      </c>
      <c r="C96" s="10">
        <f t="shared" si="19"/>
        <v>0.70382970963032099</v>
      </c>
      <c r="D96" s="5">
        <f t="shared" si="21"/>
        <v>0.70371236354020639</v>
      </c>
      <c r="E96" s="10">
        <f t="shared" si="22"/>
        <v>1.6672511618788501E-2</v>
      </c>
      <c r="F96" s="11">
        <f t="shared" si="23"/>
        <v>0.12183473814629842</v>
      </c>
      <c r="G96">
        <f t="shared" si="20"/>
        <v>0.12182887280092791</v>
      </c>
      <c r="H96" s="10">
        <f t="shared" si="24"/>
        <v>4.814413230341476E-3</v>
      </c>
    </row>
    <row r="97" spans="1:8" x14ac:dyDescent="0.35">
      <c r="A97" s="1">
        <f>A96+$D$18</f>
        <v>0.77000000000000046</v>
      </c>
      <c r="B97" s="10">
        <f t="shared" si="18"/>
        <v>0.42564923601232868</v>
      </c>
      <c r="C97" s="10">
        <f t="shared" si="19"/>
        <v>0.69284384821869249</v>
      </c>
      <c r="D97" s="5">
        <f t="shared" si="21"/>
        <v>0.69272583613613703</v>
      </c>
      <c r="E97" s="10">
        <f t="shared" si="22"/>
        <v>1.703299854056195E-2</v>
      </c>
      <c r="F97" s="11">
        <f t="shared" si="23"/>
        <v>0.12605631072537979</v>
      </c>
      <c r="G97">
        <f t="shared" si="20"/>
        <v>0.12605053692829948</v>
      </c>
      <c r="H97" s="10">
        <f t="shared" si="24"/>
        <v>4.5805414407630749E-3</v>
      </c>
    </row>
    <row r="98" spans="1:8" x14ac:dyDescent="0.35">
      <c r="A98" s="1">
        <f>A97+$D$18</f>
        <v>0.78000000000000047</v>
      </c>
      <c r="B98" s="10">
        <f t="shared" si="18"/>
        <v>0.43251979652666989</v>
      </c>
      <c r="C98" s="10">
        <f t="shared" si="19"/>
        <v>0.6811499206576227</v>
      </c>
      <c r="D98" s="5">
        <f t="shared" si="21"/>
        <v>0.68103127431160759</v>
      </c>
      <c r="E98" s="10">
        <f t="shared" si="22"/>
        <v>1.7418536274739226E-2</v>
      </c>
      <c r="F98" s="11">
        <f t="shared" si="23"/>
        <v>0.13034715588807477</v>
      </c>
      <c r="G98">
        <f t="shared" si="20"/>
        <v>0.13034147953986219</v>
      </c>
      <c r="H98" s="10">
        <f t="shared" si="24"/>
        <v>4.354982184197091E-3</v>
      </c>
    </row>
    <row r="99" spans="1:8" x14ac:dyDescent="0.35">
      <c r="A99" s="1">
        <f>A98+$D$18</f>
        <v>0.79000000000000048</v>
      </c>
      <c r="B99" s="10">
        <f t="shared" si="18"/>
        <v>0.43926986149856084</v>
      </c>
      <c r="C99" s="10">
        <f t="shared" si="19"/>
        <v>0.6687441214147033</v>
      </c>
      <c r="D99" s="5">
        <f t="shared" si="21"/>
        <v>0.66862487277581317</v>
      </c>
      <c r="E99" s="10">
        <f t="shared" si="22"/>
        <v>1.7831728918656909E-2</v>
      </c>
      <c r="F99" s="11">
        <f t="shared" si="23"/>
        <v>0.13470610417820092</v>
      </c>
      <c r="G99">
        <f t="shared" si="20"/>
        <v>0.13470053121114656</v>
      </c>
      <c r="H99" s="10">
        <f t="shared" si="24"/>
        <v>4.1373014673763454E-3</v>
      </c>
    </row>
    <row r="100" spans="1:8" x14ac:dyDescent="0.35">
      <c r="A100" s="1">
        <f>A99+$D$18</f>
        <v>0.80000000000000049</v>
      </c>
      <c r="B100" s="10">
        <f t="shared" si="18"/>
        <v>0.44589229398218616</v>
      </c>
      <c r="C100" s="10">
        <f t="shared" si="19"/>
        <v>0.6556228367797694</v>
      </c>
      <c r="D100" s="5">
        <f t="shared" si="21"/>
        <v>0.65550301805403166</v>
      </c>
      <c r="E100" s="10">
        <f t="shared" si="22"/>
        <v>1.8275557075811532E-2</v>
      </c>
      <c r="F100" s="11">
        <f t="shared" si="23"/>
        <v>0.13913191495560465</v>
      </c>
      <c r="G100">
        <f t="shared" si="20"/>
        <v>0.13912645133211388</v>
      </c>
      <c r="H100" s="10">
        <f t="shared" si="24"/>
        <v>3.9270918207549924E-3</v>
      </c>
    </row>
    <row r="101" spans="1:8" x14ac:dyDescent="0.35">
      <c r="A101" s="1">
        <f>A100+$D$18</f>
        <v>0.8100000000000005</v>
      </c>
      <c r="B101" s="10">
        <f t="shared" si="18"/>
        <v>0.45237992185964149</v>
      </c>
      <c r="C101" s="10">
        <f t="shared" si="19"/>
        <v>0.64178264627757886</v>
      </c>
      <c r="D101" s="5">
        <f t="shared" si="21"/>
        <v>0.64166228990027108</v>
      </c>
      <c r="E101" s="10">
        <f t="shared" si="22"/>
        <v>1.875344838410116E-2</v>
      </c>
      <c r="F101" s="11">
        <f t="shared" si="23"/>
        <v>0.14362327603481378</v>
      </c>
      <c r="G101">
        <f t="shared" si="20"/>
        <v>0.14361792774579574</v>
      </c>
      <c r="H101" s="10">
        <f t="shared" si="24"/>
        <v>3.7239703301626369E-3</v>
      </c>
    </row>
    <row r="102" spans="1:8" x14ac:dyDescent="0.35">
      <c r="A102" s="1">
        <f>A101+$D$18</f>
        <v>0.82000000000000051</v>
      </c>
      <c r="B102" s="10">
        <f t="shared" si="18"/>
        <v>0.45872553978019159</v>
      </c>
      <c r="C102" s="10">
        <f t="shared" si="19"/>
        <v>0.62722032404332062</v>
      </c>
      <c r="D102" s="5">
        <f t="shared" si="21"/>
        <v>0.62709946267273609</v>
      </c>
      <c r="E102" s="10">
        <f t="shared" si="22"/>
        <v>1.9269364520175775E-2</v>
      </c>
      <c r="F102" s="11">
        <f t="shared" si="23"/>
        <v>0.14817880334301295</v>
      </c>
      <c r="G102">
        <f t="shared" si="20"/>
        <v>0.14817357640625939</v>
      </c>
      <c r="H102" s="10">
        <f t="shared" si="24"/>
        <v>3.5275768327475351E-3</v>
      </c>
    </row>
    <row r="103" spans="1:8" x14ac:dyDescent="0.35">
      <c r="A103" s="1">
        <f>A102+$D$18</f>
        <v>0.83000000000000052</v>
      </c>
      <c r="B103" s="10">
        <f t="shared" si="18"/>
        <v>0.46492191111309622</v>
      </c>
      <c r="C103" s="10">
        <f t="shared" si="19"/>
        <v>0.61193284016064931</v>
      </c>
      <c r="D103" s="5">
        <f t="shared" si="21"/>
        <v>0.6118115066717883</v>
      </c>
      <c r="E103" s="10">
        <f t="shared" si="22"/>
        <v>1.9827909355078097E-2</v>
      </c>
      <c r="F103" s="11">
        <f t="shared" si="23"/>
        <v>0.15279704059747939</v>
      </c>
      <c r="G103">
        <f t="shared" si="20"/>
        <v>0.15279194105603144</v>
      </c>
      <c r="H103" s="10">
        <f t="shared" si="24"/>
        <v>3.3375722650714609E-3</v>
      </c>
    </row>
    <row r="104" spans="1:8" x14ac:dyDescent="0.35">
      <c r="A104" s="1">
        <f>A103+$D$18</f>
        <v>0.84000000000000052</v>
      </c>
      <c r="B104" s="10">
        <f t="shared" si="18"/>
        <v>0.47096176991362737</v>
      </c>
      <c r="C104" s="10">
        <f t="shared" si="19"/>
        <v>0.59591736196195855</v>
      </c>
      <c r="D104" s="5">
        <f t="shared" si="21"/>
        <v>0.59579558944018396</v>
      </c>
      <c r="E104" s="10">
        <f t="shared" si="22"/>
        <v>2.0434464499183621E-2</v>
      </c>
      <c r="F104" s="11">
        <f t="shared" si="23"/>
        <v>0.15747645900261301</v>
      </c>
      <c r="G104">
        <f t="shared" si="20"/>
        <v>0.15747149292311768</v>
      </c>
      <c r="H104" s="10">
        <f t="shared" si="24"/>
        <v>3.153637146087589E-3</v>
      </c>
    </row>
    <row r="105" spans="1:8" x14ac:dyDescent="0.35">
      <c r="A105" s="1">
        <f>A104+$D$18</f>
        <v>0.85000000000000053</v>
      </c>
      <c r="B105" s="10">
        <f t="shared" si="18"/>
        <v>0.47683782290189991</v>
      </c>
      <c r="C105" s="10">
        <f t="shared" si="19"/>
        <v>0.57917125529060731</v>
      </c>
      <c r="D105" s="5">
        <f t="shared" si="21"/>
        <v>0.57904907702528374</v>
      </c>
      <c r="E105" s="10">
        <f t="shared" si="22"/>
        <v>2.1095360691245731E-2</v>
      </c>
      <c r="F105" s="11">
        <f t="shared" si="23"/>
        <v>0.16221545696669065</v>
      </c>
      <c r="G105">
        <f t="shared" si="20"/>
        <v>0.16221063043774619</v>
      </c>
      <c r="H105" s="10">
        <f t="shared" si="24"/>
        <v>2.975470184310432E-3</v>
      </c>
    </row>
    <row r="106" spans="1:8" x14ac:dyDescent="0.35">
      <c r="A106" s="1">
        <f>A105+$D$18</f>
        <v>0.86000000000000054</v>
      </c>
      <c r="B106" s="10">
        <f t="shared" si="18"/>
        <v>0.48254275145413306</v>
      </c>
      <c r="C106" s="10">
        <f t="shared" si="19"/>
        <v>0.56169208572482143</v>
      </c>
      <c r="D106" s="5">
        <f t="shared" si="21"/>
        <v>0.56156953520286279</v>
      </c>
      <c r="E106" s="10">
        <f t="shared" si="22"/>
        <v>2.1818096617918298E-2</v>
      </c>
      <c r="F106" s="11">
        <f t="shared" si="23"/>
        <v>0.16701235983847082</v>
      </c>
      <c r="G106">
        <f t="shared" si="20"/>
        <v>0.1670076789689624</v>
      </c>
      <c r="H106" s="10">
        <f t="shared" si="24"/>
        <v>2.8027869959719254E-3</v>
      </c>
    </row>
    <row r="107" spans="1:8" x14ac:dyDescent="0.35">
      <c r="A107" s="1">
        <f>A106+$D$18</f>
        <v>0.87000000000000055</v>
      </c>
      <c r="B107" s="10">
        <f t="shared" si="18"/>
        <v>0.48806921360595718</v>
      </c>
      <c r="C107" s="10">
        <f t="shared" si="19"/>
        <v>0.54347761976299636</v>
      </c>
      <c r="D107" s="5">
        <f t="shared" si="21"/>
        <v>0.54335473066238715</v>
      </c>
      <c r="E107" s="10">
        <f t="shared" si="22"/>
        <v>2.2611621185577597E-2</v>
      </c>
      <c r="F107" s="11">
        <f t="shared" si="23"/>
        <v>0.17186541966377128</v>
      </c>
      <c r="G107">
        <f t="shared" si="20"/>
        <v>0.17186089058119691</v>
      </c>
      <c r="H107" s="10">
        <f t="shared" si="24"/>
        <v>2.6353189251206222E-3</v>
      </c>
    </row>
    <row r="108" spans="1:8" x14ac:dyDescent="0.35">
      <c r="A108" s="1">
        <f>A107+$D$18</f>
        <v>0.88000000000000056</v>
      </c>
      <c r="B108" s="10">
        <f t="shared" si="18"/>
        <v>0.49340984606738081</v>
      </c>
      <c r="C108" s="10">
        <f t="shared" si="19"/>
        <v>0.5245258259701383</v>
      </c>
      <c r="D108" s="5">
        <f t="shared" si="21"/>
        <v>0.52440263215341965</v>
      </c>
      <c r="E108" s="10">
        <f t="shared" si="22"/>
        <v>2.3486701820793113E-2</v>
      </c>
      <c r="F108" s="11">
        <f t="shared" si="23"/>
        <v>0.17677281496213798</v>
      </c>
      <c r="G108">
        <f t="shared" si="20"/>
        <v>0.1767684438109246</v>
      </c>
      <c r="H108" s="10">
        <f t="shared" si="24"/>
        <v>2.4728119562186365E-3</v>
      </c>
    </row>
    <row r="109" spans="1:8" x14ac:dyDescent="0.35">
      <c r="A109" s="1">
        <f>A108+$D$18</f>
        <v>0.89000000000000057</v>
      </c>
      <c r="B109" s="10">
        <f t="shared" si="18"/>
        <v>0.49855726624902558</v>
      </c>
      <c r="C109" s="10">
        <f t="shared" si="19"/>
        <v>0.50483487608518207</v>
      </c>
      <c r="D109" s="5">
        <f t="shared" si="21"/>
        <v>0.50471141159288369</v>
      </c>
      <c r="E109" s="10">
        <f t="shared" si="22"/>
        <v>2.4456411026078522E-2</v>
      </c>
      <c r="F109" s="11">
        <f t="shared" si="23"/>
        <v>0.18173265052372001</v>
      </c>
      <c r="G109">
        <f t="shared" si="20"/>
        <v>0.18172844346353001</v>
      </c>
      <c r="H109" s="10">
        <f t="shared" si="24"/>
        <v>2.3150257107893164E-3</v>
      </c>
    </row>
    <row r="110" spans="1:8" x14ac:dyDescent="0.35">
      <c r="A110" s="1">
        <f>A109+$D$18</f>
        <v>0.90000000000000058</v>
      </c>
      <c r="B110" s="10">
        <f t="shared" si="18"/>
        <v>0.50350407429923849</v>
      </c>
      <c r="C110" s="10">
        <f t="shared" si="19"/>
        <v>0.48440314608893342</v>
      </c>
      <c r="D110" s="5">
        <f t="shared" si="21"/>
        <v>0.48427944513297583</v>
      </c>
      <c r="E110" s="10">
        <f t="shared" si="22"/>
        <v>2.5536777982627819E-2</v>
      </c>
      <c r="F110" s="11">
        <f t="shared" si="23"/>
        <v>0.18674295722646134</v>
      </c>
      <c r="G110">
        <f t="shared" si="20"/>
        <v>0.18673892043049123</v>
      </c>
      <c r="H110" s="10">
        <f t="shared" si="24"/>
        <v>2.1617325198207901E-3</v>
      </c>
    </row>
    <row r="111" spans="1:8" x14ac:dyDescent="0.35">
      <c r="A111" s="1">
        <f>A110+$D$18</f>
        <v>0.91000000000000059</v>
      </c>
      <c r="B111" s="10">
        <f t="shared" si="18"/>
        <v>0.5082428551516851</v>
      </c>
      <c r="C111" s="10">
        <f t="shared" si="19"/>
        <v>0.46322921723238786</v>
      </c>
      <c r="D111" s="5">
        <f t="shared" si="21"/>
        <v>0.46310531418943218</v>
      </c>
      <c r="E111" s="10">
        <f t="shared" si="22"/>
        <v>2.6747674444187092E-2</v>
      </c>
      <c r="F111" s="11">
        <f t="shared" si="23"/>
        <v>0.19180169187371596</v>
      </c>
      <c r="G111">
        <f t="shared" si="20"/>
        <v>0.19179783152698437</v>
      </c>
      <c r="H111" s="10">
        <f t="shared" si="24"/>
        <v>2.0127165676735977E-3</v>
      </c>
    </row>
    <row r="112" spans="1:8" x14ac:dyDescent="0.35">
      <c r="A112" s="1">
        <f>A111+$D$18</f>
        <v>0.9200000000000006</v>
      </c>
      <c r="B112" s="10">
        <f t="shared" si="18"/>
        <v>0.51276618058302714</v>
      </c>
      <c r="C112" s="10">
        <f t="shared" si="19"/>
        <v>0.44131187702519015</v>
      </c>
      <c r="D112" s="5">
        <f t="shared" si="21"/>
        <v>0.44118780642997085</v>
      </c>
      <c r="E112" s="10">
        <f t="shared" si="22"/>
        <v>2.8114039453375612E-2</v>
      </c>
      <c r="F112" s="11">
        <f t="shared" si="23"/>
        <v>0.19690673705238954</v>
      </c>
      <c r="G112">
        <f t="shared" si="20"/>
        <v>0.19690305935001995</v>
      </c>
      <c r="H112" s="10">
        <f t="shared" si="24"/>
        <v>1.8677730969375471E-3</v>
      </c>
    </row>
    <row r="113" spans="1:8" x14ac:dyDescent="0.35">
      <c r="A113" s="1">
        <f>A112+$D$18</f>
        <v>0.9300000000000006</v>
      </c>
      <c r="B113" s="10">
        <f t="shared" si="18"/>
        <v>0.51706661128028453</v>
      </c>
      <c r="C113" s="10">
        <f t="shared" si="19"/>
        <v>0.4186501201839945</v>
      </c>
      <c r="D113" s="5">
        <f t="shared" si="21"/>
        <v>0.41852591672257261</v>
      </c>
      <c r="E113" s="10">
        <f t="shared" si="22"/>
        <v>2.9667604387000616E-2</v>
      </c>
      <c r="F113" s="11">
        <f t="shared" si="23"/>
        <v>0.20205590101170609</v>
      </c>
      <c r="G113">
        <f t="shared" si="20"/>
        <v>0.2020524121571996</v>
      </c>
      <c r="H113" s="10">
        <f t="shared" si="24"/>
        <v>1.7267076741330379E-3</v>
      </c>
    </row>
    <row r="114" spans="1:8" x14ac:dyDescent="0.35">
      <c r="A114" s="1">
        <f>A113+$D$18</f>
        <v>0.94000000000000061</v>
      </c>
      <c r="B114" s="10">
        <f t="shared" si="18"/>
        <v>0.5211366989174786</v>
      </c>
      <c r="C114" s="10">
        <f t="shared" si="19"/>
        <v>0.3952431495405041</v>
      </c>
      <c r="D114" s="5">
        <f t="shared" si="21"/>
        <v>0.39511884804352937</v>
      </c>
      <c r="E114" s="10">
        <f t="shared" si="22"/>
        <v>3.1449374168594967E-2</v>
      </c>
      <c r="F114" s="11">
        <f t="shared" si="23"/>
        <v>0.20724691756269492</v>
      </c>
      <c r="G114">
        <f t="shared" si="20"/>
        <v>0.20724362376619543</v>
      </c>
      <c r="H114" s="10">
        <f t="shared" si="24"/>
        <v>1.589335507474399E-3</v>
      </c>
    </row>
    <row r="115" spans="1:8" x14ac:dyDescent="0.35">
      <c r="A115" s="1">
        <f>A114+$D$18</f>
        <v>0.95000000000000062</v>
      </c>
      <c r="B115" s="10">
        <f t="shared" si="18"/>
        <v>0.52496898824115512</v>
      </c>
      <c r="C115" s="10">
        <f t="shared" si="19"/>
        <v>0.3710903769089674</v>
      </c>
      <c r="D115" s="5">
        <f t="shared" si="21"/>
        <v>0.37096601234488069</v>
      </c>
      <c r="E115" s="10">
        <f t="shared" si="22"/>
        <v>3.3513281891763447E-2</v>
      </c>
      <c r="F115" s="11">
        <f t="shared" si="23"/>
        <v>0.21247744599848808</v>
      </c>
      <c r="G115">
        <f t="shared" si="20"/>
        <v>0.2124743534750414</v>
      </c>
      <c r="H115" s="10">
        <f t="shared" si="24"/>
        <v>1.4554808126752332E-3</v>
      </c>
    </row>
    <row r="116" spans="1:8" x14ac:dyDescent="0.35">
      <c r="A116" s="1">
        <f>A115+$D$18</f>
        <v>0.96000000000000063</v>
      </c>
      <c r="B116" s="10">
        <f t="shared" si="18"/>
        <v>0.52855601916437622</v>
      </c>
      <c r="C116" s="10">
        <f t="shared" si="19"/>
        <v>0.34619142391291535</v>
      </c>
      <c r="D116" s="5">
        <f t="shared" si="21"/>
        <v>0.34606703138112505</v>
      </c>
      <c r="E116" s="10">
        <f t="shared" si="22"/>
        <v>3.5931719620413874E-2</v>
      </c>
      <c r="F116" s="11">
        <f t="shared" si="23"/>
        <v>0.21774507103551574</v>
      </c>
      <c r="G116">
        <f t="shared" si="20"/>
        <v>0.21774218600332063</v>
      </c>
      <c r="H116" s="10">
        <f t="shared" si="24"/>
        <v>1.3249762244380672E-3</v>
      </c>
    </row>
    <row r="117" spans="1:8" x14ac:dyDescent="0.35">
      <c r="A117" s="1">
        <f>A116+$D$18</f>
        <v>0.97000000000000064</v>
      </c>
      <c r="B117" s="10">
        <f t="shared" si="18"/>
        <v>0.53189032886877763</v>
      </c>
      <c r="C117" s="10">
        <f t="shared" si="19"/>
        <v>0.32054612277093808</v>
      </c>
      <c r="D117" s="5">
        <f t="shared" si="21"/>
        <v>0.32042173749495223</v>
      </c>
      <c r="E117" s="10">
        <f t="shared" si="22"/>
        <v>3.8804174235710691E-2</v>
      </c>
      <c r="F117" s="11">
        <f t="shared" si="23"/>
        <v>0.22304730277568152</v>
      </c>
      <c r="G117">
        <f t="shared" si="20"/>
        <v>0.2230446314543354</v>
      </c>
      <c r="H117" s="10">
        <f t="shared" si="24"/>
        <v>1.1976622475546688E-3</v>
      </c>
    </row>
    <row r="118" spans="1:8" x14ac:dyDescent="0.35">
      <c r="A118" s="1">
        <f>A117+$D$18</f>
        <v>0.98000000000000065</v>
      </c>
      <c r="B118" s="10">
        <f t="shared" si="18"/>
        <v>0.53496445391427527</v>
      </c>
      <c r="C118" s="10">
        <f t="shared" si="19"/>
        <v>0.29415451704129569</v>
      </c>
      <c r="D118" s="5">
        <f t="shared" si="21"/>
        <v>0.29403017436182538</v>
      </c>
      <c r="E118" s="10">
        <f t="shared" si="22"/>
        <v>4.2271211987833138E-2</v>
      </c>
      <c r="F118" s="11">
        <f t="shared" si="23"/>
        <v>0.2283815766895968</v>
      </c>
      <c r="G118">
        <f t="shared" si="20"/>
        <v>0.22837912529833371</v>
      </c>
      <c r="H118" s="10">
        <f t="shared" si="24"/>
        <v>1.0733867466606818E-3</v>
      </c>
    </row>
    <row r="119" spans="1:8" x14ac:dyDescent="0.35">
      <c r="A119" s="1">
        <f>A118+$D$18</f>
        <v>0.99000000000000066</v>
      </c>
      <c r="B119" s="10">
        <f t="shared" si="18"/>
        <v>0.53777093235601414</v>
      </c>
      <c r="C119" s="10">
        <f t="shared" si="19"/>
        <v>0.2670168623251713</v>
      </c>
      <c r="D119" s="5">
        <f t="shared" si="21"/>
        <v>0.26689259769322993</v>
      </c>
      <c r="E119" s="10">
        <f t="shared" si="22"/>
        <v>4.6538121547561498E-2</v>
      </c>
      <c r="F119" s="11">
        <f t="shared" si="23"/>
        <v>0.23374525362094825</v>
      </c>
      <c r="G119">
        <f t="shared" si="20"/>
        <v>0.23374302837687277</v>
      </c>
      <c r="H119" s="10">
        <f t="shared" si="24"/>
        <v>9.5200446872314602E-4</v>
      </c>
    </row>
    <row r="120" spans="1:8" x14ac:dyDescent="0.35">
      <c r="A120" s="1">
        <f>A119+$D$18</f>
        <v>1.0000000000000007</v>
      </c>
      <c r="B120" s="10">
        <f t="shared" si="18"/>
        <v>0.54030230586813988</v>
      </c>
      <c r="C120" s="10">
        <f t="shared" si="19"/>
        <v>0.23913362692838114</v>
      </c>
      <c r="D120" s="5">
        <f>(3*B120-4*B119+B118)/(2*$D$18)</f>
        <v>0.23938210473192223</v>
      </c>
      <c r="E120" s="10">
        <f t="shared" si="22"/>
        <v>0.10390751260403418</v>
      </c>
      <c r="F120" s="11">
        <f t="shared" si="23"/>
        <v>0.23913561981206902</v>
      </c>
      <c r="G120">
        <f t="shared" si="20"/>
        <v>0.23913362692838336</v>
      </c>
      <c r="H120" s="10">
        <f t="shared" si="24"/>
        <v>8.333765983717039E-4</v>
      </c>
    </row>
    <row r="121" spans="1:8" x14ac:dyDescent="0.35">
      <c r="C121" s="10"/>
      <c r="D121" s="10"/>
      <c r="E121" s="10"/>
      <c r="F121" s="10"/>
      <c r="G121" s="10"/>
    </row>
    <row r="122" spans="1:8" x14ac:dyDescent="0.35">
      <c r="C122" s="8"/>
      <c r="D122" s="8"/>
      <c r="E122" s="8"/>
      <c r="F122" s="8"/>
      <c r="G122" s="8"/>
    </row>
    <row r="123" spans="1:8" x14ac:dyDescent="0.35">
      <c r="C123" s="8"/>
      <c r="D123" s="8"/>
      <c r="E123" s="8"/>
      <c r="F123" s="8"/>
      <c r="G123" s="8"/>
    </row>
    <row r="124" spans="1:8" x14ac:dyDescent="0.35">
      <c r="C124" s="8"/>
      <c r="D124" s="8"/>
      <c r="E124" s="8"/>
      <c r="F124" s="8"/>
      <c r="G124" s="8"/>
    </row>
    <row r="125" spans="1:8" x14ac:dyDescent="0.35">
      <c r="C125" s="8"/>
      <c r="D125" s="8"/>
      <c r="E125" s="8"/>
      <c r="F125" s="8"/>
      <c r="G125" s="8"/>
    </row>
    <row r="126" spans="1:8" x14ac:dyDescent="0.35">
      <c r="C126" s="8"/>
      <c r="D126" s="8"/>
      <c r="E126" s="8"/>
      <c r="F126" s="8"/>
      <c r="G126" s="8"/>
    </row>
    <row r="127" spans="1:8" x14ac:dyDescent="0.35">
      <c r="C127" s="8"/>
      <c r="D127" s="8"/>
      <c r="E127" s="8"/>
      <c r="F127" s="8"/>
      <c r="G127" s="8"/>
    </row>
    <row r="128" spans="1:8" x14ac:dyDescent="0.35">
      <c r="C128" s="8"/>
      <c r="D128" s="8"/>
      <c r="E128" s="8"/>
      <c r="F128" s="8"/>
      <c r="G128" s="8"/>
    </row>
    <row r="129" spans="3:7" x14ac:dyDescent="0.35">
      <c r="C129" s="8"/>
      <c r="D129" s="8"/>
      <c r="E129" s="8"/>
      <c r="F129" s="8"/>
      <c r="G129" s="8"/>
    </row>
    <row r="130" spans="3:7" x14ac:dyDescent="0.35">
      <c r="C130" s="8"/>
      <c r="D130" s="8"/>
      <c r="E130" s="8"/>
      <c r="F130" s="8"/>
      <c r="G130" s="8"/>
    </row>
    <row r="131" spans="3:7" x14ac:dyDescent="0.35">
      <c r="C131" s="8"/>
      <c r="D131" s="8"/>
      <c r="E131" s="8"/>
      <c r="F131" s="8"/>
      <c r="G131" s="8"/>
    </row>
    <row r="132" spans="3:7" x14ac:dyDescent="0.35">
      <c r="C132" s="8"/>
      <c r="D132" s="8"/>
      <c r="E132" s="8"/>
      <c r="F132" s="8"/>
      <c r="G132" s="8"/>
    </row>
    <row r="133" spans="3:7" x14ac:dyDescent="0.35">
      <c r="C133" s="8"/>
      <c r="D133" s="8"/>
      <c r="E133" s="8"/>
      <c r="F133" s="8"/>
      <c r="G133" s="8"/>
    </row>
    <row r="134" spans="3:7" x14ac:dyDescent="0.35">
      <c r="C134" s="8"/>
      <c r="D134" s="8"/>
      <c r="E134" s="8"/>
      <c r="F134" s="8"/>
      <c r="G134" s="8"/>
    </row>
    <row r="135" spans="3:7" x14ac:dyDescent="0.35">
      <c r="C135" s="8"/>
      <c r="D135" s="8"/>
      <c r="E135" s="8"/>
      <c r="F135" s="8"/>
      <c r="G135" s="8"/>
    </row>
    <row r="136" spans="3:7" x14ac:dyDescent="0.35">
      <c r="C136" s="8"/>
      <c r="D136" s="8"/>
      <c r="E136" s="8"/>
      <c r="F136" s="8"/>
      <c r="G136" s="8"/>
    </row>
    <row r="137" spans="3:7" x14ac:dyDescent="0.35">
      <c r="C137" s="8"/>
      <c r="D137" s="8"/>
      <c r="E137" s="8"/>
      <c r="F137" s="8"/>
      <c r="G137" s="8"/>
    </row>
    <row r="138" spans="3:7" x14ac:dyDescent="0.35">
      <c r="C138" s="8"/>
      <c r="D138" s="8"/>
      <c r="E138" s="8"/>
      <c r="F138" s="8"/>
      <c r="G138" s="8"/>
    </row>
    <row r="139" spans="3:7" x14ac:dyDescent="0.35">
      <c r="C139" s="8"/>
      <c r="D139" s="8"/>
      <c r="E139" s="8"/>
      <c r="F139" s="8"/>
      <c r="G139" s="8"/>
    </row>
    <row r="140" spans="3:7" x14ac:dyDescent="0.35">
      <c r="C140" s="8"/>
      <c r="D140" s="8"/>
      <c r="E140" s="8"/>
      <c r="F140" s="8"/>
      <c r="G140" s="8"/>
    </row>
    <row r="141" spans="3:7" x14ac:dyDescent="0.35">
      <c r="C141" s="8"/>
      <c r="D141" s="8"/>
      <c r="E141" s="8"/>
      <c r="F141" s="8"/>
      <c r="G141" s="8"/>
    </row>
    <row r="142" spans="3:7" x14ac:dyDescent="0.35">
      <c r="C142" s="8"/>
      <c r="D142" s="8"/>
      <c r="E142" s="8"/>
      <c r="F142" s="8"/>
      <c r="G142" s="8"/>
    </row>
    <row r="143" spans="3:7" x14ac:dyDescent="0.35">
      <c r="C143" s="8"/>
      <c r="D143" s="8"/>
      <c r="E143" s="8"/>
      <c r="F143" s="8"/>
      <c r="G143" s="8"/>
    </row>
    <row r="144" spans="3:7" x14ac:dyDescent="0.35">
      <c r="C144" s="8"/>
      <c r="D144" s="8"/>
      <c r="E144" s="8"/>
      <c r="F144" s="8"/>
      <c r="G144" s="8"/>
    </row>
    <row r="145" spans="3:7" x14ac:dyDescent="0.35">
      <c r="C145" s="8"/>
      <c r="D145" s="8"/>
      <c r="E145" s="8"/>
      <c r="F145" s="8"/>
      <c r="G145" s="8"/>
    </row>
    <row r="146" spans="3:7" x14ac:dyDescent="0.35">
      <c r="C146" s="8"/>
      <c r="D146" s="8"/>
      <c r="E146" s="8"/>
      <c r="F146" s="8"/>
      <c r="G146" s="8"/>
    </row>
    <row r="147" spans="3:7" x14ac:dyDescent="0.35">
      <c r="C147" s="8"/>
      <c r="D147" s="8"/>
      <c r="E147" s="8"/>
      <c r="F147" s="8"/>
      <c r="G147" s="8"/>
    </row>
    <row r="148" spans="3:7" x14ac:dyDescent="0.35">
      <c r="C148" s="8"/>
      <c r="D148" s="8"/>
      <c r="E148" s="8"/>
      <c r="F148" s="8"/>
      <c r="G148" s="8"/>
    </row>
    <row r="149" spans="3:7" x14ac:dyDescent="0.35">
      <c r="C149" s="8"/>
      <c r="D149" s="8"/>
      <c r="E149" s="8"/>
      <c r="F149" s="8"/>
      <c r="G149" s="8"/>
    </row>
    <row r="150" spans="3:7" x14ac:dyDescent="0.35">
      <c r="C150" s="8"/>
      <c r="D150" s="8"/>
      <c r="E150" s="8"/>
      <c r="F150" s="8"/>
      <c r="G150" s="8"/>
    </row>
    <row r="151" spans="3:7" x14ac:dyDescent="0.35">
      <c r="C151" s="8"/>
      <c r="D151" s="8"/>
      <c r="E151" s="8"/>
      <c r="F151" s="8"/>
      <c r="G151" s="8"/>
    </row>
    <row r="152" spans="3:7" x14ac:dyDescent="0.35">
      <c r="C152" s="8"/>
      <c r="D152" s="8"/>
      <c r="E152" s="8"/>
      <c r="F152" s="8"/>
      <c r="G152" s="8"/>
    </row>
    <row r="153" spans="3:7" x14ac:dyDescent="0.35">
      <c r="C153" s="8"/>
      <c r="D153" s="8"/>
      <c r="E153" s="8"/>
      <c r="F153" s="8"/>
      <c r="G153" s="8"/>
    </row>
    <row r="154" spans="3:7" x14ac:dyDescent="0.35">
      <c r="C154" s="8"/>
      <c r="D154" s="8"/>
      <c r="E154" s="8"/>
      <c r="F154" s="8"/>
      <c r="G154" s="8"/>
    </row>
    <row r="155" spans="3:7" x14ac:dyDescent="0.35">
      <c r="C155" s="8"/>
      <c r="D155" s="8"/>
      <c r="E155" s="8"/>
      <c r="F155" s="8"/>
      <c r="G155" s="8"/>
    </row>
    <row r="156" spans="3:7" x14ac:dyDescent="0.35">
      <c r="C156" s="8"/>
      <c r="D156" s="8"/>
      <c r="E156" s="8"/>
      <c r="F156" s="8"/>
      <c r="G156" s="8"/>
    </row>
    <row r="157" spans="3:7" x14ac:dyDescent="0.35">
      <c r="C157" s="8"/>
      <c r="D157" s="8"/>
      <c r="E157" s="8"/>
      <c r="F157" s="8"/>
      <c r="G157" s="8"/>
    </row>
    <row r="158" spans="3:7" x14ac:dyDescent="0.35">
      <c r="C158" s="8"/>
      <c r="D158" s="8"/>
      <c r="E158" s="8"/>
      <c r="F158" s="8"/>
      <c r="G15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4.1 </vt:lpstr>
      <vt:lpstr>4.5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Alsurakhi, Lama</cp:lastModifiedBy>
  <cp:revision/>
  <dcterms:created xsi:type="dcterms:W3CDTF">2025-10-13T18:22:33Z</dcterms:created>
  <dcterms:modified xsi:type="dcterms:W3CDTF">2025-10-17T14:52:24Z</dcterms:modified>
  <cp:category/>
  <cp:contentStatus/>
</cp:coreProperties>
</file>