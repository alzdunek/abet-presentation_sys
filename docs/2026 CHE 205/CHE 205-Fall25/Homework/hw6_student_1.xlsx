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19200" windowHeight="7180"/>
  </bookViews>
  <sheets>
    <sheet name="Simpson Results" sheetId="1" r:id="rId1"/>
    <sheet name="Gauss Results" sheetId="2" r:id="rId2"/>
    <sheet name="Exercise 4.2 Template" sheetId="3" r:id="rId3"/>
    <sheet name="Exercise 4.2" sheetId="4" r:id="rId4"/>
  </sheets>
  <calcPr calcId="152511"/>
</workbook>
</file>

<file path=xl/calcChain.xml><?xml version="1.0" encoding="utf-8"?>
<calcChain xmlns="http://schemas.openxmlformats.org/spreadsheetml/2006/main">
  <c r="K24" i="3" l="1"/>
  <c r="K21" i="3"/>
  <c r="C19" i="3"/>
  <c r="E19" i="3" s="1"/>
  <c r="C18" i="3"/>
  <c r="E18" i="3" s="1"/>
  <c r="C17" i="3"/>
  <c r="E17" i="3" s="1"/>
  <c r="C16" i="3"/>
  <c r="E16" i="3" s="1"/>
  <c r="C15" i="3"/>
  <c r="E15" i="3" s="1"/>
  <c r="C14" i="3"/>
  <c r="E14" i="3" s="1"/>
  <c r="C13" i="3"/>
  <c r="E13" i="3" s="1"/>
  <c r="C12" i="3"/>
  <c r="E12" i="3" s="1"/>
  <c r="C11" i="3"/>
  <c r="E11" i="3" s="1"/>
  <c r="C10" i="3"/>
  <c r="E10" i="3" s="1"/>
  <c r="C9" i="3"/>
  <c r="E9" i="3" s="1"/>
  <c r="C8" i="3"/>
  <c r="E8" i="3" s="1"/>
  <c r="C7" i="3"/>
  <c r="E7" i="3" s="1"/>
  <c r="C6" i="3"/>
  <c r="E6" i="3" s="1"/>
  <c r="F5" i="3"/>
  <c r="D19" i="3" s="1"/>
  <c r="C5" i="3"/>
  <c r="E5" i="3" s="1"/>
  <c r="D8" i="3" l="1"/>
  <c r="D12" i="3"/>
  <c r="D5" i="3"/>
  <c r="D9" i="3"/>
  <c r="D13" i="3"/>
  <c r="D17" i="3"/>
  <c r="D6" i="3"/>
  <c r="D10" i="3"/>
  <c r="D14" i="3"/>
  <c r="D18" i="3"/>
  <c r="D16" i="3"/>
  <c r="D7" i="3"/>
  <c r="D11" i="3"/>
  <c r="D15" i="3"/>
</calcChain>
</file>

<file path=xl/sharedStrings.xml><?xml version="1.0" encoding="utf-8"?>
<sst xmlns="http://schemas.openxmlformats.org/spreadsheetml/2006/main" count="46" uniqueCount="37">
  <si>
    <t>Method</t>
  </si>
  <si>
    <t>Δx requested</t>
  </si>
  <si>
    <t>n subintervals</t>
  </si>
  <si>
    <t>Δx used</t>
  </si>
  <si>
    <t>Approx I</t>
  </si>
  <si>
    <t>% error vs 2/3</t>
  </si>
  <si>
    <t>Composite Simpson</t>
  </si>
  <si>
    <t>Gauss-Legendre 2-pt</t>
  </si>
  <si>
    <t>Gauss-Legendre 3-pt</t>
  </si>
  <si>
    <t>Gauss-Legendre 4-pt</t>
  </si>
  <si>
    <t>Exercise 4.2 – CO2 Enthalpy/Cp Analysis (Template)</t>
  </si>
  <si>
    <t>Enter enthalpy h(T) data (consistent units) in column B. Temperatures in column A are prefilled.</t>
  </si>
  <si>
    <t>Quadratic fit coefficients (spill from LINEST):</t>
  </si>
  <si>
    <t>Part (c): NIST Cp table (enter Cp in K)</t>
  </si>
  <si>
    <t>Part (a): Cp via finite differences  |  Part (b): Quadratic fit h(T)=aT^2+bT+c, then Cp_fit(T)=2aT+b  |  Part (c): ΔH from NIST Cp via trapezoid</t>
  </si>
  <si>
    <t>a</t>
  </si>
  <si>
    <t>b</t>
  </si>
  <si>
    <t>c</t>
  </si>
  <si>
    <t>T (°C)</t>
  </si>
  <si>
    <t>Cp (J/mol·K)</t>
  </si>
  <si>
    <t>h(T)</t>
  </si>
  <si>
    <t>ΔH_trap from 100→800 (units of Cp × K)</t>
  </si>
  <si>
    <t>ΔH_NIST exact (enter)</t>
  </si>
  <si>
    <t>% error (trap vs exact)</t>
  </si>
  <si>
    <t>Exercise 4.2 – Cp data and trapezoid integration</t>
  </si>
  <si>
    <t>ΔT to next (°C)</t>
  </si>
  <si>
    <t>Trapezoid segment (J/mol)</t>
  </si>
  <si>
    <t>Cumulative ΔH (J/mol)</t>
  </si>
  <si>
    <t>Quadratic fit: Cp(T) = a*T^2 + b*T + c  (T in °C, Cp in J/mol·K)</t>
  </si>
  <si>
    <t>Metric</t>
  </si>
  <si>
    <t>Value</t>
  </si>
  <si>
    <t>ΔH_trap (J/mol)</t>
  </si>
  <si>
    <t>ΔH_trap (kJ/mol)</t>
  </si>
  <si>
    <t>ΔH_quad (kJ/mol)</t>
  </si>
  <si>
    <t>Percent error (b): quad vs trap (trap exact)</t>
  </si>
  <si>
    <t>NIST ΔH(800) kJ/mol (assumed exact)</t>
  </si>
  <si>
    <t>Percent error (c): trap vs NIST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</si>
</sst>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0.1</v>
      </c>
      <c r="C2">
        <v>10</v>
      </c>
      <c r="D2">
        <v>0.1</v>
      </c>
      <c r="E2">
        <v>0.66409958975742112</v>
      </c>
      <c r="F2">
        <v>0.38506153638682711</v>
      </c>
    </row>
    <row r="3" spans="1:6" x14ac:dyDescent="0.35">
      <c r="A3" t="s">
        <v>6</v>
      </c>
      <c r="B3">
        <v>0.01</v>
      </c>
      <c r="C3">
        <v>100</v>
      </c>
      <c r="D3">
        <v>0.01</v>
      </c>
      <c r="E3">
        <v>0.66658548206672374</v>
      </c>
      <c r="F3">
        <v>1.2177689991432761E-2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4</v>
      </c>
      <c r="C1" t="s">
        <v>5</v>
      </c>
    </row>
    <row r="2" spans="1:3" x14ac:dyDescent="0.35">
      <c r="A2" t="s">
        <v>7</v>
      </c>
      <c r="B2">
        <v>0.67388733867904915</v>
      </c>
      <c r="C2">
        <v>1.083100801857378</v>
      </c>
    </row>
    <row r="3" spans="1:3" x14ac:dyDescent="0.35">
      <c r="A3" t="s">
        <v>8</v>
      </c>
      <c r="B3">
        <v>0.66917963389947177</v>
      </c>
      <c r="C3">
        <v>0.37694508492077122</v>
      </c>
    </row>
    <row r="4" spans="1:3" x14ac:dyDescent="0.35">
      <c r="A4" t="s">
        <v>9</v>
      </c>
      <c r="B4">
        <v>0.66782764537484263</v>
      </c>
      <c r="C4">
        <v>0.17414680622639961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opLeftCell="A2" workbookViewId="0">
      <selection activeCell="H1" sqref="G1:H1"/>
    </sheetView>
  </sheetViews>
  <sheetFormatPr defaultRowHeight="14.5" x14ac:dyDescent="0.35"/>
  <cols>
    <col min="1" max="1" width="44.54296875" customWidth="1"/>
    <col min="2" max="2" width="30.81640625" customWidth="1"/>
    <col min="3" max="4" width="18" customWidth="1"/>
    <col min="5" max="5" width="11.7265625" customWidth="1"/>
    <col min="6" max="11" width="18" customWidth="1"/>
  </cols>
  <sheetData>
    <row r="1" spans="1:11" x14ac:dyDescent="0.35">
      <c r="A1" t="s">
        <v>10</v>
      </c>
    </row>
    <row r="3" spans="1:11" x14ac:dyDescent="0.35">
      <c r="A3" t="s">
        <v>11</v>
      </c>
      <c r="F3" t="s">
        <v>12</v>
      </c>
      <c r="J3" t="s">
        <v>13</v>
      </c>
    </row>
    <row r="4" spans="1:11" x14ac:dyDescent="0.35">
      <c r="A4" t="s">
        <v>14</v>
      </c>
      <c r="F4" t="s">
        <v>15</v>
      </c>
      <c r="G4" t="s">
        <v>16</v>
      </c>
      <c r="H4" t="s">
        <v>17</v>
      </c>
      <c r="J4" t="s">
        <v>18</v>
      </c>
      <c r="K4" t="s">
        <v>19</v>
      </c>
    </row>
    <row r="5" spans="1:11" x14ac:dyDescent="0.35">
      <c r="A5">
        <v>100</v>
      </c>
      <c r="B5" t="s">
        <v>20</v>
      </c>
      <c r="C5" t="e">
        <f>(B6-B5)/(A6-A5)</f>
        <v>#VALUE!</v>
      </c>
      <c r="D5" t="e">
        <f t="shared" ref="D5:D19" si="0">2*$F$5*A5 + $G$5</f>
        <v>#VALUE!</v>
      </c>
      <c r="E5" t="e">
        <f t="shared" ref="E5:E19" si="1">IF(C5=0,"",ABS(D5-C5)/ABS(C5))</f>
        <v>#VALUE!</v>
      </c>
      <c r="F5" t="e">
        <f>LINEST(B5:B19, CHOOSE({1,2}, A5:A19^2, A5:A19), TRUE, TRUE)</f>
        <v>#VALUE!</v>
      </c>
      <c r="J5">
        <v>100</v>
      </c>
    </row>
    <row r="6" spans="1:11" x14ac:dyDescent="0.35">
      <c r="A6">
        <v>150</v>
      </c>
      <c r="C6" t="e">
        <f t="shared" ref="C6:C18" si="2">(B7-B5)/(A7-A5)</f>
        <v>#VALUE!</v>
      </c>
      <c r="D6" t="e">
        <f t="shared" si="0"/>
        <v>#VALUE!</v>
      </c>
      <c r="E6" t="e">
        <f t="shared" si="1"/>
        <v>#VALUE!</v>
      </c>
      <c r="J6">
        <v>150</v>
      </c>
    </row>
    <row r="7" spans="1:11" x14ac:dyDescent="0.35">
      <c r="A7">
        <v>200</v>
      </c>
      <c r="C7">
        <f t="shared" si="2"/>
        <v>0</v>
      </c>
      <c r="D7" t="e">
        <f t="shared" si="0"/>
        <v>#VALUE!</v>
      </c>
      <c r="E7" t="str">
        <f t="shared" si="1"/>
        <v/>
      </c>
      <c r="J7">
        <v>200</v>
      </c>
    </row>
    <row r="8" spans="1:11" x14ac:dyDescent="0.35">
      <c r="A8">
        <v>250</v>
      </c>
      <c r="C8">
        <f t="shared" si="2"/>
        <v>0</v>
      </c>
      <c r="D8" t="e">
        <f t="shared" si="0"/>
        <v>#VALUE!</v>
      </c>
      <c r="E8" t="str">
        <f t="shared" si="1"/>
        <v/>
      </c>
      <c r="J8">
        <v>250</v>
      </c>
    </row>
    <row r="9" spans="1:11" x14ac:dyDescent="0.35">
      <c r="A9">
        <v>300</v>
      </c>
      <c r="C9">
        <f t="shared" si="2"/>
        <v>0</v>
      </c>
      <c r="D9" t="e">
        <f t="shared" si="0"/>
        <v>#VALUE!</v>
      </c>
      <c r="E9" t="str">
        <f t="shared" si="1"/>
        <v/>
      </c>
      <c r="J9">
        <v>300</v>
      </c>
    </row>
    <row r="10" spans="1:11" x14ac:dyDescent="0.35">
      <c r="A10">
        <v>350</v>
      </c>
      <c r="C10">
        <f t="shared" si="2"/>
        <v>0</v>
      </c>
      <c r="D10" t="e">
        <f t="shared" si="0"/>
        <v>#VALUE!</v>
      </c>
      <c r="E10" t="str">
        <f t="shared" si="1"/>
        <v/>
      </c>
      <c r="J10">
        <v>350</v>
      </c>
    </row>
    <row r="11" spans="1:11" x14ac:dyDescent="0.35">
      <c r="A11">
        <v>400</v>
      </c>
      <c r="C11">
        <f t="shared" si="2"/>
        <v>0</v>
      </c>
      <c r="D11" t="e">
        <f t="shared" si="0"/>
        <v>#VALUE!</v>
      </c>
      <c r="E11" t="str">
        <f t="shared" si="1"/>
        <v/>
      </c>
      <c r="J11">
        <v>400</v>
      </c>
    </row>
    <row r="12" spans="1:11" x14ac:dyDescent="0.35">
      <c r="A12">
        <v>450</v>
      </c>
      <c r="C12">
        <f t="shared" si="2"/>
        <v>0</v>
      </c>
      <c r="D12" t="e">
        <f t="shared" si="0"/>
        <v>#VALUE!</v>
      </c>
      <c r="E12" t="str">
        <f t="shared" si="1"/>
        <v/>
      </c>
      <c r="J12">
        <v>450</v>
      </c>
    </row>
    <row r="13" spans="1:11" x14ac:dyDescent="0.35">
      <c r="A13">
        <v>500</v>
      </c>
      <c r="C13">
        <f t="shared" si="2"/>
        <v>0</v>
      </c>
      <c r="D13" t="e">
        <f t="shared" si="0"/>
        <v>#VALUE!</v>
      </c>
      <c r="E13" t="str">
        <f t="shared" si="1"/>
        <v/>
      </c>
      <c r="J13">
        <v>500</v>
      </c>
    </row>
    <row r="14" spans="1:11" x14ac:dyDescent="0.35">
      <c r="A14">
        <v>550</v>
      </c>
      <c r="C14">
        <f t="shared" si="2"/>
        <v>0</v>
      </c>
      <c r="D14" t="e">
        <f t="shared" si="0"/>
        <v>#VALUE!</v>
      </c>
      <c r="E14" t="str">
        <f t="shared" si="1"/>
        <v/>
      </c>
      <c r="J14">
        <v>550</v>
      </c>
    </row>
    <row r="15" spans="1:11" x14ac:dyDescent="0.35">
      <c r="A15">
        <v>600</v>
      </c>
      <c r="C15">
        <f t="shared" si="2"/>
        <v>0</v>
      </c>
      <c r="D15" t="e">
        <f t="shared" si="0"/>
        <v>#VALUE!</v>
      </c>
      <c r="E15" t="str">
        <f t="shared" si="1"/>
        <v/>
      </c>
      <c r="J15">
        <v>600</v>
      </c>
    </row>
    <row r="16" spans="1:11" x14ac:dyDescent="0.35">
      <c r="A16">
        <v>650</v>
      </c>
      <c r="C16">
        <f t="shared" si="2"/>
        <v>0</v>
      </c>
      <c r="D16" t="e">
        <f t="shared" si="0"/>
        <v>#VALUE!</v>
      </c>
      <c r="E16" t="str">
        <f t="shared" si="1"/>
        <v/>
      </c>
      <c r="J16">
        <v>650</v>
      </c>
    </row>
    <row r="17" spans="1:11" x14ac:dyDescent="0.35">
      <c r="A17">
        <v>700</v>
      </c>
      <c r="C17">
        <f t="shared" si="2"/>
        <v>0</v>
      </c>
      <c r="D17" t="e">
        <f t="shared" si="0"/>
        <v>#VALUE!</v>
      </c>
      <c r="E17" t="str">
        <f t="shared" si="1"/>
        <v/>
      </c>
      <c r="J17">
        <v>700</v>
      </c>
    </row>
    <row r="18" spans="1:11" x14ac:dyDescent="0.35">
      <c r="A18">
        <v>750</v>
      </c>
      <c r="C18">
        <f t="shared" si="2"/>
        <v>0</v>
      </c>
      <c r="D18" t="e">
        <f t="shared" si="0"/>
        <v>#VALUE!</v>
      </c>
      <c r="E18" t="str">
        <f t="shared" si="1"/>
        <v/>
      </c>
      <c r="J18">
        <v>750</v>
      </c>
    </row>
    <row r="19" spans="1:11" x14ac:dyDescent="0.35">
      <c r="A19">
        <v>800</v>
      </c>
      <c r="C19">
        <f>(B19-B18)/(A19-A18)</f>
        <v>0</v>
      </c>
      <c r="D19" t="e">
        <f t="shared" si="0"/>
        <v>#VALUE!</v>
      </c>
      <c r="E19" t="str">
        <f t="shared" si="1"/>
        <v/>
      </c>
      <c r="J19">
        <v>800</v>
      </c>
    </row>
    <row r="21" spans="1:11" x14ac:dyDescent="0.35">
      <c r="J21" t="s">
        <v>21</v>
      </c>
      <c r="K21">
        <f>SUMPRODUCT((K5:K18+K6:K19)/2,(J6:J19-J5:J18))</f>
        <v>0</v>
      </c>
    </row>
    <row r="23" spans="1:11" x14ac:dyDescent="0.35">
      <c r="J23" t="s">
        <v>22</v>
      </c>
    </row>
    <row r="24" spans="1:11" x14ac:dyDescent="0.35">
      <c r="J24" t="s">
        <v>23</v>
      </c>
      <c r="K24" t="str">
        <f>IF(K23="","",ABS(K21-K23)/ABS(K23))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3" workbookViewId="0"/>
  </sheetViews>
  <sheetFormatPr defaultRowHeight="14.5" x14ac:dyDescent="0.35"/>
  <sheetData>
    <row r="1" spans="1:5" x14ac:dyDescent="0.35">
      <c r="A1" t="s">
        <v>24</v>
      </c>
    </row>
    <row r="3" spans="1:5" x14ac:dyDescent="0.35">
      <c r="A3" t="s">
        <v>18</v>
      </c>
      <c r="B3" t="s">
        <v>19</v>
      </c>
      <c r="C3" t="s">
        <v>25</v>
      </c>
      <c r="D3" t="s">
        <v>26</v>
      </c>
      <c r="E3" t="s">
        <v>27</v>
      </c>
    </row>
    <row r="4" spans="1:5" x14ac:dyDescent="0.35">
      <c r="A4">
        <v>100</v>
      </c>
      <c r="B4">
        <v>40.460999999999999</v>
      </c>
      <c r="E4">
        <v>0</v>
      </c>
    </row>
    <row r="5" spans="1:5" x14ac:dyDescent="0.35">
      <c r="A5">
        <v>150</v>
      </c>
      <c r="B5">
        <v>42.256</v>
      </c>
      <c r="C5">
        <v>50</v>
      </c>
      <c r="D5">
        <v>2067.9250000000002</v>
      </c>
      <c r="E5">
        <v>2067.9250000000002</v>
      </c>
    </row>
    <row r="6" spans="1:5" x14ac:dyDescent="0.35">
      <c r="A6">
        <v>200</v>
      </c>
      <c r="B6">
        <v>43.881</v>
      </c>
      <c r="C6">
        <v>50</v>
      </c>
      <c r="D6">
        <v>2153.4250000000002</v>
      </c>
      <c r="E6">
        <v>4221.3500000000004</v>
      </c>
    </row>
    <row r="7" spans="1:5" x14ac:dyDescent="0.35">
      <c r="A7">
        <v>250</v>
      </c>
      <c r="B7">
        <v>45.354999999999997</v>
      </c>
      <c r="C7">
        <v>50</v>
      </c>
      <c r="D7">
        <v>2230.9</v>
      </c>
      <c r="E7">
        <v>6452.25</v>
      </c>
    </row>
    <row r="8" spans="1:5" x14ac:dyDescent="0.35">
      <c r="A8">
        <v>300</v>
      </c>
      <c r="B8">
        <v>46.695</v>
      </c>
      <c r="C8">
        <v>50</v>
      </c>
      <c r="D8">
        <v>2301.25</v>
      </c>
      <c r="E8">
        <v>8753.5</v>
      </c>
    </row>
    <row r="9" spans="1:5" x14ac:dyDescent="0.35">
      <c r="A9">
        <v>350</v>
      </c>
      <c r="B9">
        <v>47.917000000000002</v>
      </c>
      <c r="C9">
        <v>50</v>
      </c>
      <c r="D9">
        <v>2365.3000000000002</v>
      </c>
      <c r="E9">
        <v>11118.8</v>
      </c>
    </row>
    <row r="10" spans="1:5" x14ac:dyDescent="0.35">
      <c r="A10">
        <v>400</v>
      </c>
      <c r="B10">
        <v>49.033999999999999</v>
      </c>
      <c r="C10">
        <v>50</v>
      </c>
      <c r="D10">
        <v>2423.7750000000001</v>
      </c>
      <c r="E10">
        <v>13542.575000000001</v>
      </c>
    </row>
    <row r="11" spans="1:5" x14ac:dyDescent="0.35">
      <c r="A11">
        <v>450</v>
      </c>
      <c r="B11">
        <v>50.055</v>
      </c>
      <c r="C11">
        <v>50</v>
      </c>
      <c r="D11">
        <v>2477.2249999999999</v>
      </c>
      <c r="E11">
        <v>16019.8</v>
      </c>
    </row>
    <row r="12" spans="1:5" x14ac:dyDescent="0.35">
      <c r="A12">
        <v>500</v>
      </c>
      <c r="B12">
        <v>50.988999999999997</v>
      </c>
      <c r="C12">
        <v>50</v>
      </c>
      <c r="D12">
        <v>2526.1</v>
      </c>
      <c r="E12">
        <v>18545.900000000001</v>
      </c>
    </row>
    <row r="13" spans="1:5" x14ac:dyDescent="0.35">
      <c r="A13">
        <v>550</v>
      </c>
      <c r="B13">
        <v>51.843000000000004</v>
      </c>
      <c r="C13">
        <v>50</v>
      </c>
      <c r="D13">
        <v>2570.8000000000002</v>
      </c>
      <c r="E13">
        <v>21116.7</v>
      </c>
    </row>
    <row r="14" spans="1:5" x14ac:dyDescent="0.35">
      <c r="A14">
        <v>600</v>
      </c>
      <c r="B14">
        <v>52.624000000000002</v>
      </c>
      <c r="C14">
        <v>50</v>
      </c>
      <c r="D14">
        <v>2611.6750000000002</v>
      </c>
      <c r="E14">
        <v>23728.375</v>
      </c>
    </row>
    <row r="15" spans="1:5" x14ac:dyDescent="0.35">
      <c r="A15">
        <v>650</v>
      </c>
      <c r="B15">
        <v>53.338999999999999</v>
      </c>
      <c r="C15">
        <v>50</v>
      </c>
      <c r="D15">
        <v>2649.0749999999998</v>
      </c>
      <c r="E15">
        <v>26377.45</v>
      </c>
    </row>
    <row r="16" spans="1:5" x14ac:dyDescent="0.35">
      <c r="A16">
        <v>700</v>
      </c>
      <c r="B16">
        <v>53.994</v>
      </c>
      <c r="C16">
        <v>50</v>
      </c>
      <c r="D16">
        <v>2683.3249999999998</v>
      </c>
      <c r="E16">
        <v>29060.775000000001</v>
      </c>
    </row>
    <row r="17" spans="1:5" x14ac:dyDescent="0.35">
      <c r="A17">
        <v>750</v>
      </c>
      <c r="B17">
        <v>54.593000000000004</v>
      </c>
      <c r="C17">
        <v>50</v>
      </c>
      <c r="D17">
        <v>2714.6750000000002</v>
      </c>
      <c r="E17">
        <v>31775.45</v>
      </c>
    </row>
    <row r="18" spans="1:5" x14ac:dyDescent="0.35">
      <c r="A18">
        <v>800</v>
      </c>
      <c r="B18">
        <v>55.143999999999998</v>
      </c>
      <c r="D18">
        <v>2743.4250000000002</v>
      </c>
      <c r="E18">
        <v>34518.875</v>
      </c>
    </row>
    <row r="21" spans="1:5" x14ac:dyDescent="0.35">
      <c r="A21" t="s">
        <v>28</v>
      </c>
    </row>
    <row r="22" spans="1:5" x14ac:dyDescent="0.35">
      <c r="A22" t="s">
        <v>15</v>
      </c>
      <c r="B22">
        <v>-1.8348868778280302E-5</v>
      </c>
    </row>
    <row r="23" spans="1:5" x14ac:dyDescent="0.35">
      <c r="A23" t="s">
        <v>16</v>
      </c>
      <c r="B23">
        <v>3.7006696186166567E-2</v>
      </c>
    </row>
    <row r="24" spans="1:5" x14ac:dyDescent="0.35">
      <c r="A24" t="s">
        <v>17</v>
      </c>
      <c r="B24">
        <v>37.130913186813203</v>
      </c>
    </row>
    <row r="26" spans="1:5" x14ac:dyDescent="0.35">
      <c r="A26" t="s">
        <v>29</v>
      </c>
      <c r="B26" t="s">
        <v>30</v>
      </c>
    </row>
    <row r="27" spans="1:5" x14ac:dyDescent="0.35">
      <c r="A27" t="s">
        <v>31</v>
      </c>
      <c r="B27">
        <v>34518.875</v>
      </c>
    </row>
    <row r="28" spans="1:5" x14ac:dyDescent="0.35">
      <c r="A28" t="s">
        <v>32</v>
      </c>
      <c r="B28">
        <v>34.518875000000001</v>
      </c>
    </row>
    <row r="29" spans="1:5" x14ac:dyDescent="0.35">
      <c r="A29" t="s">
        <v>33</v>
      </c>
      <c r="B29">
        <v>34.523324547511308</v>
      </c>
    </row>
    <row r="30" spans="1:5" x14ac:dyDescent="0.35">
      <c r="A30" t="s">
        <v>34</v>
      </c>
      <c r="B30">
        <v>1.289018692326057E-2</v>
      </c>
    </row>
    <row r="31" spans="1:5" x14ac:dyDescent="0.35">
      <c r="A31" t="s">
        <v>35</v>
      </c>
      <c r="B31">
        <v>59.71</v>
      </c>
    </row>
    <row r="32" spans="1:5" x14ac:dyDescent="0.35">
      <c r="A32" t="s">
        <v>36</v>
      </c>
      <c r="B32">
        <v>42.189122425054428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Simpson Results</vt:lpstr>
      <vt:lpstr>Gauss Results</vt:lpstr>
      <vt:lpstr>Exercise 4.2 Template</vt:lpstr>
      <vt:lpstr>Exercise 4.2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2025-10-25T01:35:20Z</dcterms:created>
  <dcterms:modified xsi:type="dcterms:W3CDTF">2025-10-25T01:59:51Z</dcterms:modified>
</cp:coreProperties>
</file>