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c365-my.sharepoint.com/personal/tnghi3_uic_edu/Documents/"/>
    </mc:Choice>
  </mc:AlternateContent>
  <xr:revisionPtr revIDLastSave="456" documentId="8_{4A1EDB0E-C6CE-B140-971B-577FE382BA31}" xr6:coauthVersionLast="47" xr6:coauthVersionMax="47" xr10:uidLastSave="{2EA822B8-41DA-C245-8E51-2241C088B09F}"/>
  <bookViews>
    <workbookView xWindow="0" yWindow="0" windowWidth="25600" windowHeight="16000" activeTab="2" xr2:uid="{54E4E1F3-14D3-334F-905F-58C12D95F63E}"/>
  </bookViews>
  <sheets>
    <sheet name="3.1 (b&amp;c)" sheetId="1" r:id="rId1"/>
    <sheet name="3.3" sheetId="2" r:id="rId2"/>
    <sheet name="3.5" sheetId="4" r:id="rId3"/>
    <sheet name="3.5 (hand check)" sheetId="3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 a="1"/>
  <c r="I9" i="4" s="1"/>
  <c r="F12" i="4" a="1"/>
  <c r="F12" i="4" s="1"/>
  <c r="F11" i="4"/>
  <c r="F9" i="4"/>
  <c r="F3" i="4"/>
  <c r="F10" i="4" s="1"/>
  <c r="D15" i="3"/>
  <c r="E15" i="3"/>
  <c r="E19" i="3" s="1"/>
  <c r="C15" i="3"/>
  <c r="C19" i="3" s="1"/>
  <c r="D19" i="3"/>
  <c r="D21" i="3" s="1"/>
  <c r="B15" i="3"/>
  <c r="B17" i="3" s="1"/>
  <c r="C3" i="3"/>
  <c r="C4" i="3"/>
  <c r="C5" i="3"/>
  <c r="C2" i="3"/>
  <c r="B10" i="2" a="1"/>
  <c r="B10" i="2" s="1"/>
  <c r="G6" i="2"/>
  <c r="G7" i="2"/>
  <c r="G5" i="2"/>
  <c r="B21" i="1" a="1"/>
  <c r="B21" i="1" s="1"/>
  <c r="B26" i="1" s="1" a="1"/>
  <c r="B26" i="1" s="1"/>
  <c r="F21" i="1" s="1" a="1"/>
  <c r="F21" i="1" s="1"/>
  <c r="F26" i="1" s="1" a="1"/>
  <c r="F26" i="1" s="1"/>
  <c r="B15" i="1" a="1"/>
  <c r="B15" i="1" s="1"/>
  <c r="F15" i="1" s="1" a="1"/>
  <c r="F15" i="1" s="1"/>
  <c r="B23" i="3" l="1"/>
  <c r="B25" i="3"/>
  <c r="F15" i="3"/>
  <c r="E17" i="3"/>
  <c r="E21" i="3"/>
  <c r="B19" i="3"/>
  <c r="F19" i="3" s="1"/>
  <c r="C21" i="3"/>
  <c r="D17" i="3"/>
  <c r="C17" i="3"/>
  <c r="F17" i="3" l="1"/>
  <c r="E23" i="3"/>
  <c r="E25" i="3"/>
  <c r="B21" i="3"/>
  <c r="F21" i="3" s="1"/>
  <c r="C23" i="3"/>
  <c r="D23" i="3"/>
  <c r="D25" i="3" s="1"/>
  <c r="F23" i="3" l="1"/>
  <c r="C25" i="3"/>
  <c r="F25" i="3" s="1"/>
  <c r="F27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<sst xmlns="http://schemas.openxmlformats.org/spreadsheetml/2006/main" count="103" uniqueCount="59">
  <si>
    <t>mol/min</t>
  </si>
  <si>
    <t>P1</t>
  </si>
  <si>
    <t>P2</t>
  </si>
  <si>
    <t>SO2</t>
  </si>
  <si>
    <t>N2</t>
  </si>
  <si>
    <t>B</t>
  </si>
  <si>
    <t>Matrix A</t>
  </si>
  <si>
    <t>F2</t>
  </si>
  <si>
    <t>Matrix B</t>
  </si>
  <si>
    <t>A⁺ = (AᵀA)⁻¹ Aᵀ</t>
  </si>
  <si>
    <t>AᵀA</t>
  </si>
  <si>
    <t>(AᵀA)⁻¹</t>
  </si>
  <si>
    <t>A⁺</t>
  </si>
  <si>
    <t>A⁺b</t>
  </si>
  <si>
    <t>TABLE 3.2</t>
  </si>
  <si>
    <t>F1 =</t>
  </si>
  <si>
    <t xml:space="preserve"> A⁻¹b</t>
  </si>
  <si>
    <t>A⁻¹</t>
  </si>
  <si>
    <t>b) Calc.  A⁻¹b</t>
  </si>
  <si>
    <t>c) Pseudo - inverse A⁺b</t>
  </si>
  <si>
    <t>F=</t>
  </si>
  <si>
    <t>kg/min</t>
  </si>
  <si>
    <t>Component</t>
  </si>
  <si>
    <t>F</t>
  </si>
  <si>
    <t>V1</t>
  </si>
  <si>
    <t>V2</t>
  </si>
  <si>
    <t>Methanol</t>
  </si>
  <si>
    <t>Ethanol</t>
  </si>
  <si>
    <t>Butanol</t>
  </si>
  <si>
    <t>L</t>
  </si>
  <si>
    <t>A[V1​,V2​,L​]^T=b</t>
  </si>
  <si>
    <r>
      <rPr>
        <b/>
        <i/>
        <u/>
        <sz val="14"/>
        <color theme="1"/>
        <rFont val="Times New Roman"/>
        <family val="1"/>
      </rPr>
      <t>Exercise 3.1</t>
    </r>
    <r>
      <rPr>
        <b/>
        <i/>
        <sz val="14"/>
        <color theme="1"/>
        <rFont val="Times New Roman"/>
        <family val="1"/>
      </rPr>
      <t xml:space="preserve">: (b &amp; c ONLY) – Gas Absorber </t>
    </r>
  </si>
  <si>
    <r>
      <rPr>
        <b/>
        <i/>
        <u/>
        <sz val="14"/>
        <color rgb="FF000000"/>
        <rFont val="Times New Roman"/>
        <family val="1"/>
      </rPr>
      <t>Exercise 3.3</t>
    </r>
    <r>
      <rPr>
        <b/>
        <sz val="14"/>
        <color rgb="FF000000"/>
        <rFont val="Times New Roman"/>
        <family val="1"/>
      </rPr>
      <t>: Flash tanks in series</t>
    </r>
  </si>
  <si>
    <t>Benzene</t>
  </si>
  <si>
    <t>Styrene</t>
  </si>
  <si>
    <t>Toluene</t>
  </si>
  <si>
    <t>Xylene</t>
  </si>
  <si>
    <t>mol%</t>
  </si>
  <si>
    <t>mol/hr</t>
  </si>
  <si>
    <t>A to B</t>
  </si>
  <si>
    <t>B to D</t>
  </si>
  <si>
    <t>C to F</t>
  </si>
  <si>
    <t>100 mol/hr</t>
  </si>
  <si>
    <t xml:space="preserve">B component flows: </t>
  </si>
  <si>
    <t>Total</t>
  </si>
  <si>
    <t xml:space="preserve">C component flows: </t>
  </si>
  <si>
    <t xml:space="preserve">D component flows: </t>
  </si>
  <si>
    <t xml:space="preserve">E component flows: </t>
  </si>
  <si>
    <t xml:space="preserve">F component flows: </t>
  </si>
  <si>
    <t xml:space="preserve">G component flows: </t>
  </si>
  <si>
    <t>C</t>
  </si>
  <si>
    <t>D</t>
  </si>
  <si>
    <t>MATRIX [b]</t>
  </si>
  <si>
    <t>MATRIX [A]</t>
  </si>
  <si>
    <t>E</t>
  </si>
  <si>
    <t>G</t>
  </si>
  <si>
    <t>(RHS)</t>
  </si>
  <si>
    <t>Ax=b</t>
  </si>
  <si>
    <r>
      <rPr>
        <b/>
        <i/>
        <u/>
        <sz val="12"/>
        <color rgb="FF000000"/>
        <rFont val="Times New Roman"/>
        <family val="1"/>
      </rPr>
      <t>Exercise 3.5:</t>
    </r>
    <r>
      <rPr>
        <b/>
        <i/>
        <sz val="12"/>
        <color rgb="FF000000"/>
        <rFont val="Times New Roman"/>
        <family val="1"/>
      </rPr>
      <t xml:space="preserve"> A chemical separation system</t>
    </r>
    <r>
      <rPr>
        <b/>
        <sz val="14"/>
        <color rgb="FF000000"/>
        <rFont val="Times New Roman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</si>
</sst>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  <font>
      <b/>
      <i/>
      <sz val="14"/>
      <color theme="1"/>
      <name val="Times New Roman"/>
      <family val="1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i/>
      <u/>
      <sz val="14"/>
      <color theme="1"/>
      <name val="Times New Roman"/>
      <family val="1"/>
    </font>
    <font>
      <b/>
      <i/>
      <u/>
      <sz val="14"/>
      <color rgb="FF000000"/>
      <name val="Times New Roman"/>
      <family val="1"/>
    </font>
    <font>
      <sz val="11"/>
      <color rgb="FF000000"/>
      <name val="Aptos Narrow"/>
      <scheme val="minor"/>
    </font>
    <font>
      <b/>
      <i/>
      <sz val="12"/>
      <color rgb="FF000000"/>
      <name val="Times New Roman"/>
      <family val="1"/>
    </font>
    <font>
      <b/>
      <i/>
      <u/>
      <sz val="12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4FF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5" fontId="4" fillId="0" borderId="0" xfId="0" applyNumberFormat="1" applyFont="1"/>
    <xf numFmtId="0" fontId="4" fillId="0" borderId="0" xfId="0" applyNumberFormat="1" applyFont="1"/>
    <xf numFmtId="0" fontId="5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6" fillId="0" borderId="0" xfId="0" applyFont="1"/>
    <xf numFmtId="0" fontId="4" fillId="2" borderId="0" xfId="0" applyFont="1" applyFill="1"/>
    <xf numFmtId="0" fontId="3" fillId="3" borderId="0" xfId="0" applyFont="1" applyFill="1" applyAlignment="1">
      <alignment horizontal="right"/>
    </xf>
    <xf numFmtId="0" fontId="4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4" fillId="0" borderId="0" xfId="0" applyFont="1" applyFill="1"/>
    <xf numFmtId="0" fontId="6" fillId="5" borderId="0" xfId="0" applyFont="1" applyFill="1"/>
    <xf numFmtId="0" fontId="7" fillId="0" borderId="0" xfId="0" applyFont="1"/>
    <xf numFmtId="0" fontId="8" fillId="0" borderId="0" xfId="0" applyFont="1" applyAlignment="1">
      <alignment horizontal="right"/>
    </xf>
    <xf numFmtId="0" fontId="8" fillId="0" borderId="0" xfId="0" applyFont="1"/>
    <xf numFmtId="0" fontId="6" fillId="4" borderId="0" xfId="0" applyFont="1" applyFill="1" applyAlignment="1">
      <alignment horizontal="left"/>
    </xf>
    <xf numFmtId="0" fontId="6" fillId="6" borderId="0" xfId="0" applyFont="1" applyFill="1"/>
    <xf numFmtId="0" fontId="6" fillId="4" borderId="0" xfId="0" applyFont="1" applyFill="1"/>
    <xf numFmtId="0" fontId="5" fillId="4" borderId="0" xfId="0" applyFont="1" applyFill="1"/>
    <xf numFmtId="0" fontId="5" fillId="5" borderId="0" xfId="0" applyFont="1" applyFill="1"/>
    <xf numFmtId="0" fontId="6" fillId="0" borderId="0" xfId="0" applyFont="1" applyAlignment="1">
      <alignment horizontal="center"/>
    </xf>
    <xf numFmtId="0" fontId="4" fillId="7" borderId="0" xfId="0" applyFont="1" applyFill="1"/>
    <xf numFmtId="9" fontId="0" fillId="0" borderId="0" xfId="0" applyNumberFormat="1"/>
    <xf numFmtId="0" fontId="11" fillId="0" borderId="0" xfId="0" applyFont="1"/>
    <xf numFmtId="0" fontId="0" fillId="3" borderId="0" xfId="0" applyFill="1"/>
    <xf numFmtId="2" fontId="0" fillId="3" borderId="0" xfId="0" applyNumberFormat="1" applyFill="1"/>
    <xf numFmtId="0" fontId="0" fillId="0" borderId="0" xfId="0" applyFill="1"/>
    <xf numFmtId="2" fontId="0" fillId="0" borderId="0" xfId="0" applyNumberFormat="1" applyFill="1"/>
    <xf numFmtId="0" fontId="0" fillId="4" borderId="0" xfId="0" applyFill="1"/>
    <xf numFmtId="2" fontId="0" fillId="4" borderId="0" xfId="0" applyNumberFormat="1" applyFill="1"/>
    <xf numFmtId="0" fontId="12" fillId="0" borderId="0" xfId="0" applyFont="1"/>
    <xf numFmtId="2" fontId="2" fillId="0" borderId="0" xfId="0" applyNumberFormat="1" applyFont="1"/>
    <xf numFmtId="0" fontId="2" fillId="4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4FFE8"/>
      <color rgb="FFE1FF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208642</xdr:colOff>
      <xdr:row>0</xdr:row>
      <xdr:rowOff>54428</xdr:rowOff>
    </xdr:from>
    <xdr:ext cx="5135637" cy="95346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0906511-9F3F-0C14-38F4-A9252592BD15}"/>
            </a:ext>
          </a:extLst>
        </xdr:cNvPr>
        <xdr:cNvSpPr txBox="1"/>
      </xdr:nvSpPr>
      <xdr:spPr>
        <a:xfrm>
          <a:off x="3510642" y="54428"/>
          <a:ext cx="5135637" cy="953466"/>
        </a:xfrm>
        <a:prstGeom prst="rect">
          <a:avLst/>
        </a:prstGeom>
        <a:solidFill>
          <a:schemeClr val="bg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 gas absorber is fed, via stream F1, 100 mol/min of monoethanolamine (MEA) and CO2. 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Stream F1 is composed of 98% (mol%) MEA and 2% CO2. 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Stream F2 contains CO2, SO2, and N2 (Figure 3.1). </a:t>
          </a:r>
        </a:p>
        <a:p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Experimental data available for the unit are shown in Table 3.2. </a:t>
          </a:r>
          <a:endParaRPr lang="en-US"/>
        </a:p>
        <a:p>
          <a:endParaRPr lang="en-US" sz="1100"/>
        </a:p>
      </xdr:txBody>
    </xdr:sp>
    <xdr:clientData/>
  </xdr:oneCellAnchor>
  <xdr:oneCellAnchor>
    <xdr:from>
      <xdr:col>6</xdr:col>
      <xdr:colOff>422273</xdr:colOff>
      <xdr:row>4</xdr:row>
      <xdr:rowOff>29286</xdr:rowOff>
    </xdr:from>
    <xdr:ext cx="2851230" cy="164615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697638E-B995-D17F-4F43-3AD58154F4B4}"/>
                </a:ext>
              </a:extLst>
            </xdr:cNvPr>
            <xdr:cNvSpPr txBox="1"/>
          </xdr:nvSpPr>
          <xdr:spPr>
            <a:xfrm>
              <a:off x="5719987" y="948524"/>
              <a:ext cx="2851230" cy="1646156"/>
            </a:xfrm>
            <a:prstGeom prst="rect">
              <a:avLst/>
            </a:prstGeom>
            <a:solidFill>
              <a:schemeClr val="tx2">
                <a:lumMod val="10000"/>
                <a:lumOff val="9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Ax = b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x=[P1,F2,P2]^T</a:t>
              </a:r>
            </a:p>
            <a:p>
              <a:endParaRPr lang="en-US" sz="1100" b="0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F1 + F2 = P1 + P2</a:t>
              </a:r>
            </a:p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 xmlns:m="http://schemas.openxmlformats.org/officeDocument/2006/math">
                    <m:r>
                      <a:rPr lang="en-US" sz="110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𝑃</m:t>
                    </m:r>
                    <m:r>
                      <a:rPr lang="en-US" sz="1100" i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1</m:t>
                    </m:r>
                    <m:r>
                      <a:rPr lang="vi-VN" sz="11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- </m:t>
                    </m:r>
                    <m:r>
                      <a:rPr lang="en-US" sz="110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𝐹</m:t>
                    </m:r>
                    <m:r>
                      <a:rPr lang="en-US" sz="1100" i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2</m:t>
                    </m:r>
                    <m:r>
                      <a:rPr lang="vi-VN" sz="1100" b="0" i="1">
                        <a:solidFill>
                          <a:schemeClr val="tx1"/>
                        </a:solidFill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r>
                      <a:rPr lang="en-US" sz="110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𝑃</m:t>
                    </m:r>
                    <m:r>
                      <a:rPr lang="en-US" sz="1100" i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2=</m:t>
                    </m:r>
                    <m:r>
                      <a:rPr lang="en-US" sz="1100" i="1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𝐹</m:t>
                    </m:r>
                    <m:r>
                      <a:rPr lang="en-US" sz="1100" i="0"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rPr>
                      <m:t>1</m:t>
                    </m:r>
                  </m:oMath>
                </m:oMathPara>
              </a14:m>
              <a:endParaRPr lang="en-US"/>
            </a:p>
            <a:p>
              <a:pPr/>
              <a:endParaRPr lang="en-US"/>
            </a:p>
            <a:p>
              <a:r>
                <a:rPr lang="en-US" b="1"/>
                <a:t>SO₂:</a:t>
              </a:r>
              <a:r>
                <a:rPr lang="en-US"/>
                <a:t> 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+</m:t>
                  </m:r>
                  <m:r>
                    <a:rPr lang="en-US" sz="1100" i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0.017</m:t>
                  </m:r>
                  <m:r>
                    <m:rPr>
                      <m:nor/>
                    </m:rPr>
                    <a:rPr lang="en-US" sz="1100" b="0" i="1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 </m:t>
                  </m:r>
                  <m:r>
                    <a:rPr lang="en-US" sz="1100" b="0" i="1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𝑃</m:t>
                  </m:r>
                  <m:r>
                    <a:rPr lang="en-US" sz="1100" b="0" i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1−0.020</m:t>
                  </m:r>
                  <m:r>
                    <m:rPr>
                      <m:nor/>
                    </m:rPr>
                    <a:rPr lang="en-US" sz="1100" b="0" i="1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 </m:t>
                  </m:r>
                  <m:r>
                    <a:rPr lang="en-US" sz="1100" b="0" i="1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𝐹</m:t>
                  </m:r>
                  <m:r>
                    <a:rPr lang="en-US" sz="1100" b="0" i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2+0.0022</m:t>
                  </m:r>
                  <m:r>
                    <m:rPr>
                      <m:nor/>
                    </m:rPr>
                    <a:rPr lang="en-US" sz="1100" b="0" i="1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 </m:t>
                  </m:r>
                  <m:r>
                    <a:rPr lang="en-US" sz="1100" b="0" i="1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𝑃</m:t>
                  </m:r>
                  <m:r>
                    <a:rPr lang="en-US" sz="1100" b="0" i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2=0</m:t>
                  </m:r>
                </m:oMath>
              </a14:m>
              <a:endParaRPr lang="en-US"/>
            </a:p>
            <a:p>
              <a:r>
                <a:rPr lang="en-US" b="1"/>
                <a:t>N₂:</a:t>
              </a:r>
              <a:r>
                <a:rPr lang="en-US"/>
                <a:t> </a:t>
              </a:r>
              <a14:m>
                <m:oMath xmlns:m="http://schemas.openxmlformats.org/officeDocument/2006/math">
                  <m:r>
                    <a:rPr lang="en-US" sz="110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0</m:t>
                  </m:r>
                  <m:r>
                    <a:rPr lang="en-US" sz="1100" i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⋅</m:t>
                  </m:r>
                  <m:r>
                    <a:rPr lang="en-US" sz="1100" i="1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𝑃</m:t>
                  </m:r>
                  <m:r>
                    <a:rPr lang="en-US" sz="1100" i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1−0.900</m:t>
                  </m:r>
                  <m:r>
                    <m:rPr>
                      <m:nor/>
                    </m:rPr>
                    <a:rPr lang="en-US" sz="1100" b="0" i="1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 </m:t>
                  </m:r>
                  <m:r>
                    <a:rPr lang="en-US" sz="1100" b="0" i="1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𝐹</m:t>
                  </m:r>
                  <m:r>
                    <a:rPr lang="en-US" sz="1100" b="0" i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2+0.989</m:t>
                  </m:r>
                  <m:r>
                    <m:rPr>
                      <m:nor/>
                    </m:rPr>
                    <a:rPr lang="en-US" sz="1100" b="0" i="1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 </m:t>
                  </m:r>
                  <m:r>
                    <a:rPr lang="en-US" sz="1100" b="0" i="1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𝑃</m:t>
                  </m:r>
                  <m:r>
                    <a:rPr lang="en-US" sz="1100" b="0" i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rPr>
                    <m:t>2=0</m:t>
                  </m:r>
                </m:oMath>
              </a14:m>
              <a:endParaRPr lang="en-US"/>
            </a:p>
            <a:p>
              <a:endParaRPr lang="en-US" sz="1100"/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B697638E-B995-D17F-4F43-3AD58154F4B4}"/>
                </a:ext>
              </a:extLst>
            </xdr:cNvPr>
            <xdr:cNvSpPr txBox="1"/>
          </xdr:nvSpPr>
          <xdr:spPr>
            <a:xfrm>
              <a:off x="5719987" y="948524"/>
              <a:ext cx="2851230" cy="1646156"/>
            </a:xfrm>
            <a:prstGeom prst="rect">
              <a:avLst/>
            </a:prstGeom>
            <a:solidFill>
              <a:schemeClr val="tx2">
                <a:lumMod val="10000"/>
                <a:lumOff val="90000"/>
              </a:schemeClr>
            </a:solidFill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Ax = b</a:t>
              </a:r>
              <a:b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x=[P1,F2,P2]^T</a:t>
              </a:r>
            </a:p>
            <a:p>
              <a:endParaRPr lang="en-US" sz="1100" b="0" i="0" u="none" strike="noStrike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US" sz="1100" b="0" i="0" u="none" strike="noStrike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F1 + F2 = P1 + P2</a:t>
              </a:r>
            </a:p>
            <a:p>
              <a:pPr/>
              <a:r>
                <a:rPr lang="en-U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𝑃1</a:t>
              </a:r>
              <a:r>
                <a:rPr lang="vi-VN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 - </a:t>
              </a:r>
              <a:r>
                <a:rPr lang="en-U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𝐹2</a:t>
              </a:r>
              <a:r>
                <a:rPr lang="vi-VN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+</a:t>
              </a:r>
              <a:r>
                <a:rPr lang="en-U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𝑃2=𝐹1</a:t>
              </a:r>
              <a:endParaRPr lang="en-US"/>
            </a:p>
            <a:p>
              <a:pPr/>
              <a:endParaRPr lang="en-US"/>
            </a:p>
            <a:p>
              <a:r>
                <a:rPr lang="en-US" b="1"/>
                <a:t>SO₂:</a:t>
              </a:r>
              <a:r>
                <a:rPr lang="en-US"/>
                <a:t> </a:t>
              </a:r>
              <a:r>
                <a:rPr lang="en-U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+0.017</a:t>
              </a:r>
              <a:r>
                <a:rPr lang="en-US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en-US" sz="11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 𝑃1−0.020</a:t>
              </a:r>
              <a:r>
                <a:rPr lang="en-US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en-US" sz="11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 𝐹2+0.0022</a:t>
              </a:r>
              <a:r>
                <a:rPr lang="en-US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en-US" sz="11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 𝑃2=0</a:t>
              </a:r>
              <a:endParaRPr lang="en-US"/>
            </a:p>
            <a:p>
              <a:r>
                <a:rPr lang="en-US" b="1"/>
                <a:t>N₂:</a:t>
              </a:r>
              <a:r>
                <a:rPr lang="en-US"/>
                <a:t> </a:t>
              </a:r>
              <a:r>
                <a:rPr lang="en-US" sz="110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0⋅𝑃1−0.900</a:t>
              </a:r>
              <a:r>
                <a:rPr lang="en-US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en-US" sz="11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 𝐹2+0.989</a:t>
              </a:r>
              <a:r>
                <a:rPr lang="en-US" sz="1100" b="0" i="0">
                  <a:solidFill>
                    <a:schemeClr val="tx1"/>
                  </a:solidFill>
                  <a:latin typeface="Cambria Math" panose="02040503050406030204" pitchFamily="18" charset="0"/>
                  <a:ea typeface="+mn-ea"/>
                  <a:cs typeface="+mn-cs"/>
                </a:rPr>
                <a:t>" </a:t>
              </a:r>
              <a:r>
                <a:rPr lang="en-US" sz="1100" b="0" i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" 𝑃2=0</a:t>
              </a:r>
              <a:endParaRPr lang="en-US"/>
            </a:p>
            <a:p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245087</xdr:colOff>
      <xdr:row>7</xdr:row>
      <xdr:rowOff>178247</xdr:rowOff>
    </xdr:from>
    <xdr:ext cx="3116174" cy="12851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564B58-73DB-C8EA-3792-801B1E43595A}"/>
            </a:ext>
          </a:extLst>
        </xdr:cNvPr>
        <xdr:cNvSpPr txBox="1"/>
      </xdr:nvSpPr>
      <xdr:spPr>
        <a:xfrm>
          <a:off x="2721587" y="1765747"/>
          <a:ext cx="3116174" cy="1285160"/>
        </a:xfrm>
        <a:prstGeom prst="rect">
          <a:avLst/>
        </a:prstGeom>
        <a:solidFill>
          <a:srgbClr val="E4FFE8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F = V1 + V2 + L </a:t>
          </a:r>
        </a:p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Mt: </a:t>
          </a:r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0.71V1 + 0.44V2 + 0.08L =</a:t>
          </a:r>
          <a:r>
            <a:rPr lang="en-US" sz="1400" b="0" baseline="0">
              <a:latin typeface="Times New Roman" panose="02020603050405020304" pitchFamily="18" charset="0"/>
              <a:cs typeface="Times New Roman" panose="02020603050405020304" pitchFamily="18" charset="0"/>
            </a:rPr>
            <a:t> F</a:t>
          </a:r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*(0.3)</a:t>
          </a:r>
        </a:p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Et: </a:t>
          </a:r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0.27V1 + 0.55V2 +0.39L</a:t>
          </a:r>
        </a:p>
        <a:p>
          <a:r>
            <a:rPr lang="en-US" sz="1400" b="1">
              <a:latin typeface="Times New Roman" panose="02020603050405020304" pitchFamily="18" charset="0"/>
              <a:cs typeface="Times New Roman" panose="02020603050405020304" pitchFamily="18" charset="0"/>
            </a:rPr>
            <a:t>But: </a:t>
          </a:r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0.02V1 + 0.01V2 +0.53L</a:t>
          </a:r>
        </a:p>
        <a:p>
          <a:endParaRPr lang="en-US" sz="1400" b="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400" b="0">
              <a:latin typeface="Times New Roman" panose="02020603050405020304" pitchFamily="18" charset="0"/>
              <a:cs typeface="Times New Roman" panose="02020603050405020304" pitchFamily="18" charset="0"/>
            </a:rPr>
            <a:t>"=MMULT(MINVERSE(),)"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272003</xdr:colOff>
      <xdr:row>0</xdr:row>
      <xdr:rowOff>102720</xdr:rowOff>
    </xdr:from>
    <xdr:ext cx="2161701" cy="246728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23454CD-728B-B4FB-04D7-D0B0FCA0DB5B}"/>
            </a:ext>
          </a:extLst>
        </xdr:cNvPr>
        <xdr:cNvSpPr txBox="1"/>
      </xdr:nvSpPr>
      <xdr:spPr>
        <a:xfrm>
          <a:off x="7667885" y="102720"/>
          <a:ext cx="2161701" cy="2467282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4x4</a:t>
          </a:r>
          <a:b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Apllying RHS</a:t>
          </a:r>
        </a:p>
        <a:p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[D, E, F, G]^T</a:t>
          </a:r>
        </a:p>
        <a:p>
          <a:b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I. B+C=A=100</a:t>
          </a:r>
        </a:p>
        <a:p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II. D+E=B</a:t>
          </a:r>
        </a:p>
        <a:p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III.F+G=C</a:t>
          </a:r>
        </a:p>
        <a:p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D=14.275, F=14.1</a:t>
          </a:r>
        </a:p>
        <a:p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D + E + 0F + 0G = B_TOTAL</a:t>
          </a:r>
        </a:p>
        <a:p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0D + E + F + G = C_TOTAL</a:t>
          </a:r>
        </a:p>
        <a:p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D + 0E +0F + 0G = D_TOTAL</a:t>
          </a:r>
        </a:p>
        <a:p>
          <a: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  <a:t>0D + 0E + F + 0G = F_TOTAL</a:t>
          </a:r>
          <a:br>
            <a:rPr lang="en-US" sz="1100">
              <a:latin typeface="Times New Roman" panose="02020603050405020304" pitchFamily="18" charset="0"/>
              <a:cs typeface="Times New Roman" panose="02020603050405020304" pitchFamily="18" charset="0"/>
            </a:rPr>
          </a:br>
          <a:endParaRPr lang="en-US" sz="1100">
            <a:solidFill>
              <a:srgbClr val="C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rgbClr val="C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"=MMULT(MINVERSE(),)"</a:t>
          </a:r>
        </a:p>
        <a:p>
          <a:endParaRPr 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451331</xdr:colOff>
      <xdr:row>12</xdr:row>
      <xdr:rowOff>93133</xdr:rowOff>
    </xdr:from>
    <xdr:ext cx="4055341" cy="198541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68AB084-220D-9D2D-3FDC-42C120137958}"/>
            </a:ext>
          </a:extLst>
        </xdr:cNvPr>
        <xdr:cNvSpPr txBox="1"/>
      </xdr:nvSpPr>
      <xdr:spPr>
        <a:xfrm>
          <a:off x="5514398" y="2531533"/>
          <a:ext cx="4055341" cy="1985415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Apllying RHS</a:t>
          </a:r>
        </a:p>
        <a:p>
          <a:r>
            <a:rPr lang="en-US" sz="1100"/>
            <a:t>[D, E, F, G]^T</a:t>
          </a:r>
        </a:p>
        <a:p>
          <a:endParaRPr lang="en-US" sz="1100"/>
        </a:p>
        <a:p>
          <a:r>
            <a:rPr lang="en-US" sz="1100"/>
            <a:t>B component</a:t>
          </a:r>
          <a:r>
            <a:rPr lang="en-US" sz="1100" baseline="0"/>
            <a:t> flows: (A to B)*(mol/hr)</a:t>
          </a:r>
        </a:p>
        <a:p>
          <a:r>
            <a:rPr lang="en-US" sz="1100" baseline="0"/>
            <a:t>mol/h_[B] = D + 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 component flows: </a:t>
          </a:r>
          <a:r>
            <a:rPr lang="en-US">
              <a:effectLst/>
            </a:rPr>
            <a:t> (mol/hr) - B component flows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effectLst/>
            </a:rPr>
            <a:t>mol/h_[C] = F + G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 component flows:</a:t>
          </a:r>
          <a:b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 component flows:</a:t>
          </a:r>
          <a:b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 component flows:</a:t>
          </a:r>
          <a:endParaRPr lang="en-US">
            <a:effectLst/>
          </a:endParaRPr>
        </a:p>
        <a:p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 component flows: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CE64E-76D0-784F-B50C-0589C077EC6C}">
  <dimension ref="A1:J29"/>
  <sheetViews>
    <sheetView zoomScale="106" zoomScaleNormal="105" workbookViewId="0">
      <selection activeCell="F17" sqref="F17"/>
    </sheetView>
  </sheetViews>
  <sheetFormatPr baseColWidth="10" defaultRowHeight="18" x14ac:dyDescent="0.2"/>
  <cols>
    <col min="1" max="1" width="15.5" style="5" customWidth="1"/>
    <col min="2" max="7" width="10.83203125" style="5"/>
    <col min="8" max="8" width="12.6640625" style="5" bestFit="1" customWidth="1"/>
    <col min="9" max="16384" width="10.83203125" style="5"/>
  </cols>
  <sheetData>
    <row r="1" spans="1:8" x14ac:dyDescent="0.2">
      <c r="A1" s="13" t="s">
        <v>31</v>
      </c>
      <c r="B1" s="13"/>
      <c r="C1" s="13"/>
      <c r="D1" s="13"/>
    </row>
    <row r="2" spans="1:8" x14ac:dyDescent="0.2">
      <c r="A2" s="11" t="s">
        <v>15</v>
      </c>
      <c r="B2" s="10">
        <v>100</v>
      </c>
      <c r="C2" s="5" t="s">
        <v>0</v>
      </c>
    </row>
    <row r="4" spans="1:8" x14ac:dyDescent="0.2">
      <c r="A4" s="9" t="s">
        <v>14</v>
      </c>
      <c r="B4" s="9" t="s">
        <v>1</v>
      </c>
      <c r="C4" s="9" t="s">
        <v>7</v>
      </c>
      <c r="D4" s="9" t="s">
        <v>2</v>
      </c>
    </row>
    <row r="5" spans="1:8" x14ac:dyDescent="0.2">
      <c r="A5" s="9" t="s">
        <v>3</v>
      </c>
      <c r="B5" s="6">
        <v>1.7000000000000001E-2</v>
      </c>
      <c r="C5" s="6">
        <v>0.02</v>
      </c>
      <c r="D5" s="6">
        <v>2.2000000000000001E-3</v>
      </c>
    </row>
    <row r="6" spans="1:8" x14ac:dyDescent="0.2">
      <c r="A6" s="9" t="s">
        <v>4</v>
      </c>
      <c r="B6" s="6">
        <v>0</v>
      </c>
      <c r="C6" s="6">
        <v>0.9</v>
      </c>
      <c r="D6" s="6">
        <v>0.98899999999999999</v>
      </c>
    </row>
    <row r="7" spans="1:8" x14ac:dyDescent="0.2">
      <c r="A7" s="16"/>
      <c r="B7" s="16"/>
      <c r="C7" s="16"/>
      <c r="D7" s="16"/>
      <c r="E7" s="16"/>
      <c r="F7" s="16"/>
      <c r="G7" s="19"/>
      <c r="H7" s="19"/>
    </row>
    <row r="8" spans="1:8" x14ac:dyDescent="0.2">
      <c r="A8" s="9" t="s">
        <v>6</v>
      </c>
      <c r="B8" s="9" t="s">
        <v>1</v>
      </c>
      <c r="C8" s="9" t="s">
        <v>7</v>
      </c>
      <c r="D8" s="9" t="s">
        <v>2</v>
      </c>
      <c r="E8" s="9"/>
      <c r="F8" s="9" t="s">
        <v>8</v>
      </c>
    </row>
    <row r="9" spans="1:8" x14ac:dyDescent="0.2">
      <c r="A9" s="12" t="s">
        <v>3</v>
      </c>
      <c r="B9" s="14">
        <v>1.7000000000000001E-2</v>
      </c>
      <c r="C9" s="14">
        <v>-0.02</v>
      </c>
      <c r="D9" s="14">
        <v>2.2000000000000001E-3</v>
      </c>
      <c r="F9" s="14">
        <v>0</v>
      </c>
    </row>
    <row r="10" spans="1:8" x14ac:dyDescent="0.2">
      <c r="A10" s="12" t="s">
        <v>4</v>
      </c>
      <c r="B10" s="14">
        <v>0</v>
      </c>
      <c r="C10" s="14">
        <v>-0.9</v>
      </c>
      <c r="D10" s="14">
        <v>0.98899999999999999</v>
      </c>
      <c r="F10" s="14">
        <v>0</v>
      </c>
    </row>
    <row r="11" spans="1:8" x14ac:dyDescent="0.2">
      <c r="A11" s="12"/>
      <c r="B11" s="14">
        <v>1</v>
      </c>
      <c r="C11" s="14">
        <v>-1</v>
      </c>
      <c r="D11" s="14">
        <v>1</v>
      </c>
      <c r="F11" s="14">
        <v>100</v>
      </c>
    </row>
    <row r="12" spans="1:8" x14ac:dyDescent="0.2">
      <c r="A12" s="15"/>
      <c r="B12" s="16"/>
      <c r="C12" s="16"/>
      <c r="D12" s="16"/>
      <c r="E12" s="16"/>
      <c r="F12" s="16"/>
      <c r="G12" s="19"/>
      <c r="H12" s="19"/>
    </row>
    <row r="13" spans="1:8" x14ac:dyDescent="0.2">
      <c r="A13" s="24" t="s">
        <v>18</v>
      </c>
      <c r="B13" s="8"/>
      <c r="C13" s="8"/>
      <c r="D13" s="8"/>
      <c r="E13" s="8"/>
    </row>
    <row r="14" spans="1:8" x14ac:dyDescent="0.2">
      <c r="A14" s="25" t="s">
        <v>17</v>
      </c>
      <c r="B14" s="8"/>
      <c r="C14" s="8"/>
      <c r="D14" s="8"/>
      <c r="E14" s="26" t="s">
        <v>16</v>
      </c>
    </row>
    <row r="15" spans="1:8" x14ac:dyDescent="0.2">
      <c r="A15" s="9" t="s">
        <v>1</v>
      </c>
      <c r="B15" s="5" cm="1">
        <f t="array" ref="B15:D17">MINVERSE(B9:D11)</f>
        <v>-5.4644808743169406</v>
      </c>
      <c r="C15" s="5">
        <v>-1.0928961748633879</v>
      </c>
      <c r="D15" s="5">
        <v>1.0928961748633881</v>
      </c>
      <c r="E15" s="9"/>
      <c r="F15" s="18" cm="1">
        <f t="array" ref="F15:F17">MMULT(B15:D17,F9:F11)</f>
        <v>109.28961748633881</v>
      </c>
      <c r="H15" s="7"/>
    </row>
    <row r="16" spans="1:8" x14ac:dyDescent="0.2">
      <c r="A16" s="29" t="s">
        <v>7</v>
      </c>
      <c r="B16" s="5">
        <v>-60.723276232578129</v>
      </c>
      <c r="C16" s="5">
        <v>-0.9087001903358507</v>
      </c>
      <c r="D16" s="5">
        <v>1.0322956959538281</v>
      </c>
      <c r="E16" s="29"/>
      <c r="F16" s="18">
        <v>103.22956959538281</v>
      </c>
      <c r="H16" s="19"/>
    </row>
    <row r="17" spans="1:10" x14ac:dyDescent="0.2">
      <c r="A17" s="9" t="s">
        <v>2</v>
      </c>
      <c r="B17" s="5">
        <v>-55.258795358261189</v>
      </c>
      <c r="C17" s="5">
        <v>0.18419598452753724</v>
      </c>
      <c r="D17" s="5">
        <v>0.93939952109044023</v>
      </c>
      <c r="E17" s="9"/>
      <c r="F17" s="18">
        <v>93.939952109044029</v>
      </c>
    </row>
    <row r="18" spans="1:10" x14ac:dyDescent="0.2">
      <c r="A18" s="16"/>
      <c r="B18" s="16"/>
      <c r="C18" s="16"/>
      <c r="D18" s="16"/>
      <c r="E18" s="16"/>
      <c r="F18" s="16"/>
      <c r="G18" s="19"/>
      <c r="H18" s="19"/>
    </row>
    <row r="19" spans="1:10" x14ac:dyDescent="0.2">
      <c r="A19" s="26" t="s">
        <v>19</v>
      </c>
      <c r="B19" s="27"/>
      <c r="C19" s="8"/>
      <c r="D19" s="20" t="s">
        <v>9</v>
      </c>
      <c r="E19" s="28"/>
    </row>
    <row r="20" spans="1:10" x14ac:dyDescent="0.2">
      <c r="A20" s="25" t="s">
        <v>10</v>
      </c>
      <c r="B20" s="8"/>
      <c r="C20" s="8"/>
      <c r="D20" s="8"/>
      <c r="E20" s="25" t="s">
        <v>12</v>
      </c>
    </row>
    <row r="21" spans="1:10" x14ac:dyDescent="0.2">
      <c r="A21" s="9" t="s">
        <v>1</v>
      </c>
      <c r="B21" s="5" cm="1">
        <f t="array" ref="B21:D23">MMULT(TRANSPOSE(B9:D11), B9:D11)</f>
        <v>1.000289</v>
      </c>
      <c r="C21" s="5">
        <v>-1.00034</v>
      </c>
      <c r="D21" s="5">
        <v>1.0000374000000001</v>
      </c>
      <c r="E21" s="9"/>
      <c r="F21" s="5" cm="1">
        <f t="array" ref="F21:H23">MMULT(B26:D28, TRANSPOSE(B9:D11))</f>
        <v>-5.4644808743168323</v>
      </c>
      <c r="G21" s="5">
        <v>-1.0928961748625738</v>
      </c>
      <c r="H21" s="5">
        <v>1.0928961748642223</v>
      </c>
    </row>
    <row r="22" spans="1:10" x14ac:dyDescent="0.2">
      <c r="A22" s="29" t="s">
        <v>7</v>
      </c>
      <c r="B22" s="5">
        <v>-1.00034</v>
      </c>
      <c r="C22" s="5">
        <v>1.8104</v>
      </c>
      <c r="D22" s="5">
        <v>-1.890144</v>
      </c>
      <c r="E22" s="29"/>
      <c r="F22" s="5">
        <v>-60.723276232577234</v>
      </c>
      <c r="G22" s="5">
        <v>-0.90870019033582139</v>
      </c>
      <c r="H22" s="5">
        <v>1.0322956959539624</v>
      </c>
    </row>
    <row r="23" spans="1:10" x14ac:dyDescent="0.2">
      <c r="A23" s="9" t="s">
        <v>2</v>
      </c>
      <c r="B23" s="5">
        <v>1.0000374000000001</v>
      </c>
      <c r="C23" s="5">
        <v>-1.890144</v>
      </c>
      <c r="D23" s="5">
        <v>1.9781258400000001</v>
      </c>
      <c r="E23" s="9"/>
      <c r="F23" s="5">
        <v>-55.258795358260379</v>
      </c>
      <c r="G23" s="5">
        <v>0.18419598452692298</v>
      </c>
      <c r="H23" s="5">
        <v>0.93939952109030855</v>
      </c>
    </row>
    <row r="25" spans="1:10" x14ac:dyDescent="0.2">
      <c r="A25" s="25" t="s">
        <v>11</v>
      </c>
      <c r="B25" s="8"/>
      <c r="C25" s="8"/>
      <c r="D25" s="8"/>
      <c r="E25" s="26" t="s">
        <v>13</v>
      </c>
      <c r="J25" s="8"/>
    </row>
    <row r="26" spans="1:10" x14ac:dyDescent="0.2">
      <c r="A26" s="9" t="s">
        <v>1</v>
      </c>
      <c r="B26" s="5" cm="1">
        <f t="array" ref="B26:D28">MINVERSE(B21:D23)</f>
        <v>32.249395323837042</v>
      </c>
      <c r="C26" s="5">
        <v>333.9424885783327</v>
      </c>
      <c r="D26" s="5">
        <v>302.78598942935986</v>
      </c>
      <c r="E26" s="9"/>
      <c r="F26" s="18" cm="1">
        <f t="array" ref="F26:F28">MMULT(F21:H23,F9:F11)</f>
        <v>109.28961748642223</v>
      </c>
    </row>
    <row r="27" spans="1:10" x14ac:dyDescent="0.2">
      <c r="A27" s="29" t="s">
        <v>7</v>
      </c>
      <c r="B27" s="5">
        <v>333.94248857833435</v>
      </c>
      <c r="C27" s="5">
        <v>3689.2076468577347</v>
      </c>
      <c r="D27" s="5">
        <v>3356.2974539753545</v>
      </c>
      <c r="E27" s="29"/>
      <c r="F27" s="18">
        <v>103.22956959539624</v>
      </c>
    </row>
    <row r="28" spans="1:10" x14ac:dyDescent="0.2">
      <c r="A28" s="9" t="s">
        <v>2</v>
      </c>
      <c r="B28" s="5">
        <v>302.78598942936054</v>
      </c>
      <c r="C28" s="5">
        <v>3356.297453975355</v>
      </c>
      <c r="D28" s="5">
        <v>3054.4508640670847</v>
      </c>
      <c r="E28" s="9"/>
      <c r="F28" s="18">
        <v>93.939952109030855</v>
      </c>
    </row>
    <row r="29" spans="1:10" x14ac:dyDescent="0.2">
      <c r="A29" s="16"/>
      <c r="B29" s="16"/>
      <c r="C29" s="16"/>
      <c r="D29" s="16"/>
      <c r="E29" s="16"/>
      <c r="F29" s="16"/>
      <c r="G29" s="19"/>
      <c r="H29" s="1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FF93E-82EF-8045-A344-741F290222A2}">
  <dimension ref="A1:G13"/>
  <sheetViews>
    <sheetView zoomScale="115" workbookViewId="0">
      <selection activeCell="B9" sqref="B9"/>
    </sheetView>
  </sheetViews>
  <sheetFormatPr baseColWidth="10" defaultRowHeight="18" x14ac:dyDescent="0.2"/>
  <cols>
    <col min="1" max="16384" width="10.83203125" style="5"/>
  </cols>
  <sheetData>
    <row r="1" spans="1:7" x14ac:dyDescent="0.2">
      <c r="A1" s="21" t="s">
        <v>32</v>
      </c>
    </row>
    <row r="2" spans="1:7" x14ac:dyDescent="0.2">
      <c r="A2" s="22" t="s">
        <v>20</v>
      </c>
      <c r="B2" s="5">
        <v>1000</v>
      </c>
      <c r="C2" s="11" t="s">
        <v>21</v>
      </c>
      <c r="E2" s="23" t="s">
        <v>30</v>
      </c>
    </row>
    <row r="3" spans="1:7" x14ac:dyDescent="0.2">
      <c r="C3" s="4" t="s">
        <v>6</v>
      </c>
      <c r="G3" s="4" t="s">
        <v>8</v>
      </c>
    </row>
    <row r="4" spans="1:7" x14ac:dyDescent="0.2">
      <c r="A4" s="4" t="s">
        <v>22</v>
      </c>
      <c r="B4" s="4" t="s">
        <v>23</v>
      </c>
      <c r="C4" s="4" t="s">
        <v>24</v>
      </c>
      <c r="D4" s="4" t="s">
        <v>25</v>
      </c>
      <c r="E4" s="4" t="s">
        <v>29</v>
      </c>
    </row>
    <row r="5" spans="1:7" x14ac:dyDescent="0.2">
      <c r="A5" s="4" t="s">
        <v>26</v>
      </c>
      <c r="B5" s="5">
        <v>0.3</v>
      </c>
      <c r="C5" s="30">
        <v>0.71</v>
      </c>
      <c r="D5" s="30">
        <v>0.44</v>
      </c>
      <c r="E5" s="30">
        <v>0.08</v>
      </c>
      <c r="G5" s="5">
        <f>$B$2*B5</f>
        <v>300</v>
      </c>
    </row>
    <row r="6" spans="1:7" x14ac:dyDescent="0.2">
      <c r="A6" s="4" t="s">
        <v>27</v>
      </c>
      <c r="B6" s="5">
        <v>0.4</v>
      </c>
      <c r="C6" s="30">
        <v>0.27</v>
      </c>
      <c r="D6" s="30">
        <v>0.55000000000000004</v>
      </c>
      <c r="E6" s="30">
        <v>0.39</v>
      </c>
      <c r="G6" s="5">
        <f t="shared" ref="G6:G7" si="0">$B$2*B6</f>
        <v>400</v>
      </c>
    </row>
    <row r="7" spans="1:7" x14ac:dyDescent="0.2">
      <c r="A7" s="4" t="s">
        <v>28</v>
      </c>
      <c r="B7" s="5">
        <v>0.3</v>
      </c>
      <c r="C7" s="30">
        <v>0.02</v>
      </c>
      <c r="D7" s="30">
        <v>0.01</v>
      </c>
      <c r="E7" s="30">
        <v>0.53</v>
      </c>
      <c r="G7" s="5">
        <f t="shared" si="0"/>
        <v>300</v>
      </c>
    </row>
    <row r="9" spans="1:7" x14ac:dyDescent="0.2">
      <c r="A9" s="17" t="s">
        <v>16</v>
      </c>
      <c r="B9" s="11" t="s">
        <v>21</v>
      </c>
    </row>
    <row r="10" spans="1:7" x14ac:dyDescent="0.2">
      <c r="A10" s="4" t="s">
        <v>24</v>
      </c>
      <c r="B10" s="18" cm="1">
        <f t="array" ref="B10:B12">MMULT(MINVERSE(C5:E7),G5:G7)</f>
        <v>219.44444444444463</v>
      </c>
    </row>
    <row r="11" spans="1:7" x14ac:dyDescent="0.2">
      <c r="A11" s="4" t="s">
        <v>25</v>
      </c>
      <c r="B11" s="18">
        <v>227.08333333333314</v>
      </c>
    </row>
    <row r="12" spans="1:7" x14ac:dyDescent="0.2">
      <c r="A12" s="4" t="s">
        <v>29</v>
      </c>
      <c r="B12" s="18">
        <v>553.47222222222217</v>
      </c>
    </row>
    <row r="13" spans="1:7" x14ac:dyDescent="0.2">
      <c r="A13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7E83-5178-4B4D-981A-82EB7C48D3E9}">
  <dimension ref="A1:I21"/>
  <sheetViews>
    <sheetView tabSelected="1" zoomScale="136" zoomScaleNormal="120" workbookViewId="0">
      <selection activeCell="H5" sqref="H5"/>
    </sheetView>
  </sheetViews>
  <sheetFormatPr baseColWidth="10" defaultRowHeight="16" x14ac:dyDescent="0.2"/>
  <sheetData>
    <row r="1" spans="1:9" ht="18" x14ac:dyDescent="0.2">
      <c r="A1" s="39" t="s">
        <v>58</v>
      </c>
      <c r="B1" s="3"/>
      <c r="C1" s="3"/>
      <c r="D1" s="3"/>
      <c r="E1" s="3"/>
      <c r="F1" s="3"/>
      <c r="G1" s="3"/>
      <c r="H1" s="3"/>
      <c r="I1" s="3"/>
    </row>
    <row r="2" spans="1:9" x14ac:dyDescent="0.2">
      <c r="A2" s="3"/>
      <c r="B2" s="42" t="s">
        <v>33</v>
      </c>
      <c r="C2" s="42" t="s">
        <v>34</v>
      </c>
      <c r="D2" s="42" t="s">
        <v>35</v>
      </c>
      <c r="E2" s="42" t="s">
        <v>36</v>
      </c>
      <c r="F2" s="42" t="s">
        <v>44</v>
      </c>
      <c r="G2" s="2"/>
    </row>
    <row r="3" spans="1:9" x14ac:dyDescent="0.2">
      <c r="A3" s="42" t="s">
        <v>38</v>
      </c>
      <c r="B3" s="3">
        <v>10</v>
      </c>
      <c r="C3" s="3">
        <v>15</v>
      </c>
      <c r="D3" s="3">
        <v>35</v>
      </c>
      <c r="E3" s="3">
        <v>40</v>
      </c>
      <c r="F3" s="3">
        <f>SUM(B3:E3)</f>
        <v>100</v>
      </c>
      <c r="G3" s="3"/>
    </row>
    <row r="4" spans="1:9" x14ac:dyDescent="0.2">
      <c r="A4" s="42" t="s">
        <v>39</v>
      </c>
      <c r="B4" s="40">
        <v>0.8</v>
      </c>
      <c r="C4" s="40">
        <v>0.6</v>
      </c>
      <c r="D4" s="40">
        <v>0.3</v>
      </c>
      <c r="E4" s="40">
        <v>0.1</v>
      </c>
      <c r="F4" s="3"/>
      <c r="G4" s="3"/>
    </row>
    <row r="5" spans="1:9" x14ac:dyDescent="0.2">
      <c r="A5" s="42" t="s">
        <v>40</v>
      </c>
      <c r="B5" s="40">
        <v>0.7</v>
      </c>
      <c r="C5" s="40">
        <v>0.65</v>
      </c>
      <c r="D5" s="40">
        <v>0.25</v>
      </c>
      <c r="E5" s="40">
        <v>0.05</v>
      </c>
      <c r="F5" s="3"/>
      <c r="G5" s="3"/>
    </row>
    <row r="6" spans="1:9" x14ac:dyDescent="0.2">
      <c r="A6" s="42" t="s">
        <v>41</v>
      </c>
      <c r="B6" s="40">
        <v>0.85</v>
      </c>
      <c r="C6" s="40">
        <v>0.65</v>
      </c>
      <c r="D6" s="40">
        <v>0.2</v>
      </c>
      <c r="E6" s="40">
        <v>0.1</v>
      </c>
      <c r="F6" s="3"/>
      <c r="G6" s="3"/>
    </row>
    <row r="7" spans="1:9" x14ac:dyDescent="0.2">
      <c r="A7" s="45"/>
      <c r="B7" s="45"/>
      <c r="C7" s="45"/>
      <c r="D7" s="45"/>
      <c r="E7" s="45"/>
      <c r="F7" s="45"/>
      <c r="G7" s="45"/>
      <c r="H7" s="45"/>
      <c r="I7" s="45"/>
    </row>
    <row r="8" spans="1:9" x14ac:dyDescent="0.2">
      <c r="A8" s="2" t="s">
        <v>53</v>
      </c>
      <c r="B8" s="3"/>
      <c r="C8" s="41" t="s">
        <v>57</v>
      </c>
      <c r="D8" s="3"/>
      <c r="E8" s="42" t="s">
        <v>52</v>
      </c>
      <c r="F8" s="42" t="s">
        <v>56</v>
      </c>
      <c r="I8" s="42" t="s">
        <v>38</v>
      </c>
    </row>
    <row r="9" spans="1:9" x14ac:dyDescent="0.2">
      <c r="A9" s="42" t="s">
        <v>51</v>
      </c>
      <c r="B9" s="42" t="s">
        <v>54</v>
      </c>
      <c r="C9" s="42" t="s">
        <v>23</v>
      </c>
      <c r="D9" s="42" t="s">
        <v>55</v>
      </c>
      <c r="E9" s="43" t="s">
        <v>5</v>
      </c>
      <c r="F9" s="40">
        <f>SUMPRODUCT(B3:E3,B4:E4)</f>
        <v>31.5</v>
      </c>
      <c r="H9" s="43" t="s">
        <v>51</v>
      </c>
      <c r="I9" s="41" cm="1">
        <f t="array" ref="I9:I12">MMULT(MINVERSE(A10:D13),F9:F12)</f>
        <v>14.274999999999999</v>
      </c>
    </row>
    <row r="10" spans="1:9" x14ac:dyDescent="0.2">
      <c r="A10" s="44">
        <v>1</v>
      </c>
      <c r="B10" s="44">
        <v>1</v>
      </c>
      <c r="C10" s="44">
        <v>0</v>
      </c>
      <c r="D10" s="44">
        <v>0</v>
      </c>
      <c r="E10" s="43" t="s">
        <v>50</v>
      </c>
      <c r="F10" s="40">
        <f>F3-F9</f>
        <v>68.5</v>
      </c>
      <c r="H10" s="43" t="s">
        <v>54</v>
      </c>
      <c r="I10" s="41">
        <v>17.225000000000001</v>
      </c>
    </row>
    <row r="11" spans="1:9" x14ac:dyDescent="0.2">
      <c r="A11" s="44">
        <v>0</v>
      </c>
      <c r="B11" s="44">
        <v>0</v>
      </c>
      <c r="C11" s="44">
        <v>1</v>
      </c>
      <c r="D11" s="44">
        <v>1</v>
      </c>
      <c r="E11" s="43" t="s">
        <v>51</v>
      </c>
      <c r="F11" s="3">
        <f>SUMPRODUCT(B3:E3,B4:E4,B5:E5)</f>
        <v>14.274999999999999</v>
      </c>
      <c r="H11" s="43" t="s">
        <v>23</v>
      </c>
      <c r="I11" s="41">
        <v>14.1</v>
      </c>
    </row>
    <row r="12" spans="1:9" x14ac:dyDescent="0.2">
      <c r="A12" s="44">
        <v>1</v>
      </c>
      <c r="B12" s="44">
        <v>0</v>
      </c>
      <c r="C12" s="44">
        <v>0</v>
      </c>
      <c r="D12" s="44">
        <v>0</v>
      </c>
      <c r="E12" s="43" t="s">
        <v>23</v>
      </c>
      <c r="F12" s="3" cm="1">
        <f t="array" ref="F12">SUMPRODUCT(B3:E3,1-B4:E4,B6:E6)</f>
        <v>14.1</v>
      </c>
      <c r="H12" s="43" t="s">
        <v>55</v>
      </c>
      <c r="I12" s="41">
        <v>54.4</v>
      </c>
    </row>
    <row r="13" spans="1:9" x14ac:dyDescent="0.2">
      <c r="A13" s="44">
        <v>0</v>
      </c>
      <c r="B13" s="44">
        <v>0</v>
      </c>
      <c r="C13" s="44">
        <v>1</v>
      </c>
      <c r="D13" s="44">
        <v>0</v>
      </c>
      <c r="H13" s="3"/>
      <c r="I13" s="3"/>
    </row>
    <row r="14" spans="1:9" x14ac:dyDescent="0.2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2">
      <c r="A15" s="3"/>
      <c r="B15" s="3"/>
      <c r="C15" s="3"/>
      <c r="D15" s="3"/>
      <c r="F15" s="3"/>
      <c r="G15" s="3"/>
      <c r="H15" s="3"/>
      <c r="I15" s="3"/>
    </row>
    <row r="16" spans="1:9" x14ac:dyDescent="0.2">
      <c r="A16" s="3"/>
      <c r="B16" s="3"/>
      <c r="C16" s="3"/>
      <c r="F16" s="3"/>
      <c r="G16" s="3"/>
      <c r="H16" s="3"/>
      <c r="I16" s="3"/>
    </row>
    <row r="17" spans="1:9" x14ac:dyDescent="0.2">
      <c r="A17" s="3"/>
      <c r="B17" s="3"/>
      <c r="C17" s="3"/>
      <c r="F17" s="3"/>
      <c r="G17" s="3"/>
      <c r="H17" s="3"/>
      <c r="I17" s="3"/>
    </row>
    <row r="18" spans="1:9" x14ac:dyDescent="0.2">
      <c r="A18" s="3"/>
      <c r="B18" s="3"/>
      <c r="C18" s="3"/>
      <c r="F18" s="3"/>
      <c r="G18" s="3"/>
      <c r="H18" s="3"/>
      <c r="I18" s="3"/>
    </row>
    <row r="19" spans="1:9" x14ac:dyDescent="0.2">
      <c r="A19" s="3"/>
      <c r="B19" s="3"/>
      <c r="C19" s="3"/>
      <c r="F19" s="3"/>
      <c r="G19" s="3"/>
      <c r="H19" s="3"/>
      <c r="I19" s="3"/>
    </row>
    <row r="20" spans="1:9" x14ac:dyDescent="0.2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2">
      <c r="A21" s="3"/>
      <c r="B21" s="3"/>
      <c r="C21" s="3"/>
      <c r="D21" s="3"/>
      <c r="E21" s="3"/>
      <c r="F21" s="3"/>
      <c r="G21" s="3"/>
      <c r="H21" s="3"/>
      <c r="I21" s="3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C77E-A34D-3748-A079-1BAD31B48009}">
  <dimension ref="A1:F27"/>
  <sheetViews>
    <sheetView zoomScale="115" workbookViewId="0">
      <selection activeCell="H39" sqref="H39"/>
    </sheetView>
  </sheetViews>
  <sheetFormatPr baseColWidth="10" defaultRowHeight="16" x14ac:dyDescent="0.2"/>
  <cols>
    <col min="3" max="3" width="12" customWidth="1"/>
  </cols>
  <sheetData>
    <row r="1" spans="1:6" x14ac:dyDescent="0.2">
      <c r="B1" t="s">
        <v>37</v>
      </c>
      <c r="C1" t="s">
        <v>42</v>
      </c>
    </row>
    <row r="2" spans="1:6" x14ac:dyDescent="0.2">
      <c r="A2" t="s">
        <v>33</v>
      </c>
      <c r="B2" s="31">
        <v>0.1</v>
      </c>
      <c r="C2">
        <f>B2*100</f>
        <v>10</v>
      </c>
    </row>
    <row r="3" spans="1:6" x14ac:dyDescent="0.2">
      <c r="A3" t="s">
        <v>34</v>
      </c>
      <c r="B3" s="31">
        <v>0.15</v>
      </c>
      <c r="C3">
        <f t="shared" ref="C3:C5" si="0">B3*100</f>
        <v>15</v>
      </c>
    </row>
    <row r="4" spans="1:6" x14ac:dyDescent="0.2">
      <c r="A4" t="s">
        <v>35</v>
      </c>
      <c r="B4" s="31">
        <v>0.35</v>
      </c>
      <c r="C4">
        <f t="shared" si="0"/>
        <v>35</v>
      </c>
    </row>
    <row r="5" spans="1:6" x14ac:dyDescent="0.2">
      <c r="A5" t="s">
        <v>36</v>
      </c>
      <c r="B5" s="31">
        <v>0.4</v>
      </c>
      <c r="C5">
        <f t="shared" si="0"/>
        <v>40</v>
      </c>
    </row>
    <row r="6" spans="1:6" x14ac:dyDescent="0.2">
      <c r="A6" s="33"/>
      <c r="B6" s="33"/>
      <c r="C6" s="33"/>
      <c r="D6" s="33"/>
      <c r="E6" s="33"/>
      <c r="F6" s="33"/>
    </row>
    <row r="7" spans="1:6" x14ac:dyDescent="0.2">
      <c r="A7" t="s">
        <v>22</v>
      </c>
      <c r="B7" t="s">
        <v>33</v>
      </c>
      <c r="C7" t="s">
        <v>34</v>
      </c>
      <c r="D7" t="s">
        <v>35</v>
      </c>
      <c r="E7" t="s">
        <v>36</v>
      </c>
      <c r="F7" t="s">
        <v>44</v>
      </c>
    </row>
    <row r="8" spans="1:6" x14ac:dyDescent="0.2">
      <c r="A8" t="s">
        <v>38</v>
      </c>
      <c r="B8">
        <v>10</v>
      </c>
      <c r="C8">
        <v>15</v>
      </c>
      <c r="D8">
        <v>35</v>
      </c>
      <c r="E8">
        <v>40</v>
      </c>
    </row>
    <row r="9" spans="1:6" x14ac:dyDescent="0.2">
      <c r="A9" t="s">
        <v>39</v>
      </c>
      <c r="B9" s="1">
        <v>0.8</v>
      </c>
      <c r="C9" s="1">
        <v>0.6</v>
      </c>
      <c r="D9" s="1">
        <v>0.3</v>
      </c>
      <c r="E9" s="1">
        <v>0.1</v>
      </c>
    </row>
    <row r="10" spans="1:6" x14ac:dyDescent="0.2">
      <c r="A10" t="s">
        <v>40</v>
      </c>
      <c r="B10" s="1">
        <v>0.7</v>
      </c>
      <c r="C10" s="1">
        <v>0.65</v>
      </c>
      <c r="D10" s="1">
        <v>0.25</v>
      </c>
      <c r="E10" s="1">
        <v>0.05</v>
      </c>
    </row>
    <row r="11" spans="1:6" x14ac:dyDescent="0.2">
      <c r="A11" t="s">
        <v>41</v>
      </c>
      <c r="B11" s="1">
        <v>0.85</v>
      </c>
      <c r="C11" s="1">
        <v>0.65</v>
      </c>
      <c r="D11" s="1">
        <v>0.2</v>
      </c>
      <c r="E11" s="1">
        <v>0.1</v>
      </c>
    </row>
    <row r="12" spans="1:6" x14ac:dyDescent="0.2">
      <c r="A12" s="33"/>
      <c r="B12" s="34"/>
      <c r="C12" s="34"/>
      <c r="D12" s="34"/>
      <c r="E12" s="34"/>
      <c r="F12" s="33"/>
    </row>
    <row r="13" spans="1:6" x14ac:dyDescent="0.2">
      <c r="A13" s="35"/>
      <c r="B13" s="36"/>
      <c r="C13" s="36"/>
      <c r="D13" s="36"/>
      <c r="E13" s="36"/>
      <c r="F13" s="35"/>
    </row>
    <row r="14" spans="1:6" x14ac:dyDescent="0.2">
      <c r="A14" s="32" t="s">
        <v>43</v>
      </c>
      <c r="F14" t="s">
        <v>38</v>
      </c>
    </row>
    <row r="15" spans="1:6" x14ac:dyDescent="0.2">
      <c r="B15">
        <f>B8*B9</f>
        <v>8</v>
      </c>
      <c r="C15">
        <f t="shared" ref="C15:E15" si="1">C8*C9</f>
        <v>9</v>
      </c>
      <c r="D15">
        <f>D8*D9</f>
        <v>10.5</v>
      </c>
      <c r="E15">
        <f t="shared" si="1"/>
        <v>4</v>
      </c>
      <c r="F15">
        <f>SUM(B15:E15)</f>
        <v>31.5</v>
      </c>
    </row>
    <row r="16" spans="1:6" x14ac:dyDescent="0.2">
      <c r="A16" s="32" t="s">
        <v>45</v>
      </c>
    </row>
    <row r="17" spans="1:6" x14ac:dyDescent="0.2">
      <c r="B17">
        <f>B8-B15</f>
        <v>2</v>
      </c>
      <c r="C17">
        <f t="shared" ref="C17:E17" si="2">C8-C15</f>
        <v>6</v>
      </c>
      <c r="D17">
        <f t="shared" si="2"/>
        <v>24.5</v>
      </c>
      <c r="E17">
        <f t="shared" si="2"/>
        <v>36</v>
      </c>
      <c r="F17">
        <f>SUM(B17:E17)</f>
        <v>68.5</v>
      </c>
    </row>
    <row r="18" spans="1:6" x14ac:dyDescent="0.2">
      <c r="A18" t="s">
        <v>46</v>
      </c>
    </row>
    <row r="19" spans="1:6" x14ac:dyDescent="0.2">
      <c r="B19">
        <f>B15*B10</f>
        <v>5.6</v>
      </c>
      <c r="C19">
        <f t="shared" ref="C19:E19" si="3">C15*C10</f>
        <v>5.8500000000000005</v>
      </c>
      <c r="D19">
        <f t="shared" si="3"/>
        <v>2.625</v>
      </c>
      <c r="E19">
        <f t="shared" si="3"/>
        <v>0.2</v>
      </c>
      <c r="F19" s="37">
        <f>SUM(B19:E19)</f>
        <v>14.274999999999999</v>
      </c>
    </row>
    <row r="20" spans="1:6" x14ac:dyDescent="0.2">
      <c r="A20" t="s">
        <v>47</v>
      </c>
    </row>
    <row r="21" spans="1:6" x14ac:dyDescent="0.2">
      <c r="B21">
        <f>B15-B19</f>
        <v>2.4000000000000004</v>
      </c>
      <c r="C21">
        <f t="shared" ref="C21:E21" si="4">C15-C19</f>
        <v>3.1499999999999995</v>
      </c>
      <c r="D21">
        <f t="shared" si="4"/>
        <v>7.875</v>
      </c>
      <c r="E21">
        <f t="shared" si="4"/>
        <v>3.8</v>
      </c>
      <c r="F21" s="37">
        <f>SUM(B21:E21)</f>
        <v>17.225000000000001</v>
      </c>
    </row>
    <row r="22" spans="1:6" x14ac:dyDescent="0.2">
      <c r="A22" t="s">
        <v>48</v>
      </c>
    </row>
    <row r="23" spans="1:6" x14ac:dyDescent="0.2">
      <c r="B23">
        <f>B17*B11</f>
        <v>1.7</v>
      </c>
      <c r="C23">
        <f t="shared" ref="C23:E23" si="5">C17*C11</f>
        <v>3.9000000000000004</v>
      </c>
      <c r="D23">
        <f t="shared" si="5"/>
        <v>4.9000000000000004</v>
      </c>
      <c r="E23">
        <f t="shared" si="5"/>
        <v>3.6</v>
      </c>
      <c r="F23" s="37">
        <f>SUM(B23:E23)</f>
        <v>14.1</v>
      </c>
    </row>
    <row r="24" spans="1:6" x14ac:dyDescent="0.2">
      <c r="A24" t="s">
        <v>49</v>
      </c>
    </row>
    <row r="25" spans="1:6" x14ac:dyDescent="0.2">
      <c r="B25" s="1">
        <f>B17-B23</f>
        <v>0.30000000000000004</v>
      </c>
      <c r="C25" s="1">
        <f t="shared" ref="C25:E25" si="6">C17-C23</f>
        <v>2.0999999999999996</v>
      </c>
      <c r="D25" s="1">
        <f t="shared" si="6"/>
        <v>19.600000000000001</v>
      </c>
      <c r="E25" s="1">
        <f t="shared" si="6"/>
        <v>32.4</v>
      </c>
      <c r="F25" s="38">
        <f>SUM(B25:E25)</f>
        <v>54.4</v>
      </c>
    </row>
    <row r="27" spans="1:6" x14ac:dyDescent="0.2">
      <c r="F27" s="38">
        <f>F19+F21+F23+F25</f>
        <v>100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3.1 (b&amp;c)</vt:lpstr>
      <vt:lpstr>3.3</vt:lpstr>
      <vt:lpstr>3.5</vt:lpstr>
      <vt:lpstr>3.5 (hand check)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Nghi, Tieu</dc:creator>
  <cp:lastModifiedBy>Nghi, Tieu</cp:lastModifiedBy>
  <dcterms:created xsi:type="dcterms:W3CDTF">2025-10-09T14:33:12Z</dcterms:created>
  <dcterms:modified xsi:type="dcterms:W3CDTF">2025-10-09T19:59:28Z</dcterms:modified>
</cp:coreProperties>
</file>