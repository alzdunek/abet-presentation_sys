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lalsu2_uic_edu1/Documents/"/>
    </mc:Choice>
  </mc:AlternateContent>
  <xr:revisionPtr revIDLastSave="255" documentId="8_{FD85E549-11C7-4D79-AA84-E50D9DBBF199}" xr6:coauthVersionLast="47" xr6:coauthVersionMax="47" xr10:uidLastSave="{045E26C2-7B4B-447B-AA19-DC78B32EEA5F}"/>
  <bookViews>
    <workbookView xWindow="-110" yWindow="-110" windowWidth="22780" windowHeight="14540" activeTab="1" xr2:uid="{DD4964B9-5BB6-4178-ACD5-12ECA497188D}"/>
  </bookViews>
  <sheets>
    <sheet name="5.9 a" sheetId="1" r:id="rId1"/>
    <sheet name="5.9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1"/>
  <c r="C12" i="1"/>
  <c r="C13" i="1"/>
  <c r="C14" i="1"/>
  <c r="C15" i="1"/>
  <c r="C16" i="1"/>
  <c r="C17" i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10" i="1"/>
  <c r="B10" i="1"/>
  <c r="B6" i="2"/>
  <c r="B9" i="2" s="1"/>
  <c r="B2" i="2"/>
  <c r="D10" i="2" l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G10" i="2"/>
  <c r="E10" i="2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C9" i="1"/>
  <c r="B9" i="1"/>
  <c r="B6" i="1"/>
  <c r="B2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C10" i="2" l="1"/>
  <c r="F10" i="2"/>
  <c r="B10" i="2" s="1"/>
  <c r="D11" i="2" l="1"/>
  <c r="G11" i="2"/>
  <c r="F11" i="2"/>
  <c r="E11" i="2"/>
  <c r="C11" i="2" s="1"/>
  <c r="B11" i="2" l="1"/>
  <c r="E12" i="2"/>
  <c r="D12" i="2"/>
  <c r="F12" i="2"/>
  <c r="G12" i="2"/>
  <c r="C12" i="2" s="1"/>
  <c r="B12" i="2"/>
  <c r="D13" i="2" l="1"/>
  <c r="E13" i="2"/>
  <c r="F13" i="2"/>
  <c r="G13" i="2"/>
  <c r="C13" i="2" l="1"/>
  <c r="B13" i="2"/>
  <c r="D14" i="2" l="1"/>
  <c r="G14" i="2" s="1"/>
  <c r="F14" i="2"/>
  <c r="B14" i="2" s="1"/>
  <c r="E14" i="2"/>
  <c r="C14" i="2" l="1"/>
  <c r="D15" i="2"/>
  <c r="G15" i="2" s="1"/>
  <c r="E15" i="2"/>
  <c r="F15" i="2"/>
  <c r="C15" i="2" l="1"/>
  <c r="B15" i="2"/>
  <c r="E16" i="2" l="1"/>
  <c r="D16" i="2"/>
  <c r="F16" i="2" s="1"/>
  <c r="B16" i="2"/>
  <c r="G16" i="2"/>
  <c r="C16" i="2" s="1"/>
  <c r="D17" i="2" l="1"/>
  <c r="E17" i="2"/>
  <c r="F17" i="2"/>
  <c r="G17" i="2"/>
  <c r="C17" i="2" l="1"/>
  <c r="B17" i="2"/>
  <c r="D18" i="2" l="1"/>
  <c r="F18" i="2" s="1"/>
  <c r="B18" i="2" s="1"/>
  <c r="E18" i="2"/>
  <c r="D19" i="2" l="1"/>
  <c r="F19" i="2"/>
  <c r="G19" i="2"/>
  <c r="E19" i="2"/>
  <c r="B19" i="2"/>
  <c r="G18" i="2"/>
  <c r="C18" i="2" s="1"/>
  <c r="C19" i="2" s="1"/>
  <c r="D20" i="2" l="1"/>
  <c r="F20" i="2" s="1"/>
  <c r="E20" i="2"/>
  <c r="B20" i="2"/>
  <c r="G20" i="2"/>
  <c r="C20" i="2" s="1"/>
  <c r="E21" i="2" l="1"/>
  <c r="D21" i="2"/>
  <c r="F21" i="2"/>
  <c r="B21" i="2" s="1"/>
  <c r="G21" i="2"/>
  <c r="C21" i="2" s="1"/>
  <c r="E22" i="2" l="1"/>
  <c r="D22" i="2"/>
  <c r="F22" i="2" s="1"/>
  <c r="B22" i="2" l="1"/>
  <c r="G22" i="2"/>
  <c r="C22" i="2" s="1"/>
  <c r="D23" i="2" l="1"/>
  <c r="F23" i="2"/>
  <c r="G23" i="2"/>
  <c r="E23" i="2"/>
  <c r="C23" i="2" s="1"/>
  <c r="B23" i="2" l="1"/>
  <c r="E24" i="2"/>
  <c r="D24" i="2"/>
  <c r="F24" i="2" s="1"/>
  <c r="B24" i="2"/>
  <c r="G24" i="2"/>
  <c r="C24" i="2" s="1"/>
  <c r="D25" i="2" l="1"/>
  <c r="E25" i="2"/>
  <c r="G25" i="2"/>
  <c r="C25" i="2" s="1"/>
  <c r="F25" i="2"/>
  <c r="B25" i="2" s="1"/>
  <c r="E26" i="2" l="1"/>
  <c r="D26" i="2"/>
  <c r="F26" i="2" s="1"/>
  <c r="B26" i="2" s="1"/>
  <c r="E27" i="2" l="1"/>
  <c r="D27" i="2"/>
  <c r="G27" i="2" s="1"/>
  <c r="G26" i="2"/>
  <c r="C26" i="2" s="1"/>
  <c r="C27" i="2" l="1"/>
  <c r="F27" i="2"/>
  <c r="B27" i="2" s="1"/>
  <c r="D28" i="2" l="1"/>
  <c r="F28" i="2" s="1"/>
  <c r="E28" i="2"/>
  <c r="G28" i="2"/>
  <c r="C28" i="2" s="1"/>
  <c r="B28" i="2"/>
  <c r="D29" i="2" l="1"/>
  <c r="E29" i="2"/>
  <c r="F29" i="2"/>
  <c r="G29" i="2"/>
  <c r="C29" i="2" s="1"/>
  <c r="B29" i="2" l="1"/>
  <c r="D30" i="2" l="1"/>
  <c r="E30" i="2"/>
  <c r="F30" i="2"/>
  <c r="G30" i="2"/>
  <c r="B30" i="2" l="1"/>
  <c r="D31" i="2"/>
  <c r="F31" i="2"/>
  <c r="G31" i="2"/>
  <c r="E31" i="2"/>
  <c r="C30" i="2"/>
  <c r="B31" i="2" l="1"/>
  <c r="D32" i="2"/>
  <c r="F32" i="2" s="1"/>
  <c r="E32" i="2"/>
  <c r="B32" i="2"/>
  <c r="G32" i="2"/>
  <c r="C31" i="2"/>
  <c r="C32" i="2" l="1"/>
  <c r="D33" i="2"/>
  <c r="E33" i="2"/>
  <c r="G33" i="2" l="1"/>
  <c r="C33" i="2" s="1"/>
  <c r="F33" i="2"/>
  <c r="B33" i="2" s="1"/>
  <c r="D34" i="2" l="1"/>
  <c r="E34" i="2"/>
  <c r="F34" i="2"/>
  <c r="G34" i="2"/>
  <c r="B34" i="2"/>
  <c r="C34" i="2"/>
  <c r="E35" i="2" l="1"/>
  <c r="D35" i="2"/>
  <c r="F35" i="2" s="1"/>
  <c r="B35" i="2" l="1"/>
  <c r="G35" i="2"/>
  <c r="C35" i="2"/>
  <c r="E36" i="2" l="1"/>
  <c r="D36" i="2"/>
  <c r="F36" i="2" s="1"/>
  <c r="B36" i="2"/>
  <c r="G36" i="2"/>
  <c r="C36" i="2" s="1"/>
  <c r="E37" i="2" l="1"/>
  <c r="D37" i="2"/>
  <c r="G37" i="2" l="1"/>
  <c r="C37" i="2" s="1"/>
  <c r="F37" i="2"/>
  <c r="B37" i="2" s="1"/>
  <c r="D38" i="2" l="1"/>
  <c r="F38" i="2" s="1"/>
  <c r="B38" i="2" s="1"/>
  <c r="G38" i="2"/>
  <c r="E38" i="2"/>
  <c r="C38" i="2"/>
  <c r="D39" i="2" l="1"/>
  <c r="E39" i="2"/>
  <c r="G39" i="2"/>
  <c r="F39" i="2"/>
  <c r="B39" i="2" s="1"/>
  <c r="C39" i="2" l="1"/>
  <c r="E40" i="2"/>
  <c r="D40" i="2"/>
  <c r="F40" i="2" s="1"/>
  <c r="B40" i="2"/>
  <c r="F41" i="2" s="1"/>
  <c r="G40" i="2"/>
  <c r="C40" i="2" s="1"/>
  <c r="D41" i="2"/>
  <c r="G41" i="2"/>
  <c r="E41" i="2"/>
  <c r="C41" i="2" s="1"/>
  <c r="B41" i="2" l="1"/>
  <c r="D42" i="2"/>
  <c r="G42" i="2"/>
  <c r="E42" i="2"/>
  <c r="C42" i="2" s="1"/>
  <c r="F42" i="2"/>
  <c r="B42" i="2" s="1"/>
  <c r="D43" i="2" l="1"/>
  <c r="E43" i="2"/>
  <c r="F43" i="2"/>
  <c r="G43" i="2"/>
  <c r="B43" i="2"/>
  <c r="C43" i="2"/>
  <c r="D44" i="2" l="1"/>
  <c r="F44" i="2" s="1"/>
  <c r="E44" i="2"/>
  <c r="B44" i="2" l="1"/>
  <c r="G44" i="2"/>
  <c r="C44" i="2" s="1"/>
  <c r="D45" i="2" l="1"/>
  <c r="F45" i="2" s="1"/>
  <c r="E45" i="2"/>
  <c r="G45" i="2" l="1"/>
  <c r="C45" i="2" s="1"/>
  <c r="B45" i="2"/>
  <c r="D46" i="2"/>
  <c r="E46" i="2"/>
  <c r="F46" i="2"/>
  <c r="B46" i="2" s="1"/>
  <c r="G46" i="2"/>
  <c r="C46" i="2" l="1"/>
  <c r="C47" i="2" s="1"/>
  <c r="D47" i="2"/>
  <c r="E47" i="2"/>
  <c r="F47" i="2"/>
  <c r="G47" i="2"/>
  <c r="B47" i="2"/>
  <c r="E48" i="2" l="1"/>
  <c r="D48" i="2"/>
  <c r="F48" i="2" s="1"/>
  <c r="B48" i="2" l="1"/>
  <c r="G48" i="2"/>
  <c r="C48" i="2" s="1"/>
  <c r="D49" i="2" l="1"/>
  <c r="F49" i="2" s="1"/>
  <c r="E49" i="2"/>
  <c r="G49" i="2" l="1"/>
  <c r="C49" i="2"/>
  <c r="B49" i="2"/>
  <c r="D50" i="2"/>
  <c r="G50" i="2"/>
  <c r="F50" i="2"/>
  <c r="B50" i="2" s="1"/>
  <c r="E50" i="2"/>
  <c r="C50" i="2" s="1"/>
  <c r="D51" i="2" l="1"/>
  <c r="G51" i="2" s="1"/>
  <c r="E51" i="2"/>
  <c r="F51" i="2"/>
  <c r="B51" i="2" l="1"/>
  <c r="D52" i="2" s="1"/>
  <c r="F52" i="2" s="1"/>
  <c r="C51" i="2"/>
  <c r="E52" i="2" l="1"/>
  <c r="B52" i="2"/>
  <c r="G52" i="2"/>
  <c r="C52" i="2" l="1"/>
  <c r="E53" i="2"/>
  <c r="D53" i="2"/>
  <c r="G53" i="2" l="1"/>
  <c r="C53" i="2" s="1"/>
  <c r="F53" i="2"/>
  <c r="B53" i="2" s="1"/>
  <c r="D54" i="2" l="1"/>
  <c r="G54" i="2" s="1"/>
  <c r="E54" i="2"/>
  <c r="C54" i="2" s="1"/>
  <c r="F54" i="2" l="1"/>
  <c r="B54" i="2" s="1"/>
  <c r="D55" i="2" l="1"/>
  <c r="E55" i="2"/>
  <c r="C55" i="2" s="1"/>
  <c r="G55" i="2"/>
  <c r="F55" i="2" l="1"/>
  <c r="B55" i="2" s="1"/>
  <c r="D56" i="2" l="1"/>
  <c r="F56" i="2" s="1"/>
  <c r="E56" i="2"/>
  <c r="G56" i="2"/>
  <c r="C56" i="2" s="1"/>
  <c r="B56" i="2" l="1"/>
  <c r="E57" i="2" l="1"/>
  <c r="D57" i="2"/>
  <c r="G57" i="2" l="1"/>
  <c r="C57" i="2" s="1"/>
  <c r="F57" i="2"/>
  <c r="B57" i="2" s="1"/>
  <c r="E58" i="2" l="1"/>
  <c r="D58" i="2"/>
  <c r="F58" i="2" s="1"/>
  <c r="B58" i="2" s="1"/>
  <c r="E59" i="2" l="1"/>
  <c r="F59" i="2"/>
  <c r="B59" i="2"/>
  <c r="D59" i="2"/>
  <c r="G59" i="2" s="1"/>
  <c r="G58" i="2"/>
  <c r="C58" i="2" s="1"/>
  <c r="D60" i="2" l="1"/>
  <c r="F60" i="2" s="1"/>
  <c r="E60" i="2"/>
  <c r="G60" i="2"/>
  <c r="C60" i="2" s="1"/>
  <c r="C59" i="2"/>
  <c r="B60" i="2" l="1"/>
  <c r="D61" i="2" l="1"/>
  <c r="E61" i="2"/>
  <c r="F61" i="2"/>
  <c r="B61" i="2" l="1"/>
  <c r="G61" i="2"/>
  <c r="C61" i="2" s="1"/>
  <c r="E62" i="2" l="1"/>
  <c r="F62" i="2"/>
  <c r="D62" i="2"/>
  <c r="G62" i="2" s="1"/>
  <c r="C62" i="2" l="1"/>
  <c r="B62" i="2"/>
  <c r="D63" i="2" l="1"/>
  <c r="B63" i="2" s="1"/>
  <c r="E63" i="2"/>
  <c r="F63" i="2"/>
  <c r="C63" i="2" l="1"/>
  <c r="D64" i="2"/>
  <c r="F64" i="2" s="1"/>
  <c r="E64" i="2"/>
  <c r="G63" i="2"/>
  <c r="G64" i="2" l="1"/>
  <c r="C64" i="2" s="1"/>
  <c r="B64" i="2"/>
  <c r="E65" i="2" l="1"/>
  <c r="D65" i="2"/>
  <c r="G65" i="2" s="1"/>
  <c r="C65" i="2" s="1"/>
  <c r="F65" i="2"/>
  <c r="B65" i="2" s="1"/>
  <c r="D66" i="2" l="1"/>
  <c r="E66" i="2"/>
  <c r="C66" i="2" s="1"/>
  <c r="F66" i="2"/>
  <c r="G66" i="2"/>
  <c r="B66" i="2"/>
  <c r="E67" i="2" l="1"/>
  <c r="D67" i="2"/>
  <c r="F67" i="2" s="1"/>
  <c r="G67" i="2" l="1"/>
  <c r="C67" i="2" s="1"/>
  <c r="B67" i="2"/>
  <c r="D68" i="2" l="1"/>
  <c r="F68" i="2" s="1"/>
  <c r="E68" i="2"/>
  <c r="G68" i="2"/>
  <c r="C68" i="2" s="1"/>
  <c r="B68" i="2"/>
  <c r="D69" i="2" l="1"/>
  <c r="F69" i="2" s="1"/>
  <c r="B69" i="2" s="1"/>
  <c r="E69" i="2"/>
  <c r="E70" i="2" l="1"/>
  <c r="D70" i="2"/>
  <c r="B70" i="2" s="1"/>
  <c r="F70" i="2"/>
  <c r="G70" i="2"/>
  <c r="G69" i="2"/>
  <c r="C69" i="2" s="1"/>
  <c r="D71" i="2" l="1"/>
  <c r="B71" i="2" s="1"/>
  <c r="E71" i="2"/>
  <c r="F71" i="2"/>
  <c r="G71" i="2"/>
  <c r="C70" i="2"/>
  <c r="D72" i="2" l="1"/>
  <c r="F72" i="2" s="1"/>
  <c r="E72" i="2"/>
  <c r="B72" i="2"/>
  <c r="G72" i="2"/>
  <c r="C71" i="2"/>
  <c r="C72" i="2" l="1"/>
  <c r="E73" i="2"/>
  <c r="D73" i="2"/>
  <c r="G73" i="2"/>
  <c r="F73" i="2" l="1"/>
  <c r="B73" i="2" s="1"/>
  <c r="C73" i="2"/>
  <c r="E74" i="2" l="1"/>
  <c r="D74" i="2"/>
  <c r="F74" i="2" s="1"/>
  <c r="B74" i="2" s="1"/>
  <c r="D75" i="2" l="1"/>
  <c r="G75" i="2" s="1"/>
  <c r="E75" i="2"/>
  <c r="F75" i="2"/>
  <c r="B75" i="2" s="1"/>
  <c r="G74" i="2"/>
  <c r="C74" i="2" s="1"/>
  <c r="C75" i="2" s="1"/>
  <c r="E76" i="2" l="1"/>
  <c r="D76" i="2"/>
  <c r="F76" i="2" s="1"/>
  <c r="B76" i="2"/>
  <c r="G76" i="2"/>
  <c r="C76" i="2" s="1"/>
  <c r="D77" i="2" l="1"/>
  <c r="E77" i="2"/>
  <c r="F77" i="2" l="1"/>
  <c r="B77" i="2" s="1"/>
  <c r="G77" i="2"/>
  <c r="C77" i="2" s="1"/>
  <c r="E78" i="2" l="1"/>
  <c r="D78" i="2"/>
  <c r="F78" i="2" s="1"/>
  <c r="B78" i="2" s="1"/>
  <c r="D79" i="2" l="1"/>
  <c r="F79" i="2" s="1"/>
  <c r="E79" i="2"/>
  <c r="G78" i="2"/>
  <c r="C78" i="2" s="1"/>
  <c r="B79" i="2" l="1"/>
  <c r="G79" i="2"/>
  <c r="C79" i="2" s="1"/>
  <c r="E80" i="2" l="1"/>
  <c r="D80" i="2"/>
  <c r="F80" i="2" s="1"/>
  <c r="B80" i="2"/>
  <c r="G80" i="2"/>
  <c r="C80" i="2" s="1"/>
  <c r="E81" i="2" l="1"/>
  <c r="D81" i="2"/>
  <c r="F81" i="2" s="1"/>
  <c r="B81" i="2" s="1"/>
  <c r="D82" i="2" l="1"/>
  <c r="G82" i="2" s="1"/>
  <c r="E82" i="2"/>
  <c r="F82" i="2"/>
  <c r="B82" i="2" s="1"/>
  <c r="G81" i="2"/>
  <c r="C81" i="2" s="1"/>
  <c r="C82" i="2" s="1"/>
  <c r="E83" i="2" l="1"/>
  <c r="D83" i="2"/>
  <c r="G83" i="2" s="1"/>
  <c r="C83" i="2" l="1"/>
  <c r="F83" i="2"/>
  <c r="B83" i="2" s="1"/>
  <c r="D84" i="2" l="1"/>
  <c r="F84" i="2" s="1"/>
  <c r="E84" i="2"/>
  <c r="G84" i="2"/>
  <c r="C84" i="2" s="1"/>
  <c r="B84" i="2"/>
  <c r="D85" i="2" l="1"/>
  <c r="E85" i="2"/>
  <c r="F85" i="2" l="1"/>
  <c r="B85" i="2" s="1"/>
  <c r="G85" i="2"/>
  <c r="C85" i="2" s="1"/>
  <c r="D86" i="2" l="1"/>
  <c r="F86" i="2" s="1"/>
  <c r="E86" i="2"/>
  <c r="B86" i="2"/>
  <c r="G86" i="2" l="1"/>
  <c r="C86" i="2" s="1"/>
  <c r="E87" i="2"/>
  <c r="D87" i="2"/>
  <c r="F87" i="2" l="1"/>
  <c r="G87" i="2"/>
  <c r="C87" i="2" s="1"/>
  <c r="B87" i="2"/>
  <c r="E88" i="2" l="1"/>
  <c r="D88" i="2"/>
  <c r="F88" i="2" l="1"/>
  <c r="B88" i="2"/>
  <c r="G88" i="2"/>
  <c r="C88" i="2" s="1"/>
  <c r="E89" i="2" l="1"/>
  <c r="D89" i="2"/>
  <c r="F89" i="2" l="1"/>
  <c r="B89" i="2" s="1"/>
  <c r="G89" i="2"/>
  <c r="C89" i="2" s="1"/>
  <c r="D90" i="2" l="1"/>
  <c r="F90" i="2" s="1"/>
  <c r="E90" i="2"/>
  <c r="B90" i="2"/>
  <c r="G90" i="2"/>
  <c r="C90" i="2" s="1"/>
  <c r="D91" i="2" l="1"/>
  <c r="E91" i="2"/>
  <c r="F91" i="2" l="1"/>
  <c r="G91" i="2"/>
  <c r="C91" i="2" s="1"/>
  <c r="B91" i="2"/>
  <c r="D92" i="2" l="1"/>
  <c r="E92" i="2"/>
  <c r="G92" i="2" l="1"/>
  <c r="C92" i="2" s="1"/>
  <c r="F92" i="2"/>
  <c r="B92" i="2"/>
  <c r="D93" i="2" l="1"/>
  <c r="E93" i="2"/>
  <c r="F93" i="2"/>
  <c r="B93" i="2" l="1"/>
  <c r="G93" i="2"/>
  <c r="C93" i="2" s="1"/>
  <c r="D94" i="2" l="1"/>
  <c r="G94" i="2" s="1"/>
  <c r="E94" i="2"/>
  <c r="C94" i="2" s="1"/>
  <c r="F94" i="2"/>
  <c r="B94" i="2" l="1"/>
  <c r="D95" i="2" l="1"/>
  <c r="B95" i="2" s="1"/>
  <c r="E95" i="2"/>
  <c r="F95" i="2"/>
  <c r="G95" i="2"/>
  <c r="D96" i="2" l="1"/>
  <c r="F96" i="2" s="1"/>
  <c r="E96" i="2"/>
  <c r="B96" i="2"/>
  <c r="G96" i="2"/>
  <c r="C95" i="2"/>
  <c r="C96" i="2" l="1"/>
  <c r="D97" i="2"/>
  <c r="E97" i="2"/>
  <c r="G97" i="2"/>
  <c r="F97" i="2"/>
  <c r="B97" i="2" s="1"/>
  <c r="E98" i="2" l="1"/>
  <c r="D98" i="2"/>
  <c r="G98" i="2" s="1"/>
  <c r="C97" i="2"/>
  <c r="C98" i="2" l="1"/>
  <c r="F98" i="2"/>
  <c r="B98" i="2"/>
  <c r="D99" i="2" l="1"/>
  <c r="E99" i="2"/>
  <c r="B99" i="2" l="1"/>
  <c r="G99" i="2"/>
  <c r="C99" i="2" s="1"/>
  <c r="F99" i="2"/>
  <c r="D100" i="2" l="1"/>
  <c r="F100" i="2" s="1"/>
  <c r="E100" i="2"/>
  <c r="B100" i="2"/>
  <c r="G100" i="2"/>
  <c r="C100" i="2" s="1"/>
  <c r="D101" i="2" l="1"/>
  <c r="F101" i="2" s="1"/>
  <c r="E101" i="2"/>
  <c r="B101" i="2" l="1"/>
  <c r="G101" i="2"/>
  <c r="C101" i="2" s="1"/>
  <c r="E102" i="2" l="1"/>
  <c r="D102" i="2"/>
  <c r="F102" i="2" s="1"/>
  <c r="C102" i="2" l="1"/>
  <c r="B102" i="2"/>
  <c r="G102" i="2"/>
  <c r="D103" i="2" l="1"/>
  <c r="E103" i="2"/>
  <c r="F103" i="2"/>
  <c r="G103" i="2"/>
  <c r="B103" i="2"/>
  <c r="C103" i="2"/>
  <c r="E104" i="2" l="1"/>
  <c r="C104" i="2" s="1"/>
  <c r="D104" i="2"/>
  <c r="G104" i="2" s="1"/>
  <c r="F104" i="2"/>
  <c r="B104" i="2"/>
  <c r="C105" i="2" l="1"/>
  <c r="D105" i="2"/>
  <c r="F105" i="2"/>
  <c r="G105" i="2"/>
  <c r="E105" i="2"/>
  <c r="B105" i="2"/>
  <c r="E106" i="2" l="1"/>
  <c r="C106" i="2" s="1"/>
  <c r="D106" i="2"/>
  <c r="G106" i="2" s="1"/>
  <c r="F106" i="2" l="1"/>
  <c r="B106" i="2" s="1"/>
  <c r="D107" i="2" l="1"/>
  <c r="F107" i="2" s="1"/>
  <c r="B107" i="2" s="1"/>
  <c r="E107" i="2"/>
  <c r="E108" i="2" l="1"/>
  <c r="D108" i="2"/>
  <c r="F108" i="2" s="1"/>
  <c r="B108" i="2"/>
  <c r="G108" i="2"/>
  <c r="G107" i="2"/>
  <c r="C107" i="2" s="1"/>
  <c r="C108" i="2" l="1"/>
  <c r="D109" i="2"/>
  <c r="E109" i="2"/>
  <c r="F109" i="2"/>
  <c r="G109" i="2"/>
  <c r="B109" i="2"/>
  <c r="D110" i="2" l="1"/>
  <c r="F110" i="2" s="1"/>
  <c r="B110" i="2" s="1"/>
  <c r="E110" i="2"/>
  <c r="C109" i="2"/>
  <c r="E111" i="2" l="1"/>
  <c r="D111" i="2"/>
  <c r="F111" i="2" s="1"/>
  <c r="B111" i="2" s="1"/>
  <c r="G110" i="2"/>
  <c r="C110" i="2" s="1"/>
  <c r="D112" i="2" l="1"/>
  <c r="F112" i="2" s="1"/>
  <c r="E112" i="2"/>
  <c r="B112" i="2"/>
  <c r="G112" i="2"/>
  <c r="G111" i="2"/>
  <c r="C111" i="2" s="1"/>
  <c r="C112" i="2" l="1"/>
  <c r="D113" i="2"/>
  <c r="E113" i="2"/>
  <c r="F113" i="2"/>
  <c r="B113" i="2" l="1"/>
  <c r="G113" i="2"/>
  <c r="C113" i="2"/>
  <c r="E114" i="2" l="1"/>
  <c r="D114" i="2"/>
  <c r="G114" i="2"/>
  <c r="C114" i="2" s="1"/>
  <c r="F114" i="2"/>
  <c r="B114" i="2" s="1"/>
  <c r="D115" i="2" l="1"/>
  <c r="E115" i="2"/>
  <c r="F115" i="2"/>
  <c r="B115" i="2" s="1"/>
  <c r="G115" i="2"/>
  <c r="C115" i="2"/>
  <c r="E116" i="2" l="1"/>
  <c r="D116" i="2"/>
  <c r="F116" i="2" l="1"/>
  <c r="B116" i="2"/>
  <c r="G116" i="2"/>
  <c r="C116" i="2" s="1"/>
  <c r="D117" i="2" l="1"/>
  <c r="E117" i="2"/>
  <c r="G117" i="2" l="1"/>
  <c r="C117" i="2" s="1"/>
  <c r="F117" i="2"/>
  <c r="B117" i="2"/>
  <c r="D118" i="2" l="1"/>
  <c r="E118" i="2"/>
  <c r="C118" i="2" s="1"/>
  <c r="F118" i="2"/>
  <c r="B118" i="2"/>
  <c r="G118" i="2"/>
  <c r="E119" i="2" l="1"/>
  <c r="D119" i="2"/>
  <c r="F119" i="2"/>
  <c r="G119" i="2" l="1"/>
  <c r="C119" i="2" s="1"/>
  <c r="B119" i="2"/>
  <c r="E120" i="2" l="1"/>
  <c r="D120" i="2"/>
  <c r="G120" i="2" l="1"/>
  <c r="C120" i="2" s="1"/>
  <c r="F120" i="2"/>
  <c r="B120" i="2" s="1"/>
  <c r="D121" i="2" l="1"/>
  <c r="E121" i="2"/>
  <c r="F121" i="2"/>
  <c r="G121" i="2"/>
  <c r="B121" i="2"/>
  <c r="E122" i="2" l="1"/>
  <c r="D122" i="2"/>
  <c r="C121" i="2"/>
  <c r="G122" i="2" l="1"/>
  <c r="C122" i="2" s="1"/>
  <c r="F122" i="2"/>
  <c r="B122" i="2"/>
  <c r="E123" i="2" l="1"/>
  <c r="C123" i="2" s="1"/>
  <c r="D123" i="2"/>
  <c r="F123" i="2" s="1"/>
  <c r="B123" i="2" s="1"/>
  <c r="G123" i="2"/>
  <c r="D124" i="2" l="1"/>
  <c r="G124" i="2" s="1"/>
  <c r="E124" i="2"/>
  <c r="C124" i="2" s="1"/>
  <c r="F124" i="2"/>
  <c r="B124" i="2" s="1"/>
  <c r="D125" i="2" l="1"/>
  <c r="E125" i="2"/>
  <c r="F125" i="2"/>
  <c r="G125" i="2" l="1"/>
  <c r="C125" i="2" s="1"/>
  <c r="B125" i="2"/>
  <c r="E126" i="2" l="1"/>
  <c r="D126" i="2"/>
  <c r="G126" i="2" l="1"/>
  <c r="C126" i="2" s="1"/>
  <c r="F126" i="2"/>
  <c r="B126" i="2" s="1"/>
  <c r="D127" i="2" l="1"/>
  <c r="E127" i="2"/>
  <c r="C127" i="2" s="1"/>
  <c r="G127" i="2"/>
  <c r="F127" i="2"/>
  <c r="B127" i="2" s="1"/>
  <c r="E128" i="2" l="1"/>
  <c r="C128" i="2" s="1"/>
  <c r="D128" i="2"/>
  <c r="F128" i="2" s="1"/>
  <c r="B128" i="2" s="1"/>
  <c r="G128" i="2"/>
  <c r="D129" i="2" l="1"/>
  <c r="E129" i="2"/>
  <c r="F129" i="2"/>
  <c r="G129" i="2" l="1"/>
  <c r="C129" i="2" s="1"/>
  <c r="B129" i="2"/>
  <c r="D130" i="2" l="1"/>
  <c r="F130" i="2" s="1"/>
  <c r="B130" i="2" s="1"/>
  <c r="E130" i="2"/>
  <c r="D131" i="2" l="1"/>
  <c r="G131" i="2" s="1"/>
  <c r="E131" i="2"/>
  <c r="G130" i="2"/>
  <c r="C130" i="2" s="1"/>
  <c r="C131" i="2" l="1"/>
  <c r="F131" i="2"/>
  <c r="B131" i="2" s="1"/>
  <c r="D132" i="2" l="1"/>
  <c r="F132" i="2" s="1"/>
  <c r="B132" i="2" s="1"/>
  <c r="E132" i="2"/>
  <c r="E133" i="2" l="1"/>
  <c r="D133" i="2"/>
  <c r="G133" i="2" s="1"/>
  <c r="F133" i="2"/>
  <c r="B133" i="2"/>
  <c r="G132" i="2"/>
  <c r="C132" i="2" s="1"/>
  <c r="D134" i="2" l="1"/>
  <c r="F134" i="2" s="1"/>
  <c r="E134" i="2"/>
  <c r="C133" i="2"/>
  <c r="G134" i="2" l="1"/>
  <c r="C134" i="2" s="1"/>
  <c r="B134" i="2"/>
  <c r="D135" i="2" l="1"/>
  <c r="G135" i="2" s="1"/>
  <c r="C135" i="2" s="1"/>
  <c r="E135" i="2"/>
  <c r="F135" i="2"/>
  <c r="B135" i="2" s="1"/>
  <c r="E136" i="2" l="1"/>
  <c r="D136" i="2"/>
  <c r="F136" i="2" s="1"/>
  <c r="B136" i="2" s="1"/>
  <c r="D137" i="2" l="1"/>
  <c r="G137" i="2" s="1"/>
  <c r="E137" i="2"/>
  <c r="G136" i="2"/>
  <c r="C136" i="2" s="1"/>
  <c r="C137" i="2" l="1"/>
  <c r="F137" i="2"/>
  <c r="B137" i="2" s="1"/>
  <c r="E138" i="2" l="1"/>
  <c r="C138" i="2" s="1"/>
  <c r="D138" i="2"/>
  <c r="G138" i="2" s="1"/>
  <c r="F138" i="2" l="1"/>
  <c r="B138" i="2" s="1"/>
  <c r="D139" i="2" l="1"/>
  <c r="F139" i="2" s="1"/>
  <c r="B139" i="2" s="1"/>
  <c r="E139" i="2"/>
  <c r="E140" i="2" l="1"/>
  <c r="D140" i="2"/>
  <c r="F140" i="2" s="1"/>
  <c r="G140" i="2"/>
  <c r="B140" i="2"/>
  <c r="G139" i="2"/>
  <c r="C139" i="2"/>
  <c r="C140" i="2" l="1"/>
  <c r="D141" i="2"/>
  <c r="E141" i="2"/>
  <c r="F141" i="2"/>
  <c r="G141" i="2" l="1"/>
  <c r="B141" i="2"/>
  <c r="C141" i="2"/>
  <c r="E142" i="2" l="1"/>
  <c r="D142" i="2"/>
  <c r="G142" i="2" l="1"/>
  <c r="F142" i="2"/>
  <c r="B142" i="2" s="1"/>
  <c r="C142" i="2"/>
  <c r="D143" i="2" l="1"/>
  <c r="F143" i="2"/>
  <c r="B143" i="2"/>
  <c r="E143" i="2"/>
  <c r="G143" i="2"/>
  <c r="C143" i="2" l="1"/>
  <c r="E144" i="2"/>
  <c r="D144" i="2"/>
  <c r="F144" i="2" l="1"/>
  <c r="B144" i="2" s="1"/>
  <c r="G144" i="2"/>
  <c r="C144" i="2" s="1"/>
  <c r="D145" i="2" l="1"/>
  <c r="G145" i="2" s="1"/>
  <c r="E145" i="2"/>
  <c r="C145" i="2" s="1"/>
  <c r="F145" i="2"/>
  <c r="B145" i="2" s="1"/>
  <c r="E146" i="2" s="1"/>
  <c r="C146" i="2" s="1"/>
  <c r="D146" i="2"/>
  <c r="G146" i="2" s="1"/>
  <c r="F146" i="2" l="1"/>
  <c r="B146" i="2" s="1"/>
  <c r="D147" i="2"/>
  <c r="G147" i="2"/>
  <c r="F147" i="2"/>
  <c r="B147" i="2" s="1"/>
  <c r="E147" i="2"/>
  <c r="C147" i="2" s="1"/>
  <c r="E148" i="2" l="1"/>
  <c r="D148" i="2"/>
  <c r="F148" i="2" s="1"/>
  <c r="B148" i="2" s="1"/>
  <c r="G148" i="2" l="1"/>
  <c r="C148" i="2" s="1"/>
  <c r="E149" i="2"/>
  <c r="D149" i="2"/>
  <c r="G149" i="2" s="1"/>
  <c r="C149" i="2" l="1"/>
  <c r="F149" i="2"/>
  <c r="B149" i="2" s="1"/>
  <c r="D150" i="2" l="1"/>
  <c r="F150" i="2" s="1"/>
  <c r="G150" i="2"/>
  <c r="E150" i="2"/>
  <c r="B150" i="2" l="1"/>
  <c r="D151" i="2" s="1"/>
  <c r="C150" i="2"/>
  <c r="G151" i="2" l="1"/>
  <c r="F151" i="2"/>
  <c r="B151" i="2" s="1"/>
  <c r="E152" i="2" s="1"/>
  <c r="E151" i="2"/>
  <c r="D152" i="2" l="1"/>
  <c r="F152" i="2" s="1"/>
  <c r="B152" i="2" s="1"/>
  <c r="C151" i="2"/>
  <c r="D153" i="2"/>
  <c r="G153" i="2" s="1"/>
  <c r="E153" i="2"/>
  <c r="F153" i="2" l="1"/>
  <c r="G152" i="2"/>
  <c r="C152" i="2" s="1"/>
  <c r="C153" i="2"/>
  <c r="B153" i="2"/>
  <c r="E154" i="2" l="1"/>
  <c r="D154" i="2"/>
  <c r="G154" i="2" s="1"/>
  <c r="F154" i="2" l="1"/>
  <c r="C154" i="2"/>
  <c r="B154" i="2"/>
  <c r="D155" i="2" l="1"/>
  <c r="E155" i="2"/>
  <c r="F155" i="2"/>
  <c r="G155" i="2"/>
  <c r="B155" i="2"/>
  <c r="C155" i="2"/>
  <c r="E156" i="2" l="1"/>
  <c r="D156" i="2"/>
  <c r="G156" i="2" s="1"/>
  <c r="C156" i="2" l="1"/>
  <c r="F156" i="2"/>
  <c r="B156" i="2"/>
  <c r="D157" i="2" l="1"/>
  <c r="G157" i="2" s="1"/>
  <c r="F157" i="2"/>
  <c r="E157" i="2"/>
  <c r="C157" i="2" l="1"/>
  <c r="B157" i="2"/>
  <c r="E158" i="2" l="1"/>
  <c r="D158" i="2"/>
  <c r="G158" i="2" s="1"/>
  <c r="F158" i="2" l="1"/>
  <c r="B158" i="2" s="1"/>
  <c r="C158" i="2"/>
  <c r="D159" i="2" l="1"/>
  <c r="F159" i="2" s="1"/>
  <c r="E159" i="2"/>
  <c r="B159" i="2" l="1"/>
  <c r="E160" i="2" s="1"/>
  <c r="G159" i="2"/>
  <c r="C159" i="2" s="1"/>
  <c r="D160" i="2" l="1"/>
  <c r="F160" i="2" s="1"/>
  <c r="B160" i="2" s="1"/>
  <c r="D161" i="2"/>
  <c r="G161" i="2" s="1"/>
  <c r="E161" i="2"/>
  <c r="G160" i="2" l="1"/>
  <c r="C160" i="2" s="1"/>
  <c r="C161" i="2" s="1"/>
  <c r="F161" i="2"/>
  <c r="B161" i="2" s="1"/>
  <c r="D162" i="2" l="1"/>
  <c r="F162" i="2" s="1"/>
  <c r="B162" i="2" s="1"/>
  <c r="E162" i="2"/>
  <c r="G162" i="2" l="1"/>
  <c r="C162" i="2" s="1"/>
  <c r="C163" i="2" s="1"/>
  <c r="D163" i="2"/>
  <c r="G163" i="2"/>
  <c r="F163" i="2"/>
  <c r="B163" i="2" s="1"/>
  <c r="E163" i="2"/>
  <c r="E164" i="2" l="1"/>
  <c r="D164" i="2"/>
  <c r="F164" i="2" s="1"/>
  <c r="B164" i="2" s="1"/>
  <c r="G164" i="2"/>
  <c r="C164" i="2"/>
  <c r="E165" i="2" l="1"/>
  <c r="D165" i="2"/>
  <c r="G165" i="2" l="1"/>
  <c r="C165" i="2" s="1"/>
  <c r="F165" i="2"/>
  <c r="B165" i="2" s="1"/>
  <c r="E166" i="2" l="1"/>
  <c r="C166" i="2" s="1"/>
  <c r="D166" i="2"/>
  <c r="F166" i="2"/>
  <c r="G166" i="2"/>
  <c r="B166" i="2" l="1"/>
  <c r="D167" i="2"/>
  <c r="E167" i="2"/>
  <c r="F167" i="2"/>
  <c r="B167" i="2" s="1"/>
  <c r="G167" i="2"/>
  <c r="C167" i="2"/>
  <c r="E168" i="2" l="1"/>
  <c r="D168" i="2"/>
  <c r="F168" i="2" s="1"/>
  <c r="B168" i="2" l="1"/>
  <c r="G168" i="2"/>
  <c r="C168" i="2" s="1"/>
  <c r="D169" i="2" l="1"/>
  <c r="G169" i="2"/>
  <c r="E169" i="2"/>
  <c r="C169" i="2" s="1"/>
  <c r="F169" i="2"/>
  <c r="B169" i="2" l="1"/>
  <c r="D170" i="2" s="1"/>
  <c r="E170" i="2" l="1"/>
  <c r="C170" i="2" s="1"/>
  <c r="C171" i="2" s="1"/>
  <c r="G170" i="2"/>
  <c r="F170" i="2"/>
  <c r="B170" i="2" s="1"/>
  <c r="D171" i="2"/>
  <c r="F171" i="2" s="1"/>
  <c r="B171" i="2" s="1"/>
  <c r="G171" i="2"/>
  <c r="E171" i="2"/>
  <c r="E172" i="2" l="1"/>
  <c r="D172" i="2"/>
  <c r="F172" i="2" s="1"/>
  <c r="B172" i="2" s="1"/>
  <c r="D173" i="2" l="1"/>
  <c r="G173" i="2" s="1"/>
  <c r="E173" i="2"/>
  <c r="G172" i="2"/>
  <c r="C172" i="2" s="1"/>
  <c r="C173" i="2" l="1"/>
  <c r="F173" i="2"/>
  <c r="B173" i="2"/>
  <c r="D174" i="2"/>
  <c r="F174" i="2" s="1"/>
  <c r="E174" i="2"/>
  <c r="B174" i="2" l="1"/>
  <c r="G174" i="2"/>
  <c r="C174" i="2" s="1"/>
  <c r="D175" i="2" l="1"/>
  <c r="F175" i="2" s="1"/>
  <c r="E175" i="2"/>
  <c r="G175" i="2" l="1"/>
  <c r="C175" i="2" s="1"/>
  <c r="B175" i="2"/>
  <c r="D176" i="2"/>
  <c r="F176" i="2" s="1"/>
  <c r="B176" i="2" s="1"/>
  <c r="E176" i="2"/>
  <c r="G176" i="2"/>
  <c r="C176" i="2" l="1"/>
  <c r="D177" i="2"/>
  <c r="F177" i="2" s="1"/>
  <c r="E177" i="2"/>
  <c r="B177" i="2" l="1"/>
  <c r="G177" i="2"/>
  <c r="C177" i="2" s="1"/>
  <c r="E178" i="2" l="1"/>
  <c r="D178" i="2"/>
  <c r="G178" i="2"/>
  <c r="C178" i="2" l="1"/>
  <c r="F178" i="2"/>
  <c r="B178" i="2" s="1"/>
  <c r="D179" i="2" l="1"/>
  <c r="G179" i="2"/>
  <c r="F179" i="2"/>
  <c r="B179" i="2"/>
  <c r="E179" i="2"/>
  <c r="C179" i="2" s="1"/>
  <c r="D180" i="2" l="1"/>
  <c r="F180" i="2" s="1"/>
  <c r="E180" i="2"/>
  <c r="B180" i="2" l="1"/>
  <c r="D181" i="2" s="1"/>
  <c r="F181" i="2" s="1"/>
  <c r="G180" i="2"/>
  <c r="C180" i="2"/>
  <c r="E181" i="2" l="1"/>
  <c r="B181" i="2"/>
  <c r="G181" i="2"/>
  <c r="C181" i="2" l="1"/>
  <c r="D182" i="2"/>
  <c r="E182" i="2"/>
  <c r="G182" i="2" l="1"/>
  <c r="C182" i="2" s="1"/>
  <c r="F182" i="2"/>
  <c r="B182" i="2" s="1"/>
  <c r="D183" i="2" l="1"/>
  <c r="F183" i="2" s="1"/>
  <c r="E183" i="2"/>
  <c r="B183" i="2" l="1"/>
  <c r="D184" i="2" s="1"/>
  <c r="G183" i="2"/>
  <c r="C183" i="2" s="1"/>
  <c r="G184" i="2" l="1"/>
  <c r="C184" i="2" s="1"/>
  <c r="F184" i="2"/>
  <c r="B184" i="2" s="1"/>
  <c r="E184" i="2"/>
  <c r="D185" i="2" l="1"/>
  <c r="F185" i="2" s="1"/>
  <c r="E185" i="2"/>
  <c r="B185" i="2" l="1"/>
  <c r="D186" i="2" s="1"/>
  <c r="F186" i="2" s="1"/>
  <c r="G185" i="2"/>
  <c r="C185" i="2" s="1"/>
  <c r="E186" i="2" l="1"/>
  <c r="B186" i="2"/>
  <c r="D187" i="2"/>
  <c r="E187" i="2"/>
  <c r="G187" i="2"/>
  <c r="F187" i="2"/>
  <c r="B187" i="2"/>
  <c r="G186" i="2"/>
  <c r="C186" i="2" l="1"/>
  <c r="C187" i="2" s="1"/>
  <c r="D188" i="2"/>
  <c r="E188" i="2"/>
  <c r="F188" i="2"/>
  <c r="B188" i="2" s="1"/>
  <c r="G188" i="2"/>
  <c r="C188" i="2" l="1"/>
  <c r="D189" i="2"/>
  <c r="F189" i="2" s="1"/>
  <c r="E189" i="2"/>
  <c r="G189" i="2" l="1"/>
  <c r="C189" i="2" s="1"/>
  <c r="B189" i="2"/>
  <c r="E190" i="2" l="1"/>
  <c r="D190" i="2"/>
  <c r="F190" i="2" s="1"/>
  <c r="B190" i="2" s="1"/>
  <c r="G190" i="2" l="1"/>
  <c r="C190" i="2" s="1"/>
  <c r="D191" i="2"/>
  <c r="E191" i="2"/>
  <c r="F191" i="2"/>
  <c r="G191" i="2"/>
  <c r="C191" i="2" s="1"/>
  <c r="B191" i="2"/>
  <c r="D192" i="2" l="1"/>
  <c r="F192" i="2"/>
  <c r="E192" i="2"/>
  <c r="B192" i="2"/>
  <c r="G192" i="2"/>
  <c r="C192" i="2" l="1"/>
  <c r="D193" i="2"/>
  <c r="F193" i="2" s="1"/>
  <c r="E193" i="2"/>
  <c r="B193" i="2" l="1"/>
  <c r="G193" i="2"/>
  <c r="C193" i="2" s="1"/>
  <c r="E194" i="2" l="1"/>
  <c r="D194" i="2"/>
  <c r="G194" i="2" s="1"/>
  <c r="C194" i="2" l="1"/>
  <c r="F194" i="2"/>
  <c r="B194" i="2" s="1"/>
  <c r="D195" i="2" l="1"/>
  <c r="F195" i="2" s="1"/>
  <c r="E195" i="2"/>
  <c r="B195" i="2" l="1"/>
  <c r="G195" i="2"/>
  <c r="C195" i="2" s="1"/>
  <c r="D196" i="2" l="1"/>
  <c r="F196" i="2"/>
  <c r="E196" i="2"/>
  <c r="B196" i="2"/>
  <c r="G196" i="2"/>
  <c r="C196" i="2" l="1"/>
  <c r="E197" i="2"/>
  <c r="D197" i="2"/>
  <c r="F197" i="2" s="1"/>
  <c r="B197" i="2" l="1"/>
  <c r="G197" i="2"/>
  <c r="C197" i="2" s="1"/>
  <c r="D198" i="2" l="1"/>
  <c r="E198" i="2"/>
  <c r="G198" i="2"/>
  <c r="C198" i="2" l="1"/>
  <c r="F198" i="2"/>
  <c r="B198" i="2" s="1"/>
  <c r="D199" i="2" l="1"/>
  <c r="G199" i="2" s="1"/>
  <c r="E199" i="2"/>
  <c r="F199" i="2" l="1"/>
  <c r="B199" i="2" s="1"/>
  <c r="C199" i="2"/>
  <c r="D200" i="2" l="1"/>
  <c r="F200" i="2" s="1"/>
  <c r="E200" i="2"/>
  <c r="B200" i="2" l="1"/>
  <c r="G200" i="2"/>
  <c r="C200" i="2" s="1"/>
  <c r="D201" i="2" l="1"/>
  <c r="G201" i="2" s="1"/>
  <c r="C201" i="2" s="1"/>
  <c r="E201" i="2"/>
  <c r="F201" i="2" l="1"/>
  <c r="B201" i="2" s="1"/>
  <c r="D202" i="2" l="1"/>
  <c r="F202" i="2" s="1"/>
  <c r="E202" i="2"/>
  <c r="G202" i="2"/>
  <c r="B202" i="2" l="1"/>
  <c r="D203" i="2" s="1"/>
  <c r="C202" i="2"/>
  <c r="E203" i="2" l="1"/>
  <c r="G203" i="2"/>
  <c r="C203" i="2" s="1"/>
  <c r="F203" i="2"/>
  <c r="B203" i="2" s="1"/>
  <c r="D204" i="2" l="1"/>
  <c r="E204" i="2"/>
  <c r="F204" i="2"/>
  <c r="B204" i="2" s="1"/>
  <c r="G204" i="2"/>
  <c r="C204" i="2" l="1"/>
  <c r="E205" i="2"/>
  <c r="D205" i="2"/>
  <c r="F205" i="2" s="1"/>
  <c r="G205" i="2" l="1"/>
  <c r="C205" i="2" s="1"/>
  <c r="B205" i="2"/>
  <c r="D206" i="2" l="1"/>
  <c r="E206" i="2"/>
  <c r="B206" i="2" l="1"/>
  <c r="D207" i="2" s="1"/>
  <c r="F207" i="2" s="1"/>
  <c r="G206" i="2"/>
  <c r="C206" i="2" s="1"/>
  <c r="F206" i="2"/>
  <c r="E207" i="2"/>
  <c r="B207" i="2" l="1"/>
  <c r="G207" i="2"/>
  <c r="C207" i="2" s="1"/>
  <c r="D208" i="2" l="1"/>
  <c r="F208" i="2" s="1"/>
  <c r="E208" i="2"/>
  <c r="B208" i="2" l="1"/>
  <c r="G208" i="2"/>
  <c r="C208" i="2" s="1"/>
  <c r="E209" i="2" l="1"/>
  <c r="D209" i="2"/>
  <c r="F209" i="2" s="1"/>
  <c r="B209" i="2" l="1"/>
  <c r="G209" i="2"/>
  <c r="C209" i="2" s="1"/>
</calcChain>
</file>

<file path=xl/sharedStrings.xml><?xml version="1.0" encoding="utf-8"?>
<sst xmlns="http://schemas.openxmlformats.org/spreadsheetml/2006/main" count="24" uniqueCount="17">
  <si>
    <t xml:space="preserve">Excerise 5.9 a </t>
  </si>
  <si>
    <t>dt=</t>
  </si>
  <si>
    <t>b1=</t>
  </si>
  <si>
    <t>b2=</t>
  </si>
  <si>
    <t>b3=</t>
  </si>
  <si>
    <t>t</t>
  </si>
  <si>
    <t>Y1</t>
  </si>
  <si>
    <t>Y2</t>
  </si>
  <si>
    <t>y1(0)</t>
  </si>
  <si>
    <t>y2(0)</t>
  </si>
  <si>
    <t xml:space="preserve">Excerise 5.9 b </t>
  </si>
  <si>
    <t>K11</t>
  </si>
  <si>
    <t>K12</t>
  </si>
  <si>
    <t>K21</t>
  </si>
  <si>
    <t>K22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</si>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</sst>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9" fontId="0" fillId="0" borderId="0" xfId="0" applyNumberFormat="1"/>
    <xf numFmtId="169" fontId="0" fillId="2" borderId="0" xfId="0" applyNumberFormat="1" applyFill="1"/>
    <xf numFmtId="169" fontId="0" fillId="3" borderId="0" xfId="0" applyNumberFormat="1" applyFill="1"/>
    <xf numFmtId="16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</a:t>
            </a:r>
            <a:r>
              <a:rPr lang="en-US" baseline="0"/>
              <a:t> of Cell Mass and Penicillin as a function of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y1(t)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'5.9 a'!$A$9:$A$209</c:f>
              <c:numCache>
                <c:formatCode>0.000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 a'!$B$9:$B$209</c:f>
              <c:numCache>
                <c:formatCode>0.000</c:formatCode>
                <c:ptCount val="201"/>
                <c:pt idx="0">
                  <c:v>0.03</c:v>
                </c:pt>
                <c:pt idx="1">
                  <c:v>3.1902287234042551E-2</c:v>
                </c:pt>
                <c:pt idx="2">
                  <c:v>3.3920968948441488E-2</c:v>
                </c:pt>
                <c:pt idx="3">
                  <c:v>3.606261538817794E-2</c:v>
                </c:pt>
                <c:pt idx="4">
                  <c:v>3.8334095897193346E-2</c:v>
                </c:pt>
                <c:pt idx="5">
                  <c:v>4.0742582965171512E-2</c:v>
                </c:pt>
                <c:pt idx="6">
                  <c:v>4.3295554858574142E-2</c:v>
                </c:pt>
                <c:pt idx="7">
                  <c:v>4.600079659317402E-2</c:v>
                </c:pt>
                <c:pt idx="8">
                  <c:v>4.886639898246093E-2</c:v>
                </c:pt>
                <c:pt idx="9">
                  <c:v>5.1900755473053499E-2</c:v>
                </c:pt>
                <c:pt idx="10">
                  <c:v>5.5112556455024539E-2</c:v>
                </c:pt>
                <c:pt idx="11">
                  <c:v>5.8510780712323282E-2</c:v>
                </c:pt>
                <c:pt idx="12">
                  <c:v>6.2104683656851151E-2</c:v>
                </c:pt>
                <c:pt idx="13">
                  <c:v>6.5903781969934794E-2</c:v>
                </c:pt>
                <c:pt idx="14">
                  <c:v>6.9917834257789871E-2</c:v>
                </c:pt>
                <c:pt idx="15">
                  <c:v>7.4156817314070714E-2</c:v>
                </c:pt>
                <c:pt idx="16">
                  <c:v>7.8630897573890232E-2</c:v>
                </c:pt>
                <c:pt idx="17">
                  <c:v>8.3350397341054983E-2</c:v>
                </c:pt>
                <c:pt idx="18">
                  <c:v>8.8325755375119913E-2</c:v>
                </c:pt>
                <c:pt idx="19">
                  <c:v>9.3567481438786695E-2</c:v>
                </c:pt>
                <c:pt idx="20">
                  <c:v>9.9086104430821637E-2</c:v>
                </c:pt>
                <c:pt idx="21">
                  <c:v>0.10489211376680795</c:v>
                </c:pt>
                <c:pt idx="22">
                  <c:v>0.11099589372146396</c:v>
                </c:pt>
                <c:pt idx="23">
                  <c:v>0.11740765051372172</c:v>
                </c:pt>
                <c:pt idx="24">
                  <c:v>0.12413733200094021</c:v>
                </c:pt>
                <c:pt idx="25">
                  <c:v>0.13119453995300348</c:v>
                </c:pt>
                <c:pt idx="26">
                  <c:v>0.13858843500180504</c:v>
                </c:pt>
                <c:pt idx="27">
                  <c:v>0.14632763450749312</c:v>
                </c:pt>
                <c:pt idx="28">
                  <c:v>0.1544201037500248</c:v>
                </c:pt>
                <c:pt idx="29">
                  <c:v>0.16287304104250033</c:v>
                </c:pt>
                <c:pt idx="30">
                  <c:v>0.17169275756998911</c:v>
                </c:pt>
                <c:pt idx="31">
                  <c:v>0.18088455298164238</c:v>
                </c:pt>
                <c:pt idx="32">
                  <c:v>0.19045258800116055</c:v>
                </c:pt>
                <c:pt idx="33">
                  <c:v>0.20039975556619374</c:v>
                </c:pt>
                <c:pt idx="34">
                  <c:v>0.21072755225468384</c:v>
                </c:pt>
                <c:pt idx="35">
                  <c:v>0.22143595199780083</c:v>
                </c:pt>
                <c:pt idx="36">
                  <c:v>0.2325232843059602</c:v>
                </c:pt>
                <c:pt idx="37">
                  <c:v>0.24398611943623444</c:v>
                </c:pt>
                <c:pt idx="38">
                  <c:v>0.25581916309518049</c:v>
                </c:pt>
                <c:pt idx="39">
                  <c:v>0.26801516338904241</c:v>
                </c:pt>
                <c:pt idx="40">
                  <c:v>0.2805648327917451</c:v>
                </c:pt>
                <c:pt idx="41">
                  <c:v>0.29345678788889734</c:v>
                </c:pt>
                <c:pt idx="42">
                  <c:v>0.30667750956322276</c:v>
                </c:pt>
                <c:pt idx="43">
                  <c:v>0.32021132610545483</c:v>
                </c:pt>
                <c:pt idx="44">
                  <c:v>0.33404042145952489</c:v>
                </c:pt>
                <c:pt idx="45">
                  <c:v>0.34814487044005982</c:v>
                </c:pt>
                <c:pt idx="46">
                  <c:v>0.36250270229611881</c:v>
                </c:pt>
                <c:pt idx="47">
                  <c:v>0.37708999344463667</c:v>
                </c:pt>
                <c:pt idx="48">
                  <c:v>0.39188098957193807</c:v>
                </c:pt>
                <c:pt idx="49">
                  <c:v>0.40684825661846785</c:v>
                </c:pt>
                <c:pt idx="50">
                  <c:v>0.42196285944151646</c:v>
                </c:pt>
                <c:pt idx="51">
                  <c:v>0.43719456621791664</c:v>
                </c:pt>
                <c:pt idx="52">
                  <c:v>0.45251207593088599</c:v>
                </c:pt>
                <c:pt idx="53">
                  <c:v>0.46788326561122623</c:v>
                </c:pt>
                <c:pt idx="54">
                  <c:v>0.48327545340168054</c:v>
                </c:pt>
                <c:pt idx="55">
                  <c:v>0.49865567301133179</c:v>
                </c:pt>
                <c:pt idx="56">
                  <c:v>0.51399095474801215</c:v>
                </c:pt>
                <c:pt idx="57">
                  <c:v>0.52924860807936691</c:v>
                </c:pt>
                <c:pt idx="58">
                  <c:v>0.54439650058985956</c:v>
                </c:pt>
                <c:pt idx="59">
                  <c:v>0.55940332827693284</c:v>
                </c:pt>
                <c:pt idx="60">
                  <c:v>0.57423887236256255</c:v>
                </c:pt>
                <c:pt idx="61">
                  <c:v>0.58887423817692641</c:v>
                </c:pt>
                <c:pt idx="62">
                  <c:v>0.60328207218236207</c:v>
                </c:pt>
                <c:pt idx="63">
                  <c:v>0.61743675382584906</c:v>
                </c:pt>
                <c:pt idx="64">
                  <c:v>0.63131455961009897</c:v>
                </c:pt>
                <c:pt idx="65">
                  <c:v>0.64489379752731801</c:v>
                </c:pt>
                <c:pt idx="66">
                  <c:v>0.65815491077509891</c:v>
                </c:pt>
                <c:pt idx="67">
                  <c:v>0.67108055044063564</c:v>
                </c:pt>
                <c:pt idx="68">
                  <c:v>0.68365561756974114</c:v>
                </c:pt>
                <c:pt idx="69">
                  <c:v>0.69586727570676077</c:v>
                </c:pt>
                <c:pt idx="70">
                  <c:v>0.70770493558079783</c:v>
                </c:pt>
                <c:pt idx="71">
                  <c:v>0.71916021410828146</c:v>
                </c:pt>
                <c:pt idx="72">
                  <c:v>0.73022687027286792</c:v>
                </c:pt>
                <c:pt idx="73">
                  <c:v>0.74090072072735003</c:v>
                </c:pt>
                <c:pt idx="74">
                  <c:v>0.75117953813997329</c:v>
                </c:pt>
                <c:pt idx="75">
                  <c:v>0.76106293538487346</c:v>
                </c:pt>
                <c:pt idx="76">
                  <c:v>0.77055223866227429</c:v>
                </c:pt>
                <c:pt idx="77">
                  <c:v>0.77965035254014525</c:v>
                </c:pt>
                <c:pt idx="78">
                  <c:v>0.78836161974839047</c:v>
                </c:pt>
                <c:pt idx="79">
                  <c:v>0.79669167834324406</c:v>
                </c:pt>
                <c:pt idx="80">
                  <c:v>0.80464731860732219</c:v>
                </c:pt>
                <c:pt idx="81">
                  <c:v>0.81223634177301884</c:v>
                </c:pt>
                <c:pt idx="82">
                  <c:v>0.81946742236580961</c:v>
                </c:pt>
                <c:pt idx="83">
                  <c:v>0.82634997567025348</c:v>
                </c:pt>
                <c:pt idx="84">
                  <c:v>0.83289403153409125</c:v>
                </c:pt>
                <c:pt idx="85">
                  <c:v>0.83911011545211167</c:v>
                </c:pt>
                <c:pt idx="86">
                  <c:v>0.84500913761694763</c:v>
                </c:pt>
                <c:pt idx="87">
                  <c:v>0.85060229039258428</c:v>
                </c:pt>
                <c:pt idx="88">
                  <c:v>0.85590095446055092</c:v>
                </c:pt>
                <c:pt idx="89">
                  <c:v>0.86091661370969086</c:v>
                </c:pt>
                <c:pt idx="90">
                  <c:v>0.86566077878813397</c:v>
                </c:pt>
                <c:pt idx="91">
                  <c:v>0.87014491910987257</c:v>
                </c:pt>
                <c:pt idx="92">
                  <c:v>0.87438040300672493</c:v>
                </c:pt>
                <c:pt idx="93">
                  <c:v>0.87837844563757572</c:v>
                </c:pt>
                <c:pt idx="94">
                  <c:v>0.88215006420840636</c:v>
                </c:pt>
                <c:pt idx="95">
                  <c:v>0.88570604001641906</c:v>
                </c:pt>
                <c:pt idx="96">
                  <c:v>0.8890568868071087</c:v>
                </c:pt>
                <c:pt idx="97">
                  <c:v>0.89221282492208687</c:v>
                </c:pt>
                <c:pt idx="98">
                  <c:v>0.89518376071556649</c:v>
                </c:pt>
                <c:pt idx="99">
                  <c:v>0.89797927072658434</c:v>
                </c:pt>
                <c:pt idx="100">
                  <c:v>0.90060859011036765</c:v>
                </c:pt>
                <c:pt idx="101">
                  <c:v>0.90308060485405606</c:v>
                </c:pt>
                <c:pt idx="102">
                  <c:v>0.90540384732778001</c:v>
                </c:pt>
                <c:pt idx="103">
                  <c:v>0.9075864947506066</c:v>
                </c:pt>
                <c:pt idx="104">
                  <c:v>0.90963637018100874</c:v>
                </c:pt>
                <c:pt idx="105">
                  <c:v>0.91156094567241441</c:v>
                </c:pt>
                <c:pt idx="106">
                  <c:v>0.91336734726531421</c:v>
                </c:pt>
                <c:pt idx="107">
                  <c:v>0.91506236151778142</c:v>
                </c:pt>
                <c:pt idx="108">
                  <c:v>0.91665244330564755</c:v>
                </c:pt>
                <c:pt idx="109">
                  <c:v>0.91814372465164307</c:v>
                </c:pt>
                <c:pt idx="110">
                  <c:v>0.91954202436932986</c:v>
                </c:pt>
                <c:pt idx="111">
                  <c:v>0.92085285833246611</c:v>
                </c:pt>
                <c:pt idx="112">
                  <c:v>0.92208145020346677</c:v>
                </c:pt>
                <c:pt idx="113">
                  <c:v>0.92323274247582465</c:v>
                </c:pt>
                <c:pt idx="114">
                  <c:v>0.92431140770474352</c:v>
                </c:pt>
                <c:pt idx="115">
                  <c:v>0.92532185981785142</c:v>
                </c:pt>
                <c:pt idx="116">
                  <c:v>0.92626826541377361</c:v>
                </c:pt>
                <c:pt idx="117">
                  <c:v>0.92715455497063326</c:v>
                </c:pt>
                <c:pt idx="118">
                  <c:v>0.92798443389931295</c:v>
                </c:pt>
                <c:pt idx="119">
                  <c:v>0.9287613933876514</c:v>
                </c:pt>
                <c:pt idx="120">
                  <c:v>0.9294887209917736</c:v>
                </c:pt>
                <c:pt idx="121">
                  <c:v>0.93016951093956934</c:v>
                </c:pt>
                <c:pt idx="122">
                  <c:v>0.93080667411904516</c:v>
                </c:pt>
                <c:pt idx="123">
                  <c:v>0.93140294773098242</c:v>
                </c:pt>
                <c:pt idx="124">
                  <c:v>0.93196090459113989</c:v>
                </c:pt>
                <c:pt idx="125">
                  <c:v>0.93248296207222658</c:v>
                </c:pt>
                <c:pt idx="126">
                  <c:v>0.93297139068013601</c:v>
                </c:pt>
                <c:pt idx="127">
                  <c:v>0.93342832226254713</c:v>
                </c:pt>
                <c:pt idx="128">
                  <c:v>0.93385575785103891</c:v>
                </c:pt>
                <c:pt idx="129">
                  <c:v>0.93425557514040347</c:v>
                </c:pt>
                <c:pt idx="130">
                  <c:v>0.93462953561092899</c:v>
                </c:pt>
                <c:pt idx="131">
                  <c:v>0.93497929130112811</c:v>
                </c:pt>
                <c:pt idx="132">
                  <c:v>0.93530639123974735</c:v>
                </c:pt>
                <c:pt idx="133">
                  <c:v>0.93561228754695958</c:v>
                </c:pt>
                <c:pt idx="134">
                  <c:v>0.93589834121545568</c:v>
                </c:pt>
                <c:pt idx="135">
                  <c:v>0.93616582758274391</c:v>
                </c:pt>
                <c:pt idx="136">
                  <c:v>0.93641594150637508</c:v>
                </c:pt>
                <c:pt idx="137">
                  <c:v>0.93664980225405725</c:v>
                </c:pt>
                <c:pt idx="138">
                  <c:v>0.93686845812074271</c:v>
                </c:pt>
                <c:pt idx="139">
                  <c:v>0.93707289078476763</c:v>
                </c:pt>
                <c:pt idx="140">
                  <c:v>0.93726401941503823</c:v>
                </c:pt>
                <c:pt idx="141">
                  <c:v>0.93744270454108791</c:v>
                </c:pt>
                <c:pt idx="142">
                  <c:v>0.93760975169759964</c:v>
                </c:pt>
                <c:pt idx="143">
                  <c:v>0.93776591485471006</c:v>
                </c:pt>
                <c:pt idx="144">
                  <c:v>0.93791189964509192</c:v>
                </c:pt>
                <c:pt idx="145">
                  <c:v>0.93804836639846334</c:v>
                </c:pt>
                <c:pt idx="146">
                  <c:v>0.93817593299380198</c:v>
                </c:pt>
                <c:pt idx="147">
                  <c:v>0.93829517753915581</c:v>
                </c:pt>
                <c:pt idx="148">
                  <c:v>0.93840664088854819</c:v>
                </c:pt>
                <c:pt idx="149">
                  <c:v>0.93851082900507343</c:v>
                </c:pt>
                <c:pt idx="150">
                  <c:v>0.93860821517887782</c:v>
                </c:pt>
                <c:pt idx="151">
                  <c:v>0.93869924210832434</c:v>
                </c:pt>
                <c:pt idx="152">
                  <c:v>0.93878432385224342</c:v>
                </c:pt>
                <c:pt idx="153">
                  <c:v>0.9388638476607869</c:v>
                </c:pt>
                <c:pt idx="154">
                  <c:v>0.93893817569202664</c:v>
                </c:pt>
                <c:pt idx="155">
                  <c:v>0.93900764662106972</c:v>
                </c:pt>
                <c:pt idx="156">
                  <c:v>0.93907257714811043</c:v>
                </c:pt>
                <c:pt idx="157">
                  <c:v>0.93913326341149317</c:v>
                </c:pt>
                <c:pt idx="158">
                  <c:v>0.93918998231153339</c:v>
                </c:pt>
                <c:pt idx="159">
                  <c:v>0.93924299275052481</c:v>
                </c:pt>
                <c:pt idx="160">
                  <c:v>0.93929253679405855</c:v>
                </c:pt>
                <c:pt idx="161">
                  <c:v>0.93933884075848995</c:v>
                </c:pt>
                <c:pt idx="162">
                  <c:v>0.93938211622911094</c:v>
                </c:pt>
                <c:pt idx="163">
                  <c:v>0.93942256101332411</c:v>
                </c:pt>
                <c:pt idx="164">
                  <c:v>0.93946036003286226</c:v>
                </c:pt>
                <c:pt idx="165">
                  <c:v>0.93949568615885892</c:v>
                </c:pt>
                <c:pt idx="166">
                  <c:v>0.93952870099335206</c:v>
                </c:pt>
                <c:pt idx="167">
                  <c:v>0.93955955560058502</c:v>
                </c:pt>
                <c:pt idx="168">
                  <c:v>0.93958839119127002</c:v>
                </c:pt>
                <c:pt idx="169">
                  <c:v>0.93961533976278577</c:v>
                </c:pt>
                <c:pt idx="170">
                  <c:v>0.93964052469810078</c:v>
                </c:pt>
                <c:pt idx="171">
                  <c:v>0.93966406132604186</c:v>
                </c:pt>
                <c:pt idx="172">
                  <c:v>0.93968605744536815</c:v>
                </c:pt>
                <c:pt idx="173">
                  <c:v>0.9397066138149569</c:v>
                </c:pt>
                <c:pt idx="174">
                  <c:v>0.93972582461226639</c:v>
                </c:pt>
                <c:pt idx="175">
                  <c:v>0.93974377786210406</c:v>
                </c:pt>
                <c:pt idx="176">
                  <c:v>0.93976055583760343</c:v>
                </c:pt>
                <c:pt idx="177">
                  <c:v>0.93977623543519284</c:v>
                </c:pt>
                <c:pt idx="178">
                  <c:v>0.93979088852522707</c:v>
                </c:pt>
                <c:pt idx="179">
                  <c:v>0.93980458227984764</c:v>
                </c:pt>
                <c:pt idx="180">
                  <c:v>0.93981737947953936</c:v>
                </c:pt>
                <c:pt idx="181">
                  <c:v>0.93982933879975539</c:v>
                </c:pt>
                <c:pt idx="182">
                  <c:v>0.93984051507889954</c:v>
                </c:pt>
                <c:pt idx="183">
                  <c:v>0.93985095956886855</c:v>
                </c:pt>
                <c:pt idx="184">
                  <c:v>0.93986072016928346</c:v>
                </c:pt>
                <c:pt idx="185">
                  <c:v>0.93986984164646548</c:v>
                </c:pt>
                <c:pt idx="186">
                  <c:v>0.93987836583814499</c:v>
                </c:pt>
                <c:pt idx="187">
                  <c:v>0.93988633184482739</c:v>
                </c:pt>
                <c:pt idx="188">
                  <c:v>0.93989377620868331</c:v>
                </c:pt>
                <c:pt idx="189">
                  <c:v>0.93990073308077104</c:v>
                </c:pt>
                <c:pt idx="190">
                  <c:v>0.93990723437735091</c:v>
                </c:pt>
                <c:pt idx="191">
                  <c:v>0.93991330992599864</c:v>
                </c:pt>
                <c:pt idx="192">
                  <c:v>0.9399189876021824</c:v>
                </c:pt>
                <c:pt idx="193">
                  <c:v>0.93992429345692341</c:v>
                </c:pt>
                <c:pt idx="194">
                  <c:v>0.93992925183612042</c:v>
                </c:pt>
                <c:pt idx="195">
                  <c:v>0.93993388549208079</c:v>
                </c:pt>
                <c:pt idx="196">
                  <c:v>0.93993821568776559</c:v>
                </c:pt>
                <c:pt idx="197">
                  <c:v>0.93994226229422417</c:v>
                </c:pt>
                <c:pt idx="198">
                  <c:v>0.93994604388166147</c:v>
                </c:pt>
                <c:pt idx="199">
                  <c:v>0.93994957780455335</c:v>
                </c:pt>
                <c:pt idx="200">
                  <c:v>0.93995288028119861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4-42DC-8C24-4CFC20A548E2}"/>
            </c:ext>
          </c:extLst>
        </c:ser>
        <c:ser>
          <c:idx val="1"/>
          <c:order val="1"/>
          <c:tx>
            <c:v>y2(t)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'5.9 a'!$A$9:$A$209</c:f>
              <c:numCache>
                <c:formatCode>0.000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 a'!$C$9:$C$209</c:f>
              <c:numCache>
                <c:formatCode>0.000</c:formatCode>
                <c:ptCount val="201"/>
                <c:pt idx="0">
                  <c:v>0</c:v>
                </c:pt>
                <c:pt idx="1">
                  <c:v>2.7276455585106385E-4</c:v>
                </c:pt>
                <c:pt idx="2">
                  <c:v>5.6278884036023847E-4</c:v>
                </c:pt>
                <c:pt idx="3">
                  <c:v>8.7112420192915984E-4</c:v>
                </c:pt>
                <c:pt idx="4">
                  <c:v>1.1988807218501628E-3</c:v>
                </c:pt>
                <c:pt idx="5">
                  <c:v>1.5472298062023792E-3</c:v>
                </c:pt>
                <c:pt idx="6">
                  <c:v>1.9174068002431881E-3</c:v>
                </c:pt>
                <c:pt idx="7">
                  <c:v>2.3107136111148261E-3</c:v>
                </c:pt>
                <c:pt idx="8">
                  <c:v>2.7285213224148672E-3</c:v>
                </c:pt>
                <c:pt idx="9">
                  <c:v>3.1722727817094748E-3</c:v>
                </c:pt>
                <c:pt idx="10">
                  <c:v>3.6434851393999344E-3</c:v>
                </c:pt>
                <c:pt idx="11">
                  <c:v>4.1437523144902989E-3</c:v>
                </c:pt>
                <c:pt idx="12">
                  <c:v>4.6747473597563765E-3</c:v>
                </c:pt>
                <c:pt idx="13">
                  <c:v>5.2382246955993191E-3</c:v>
                </c:pt>
                <c:pt idx="14">
                  <c:v>5.8360221785034227E-3</c:v>
                </c:pt>
                <c:pt idx="15">
                  <c:v>6.470062966538727E-3</c:v>
                </c:pt>
                <c:pt idx="16">
                  <c:v>7.1423571407954883E-3</c:v>
                </c:pt>
                <c:pt idx="17">
                  <c:v>7.8550030380615081E-3</c:v>
                </c:pt>
                <c:pt idx="18">
                  <c:v>8.6101882465187841E-3</c:v>
                </c:pt>
                <c:pt idx="19">
                  <c:v>9.4101902128204094E-3</c:v>
                </c:pt>
                <c:pt idx="20">
                  <c:v>1.0257376405703934E-2</c:v>
                </c:pt>
                <c:pt idx="21">
                  <c:v>1.1154203978410143E-2</c:v>
                </c:pt>
                <c:pt idx="22">
                  <c:v>1.210321886972866E-2</c:v>
                </c:pt>
                <c:pt idx="23">
                  <c:v>1.310705428162098E-2</c:v>
                </c:pt>
                <c:pt idx="24">
                  <c:v>1.4168428470229019E-2</c:v>
                </c:pt>
                <c:pt idx="25">
                  <c:v>1.5290141786827199E-2</c:v>
                </c:pt>
                <c:pt idx="26">
                  <c:v>1.6475072906092632E-2</c:v>
                </c:pt>
                <c:pt idx="27">
                  <c:v>1.7726174181131697E-2</c:v>
                </c:pt>
                <c:pt idx="28">
                  <c:v>1.904646606819441E-2</c:v>
                </c:pt>
                <c:pt idx="29">
                  <c:v>2.0439030569107789E-2</c:v>
                </c:pt>
                <c:pt idx="30">
                  <c:v>2.1907003646331195E-2</c:v>
                </c:pt>
                <c:pt idx="31">
                  <c:v>2.3453566574324236E-2</c:v>
                </c:pt>
                <c:pt idx="32">
                  <c:v>2.508193620173416E-2</c:v>
                </c:pt>
                <c:pt idx="33">
                  <c:v>2.6795354111825116E-2</c:v>
                </c:pt>
                <c:pt idx="34">
                  <c:v>2.8597074683602661E-2</c:v>
                </c:pt>
                <c:pt idx="35">
                  <c:v>3.0490352073183857E-2</c:v>
                </c:pt>
                <c:pt idx="36">
                  <c:v>3.2478426153999818E-2</c:v>
                </c:pt>
                <c:pt idx="37">
                  <c:v>3.4564507475179619E-2</c:v>
                </c:pt>
                <c:pt idx="38">
                  <c:v>3.675176131964341E-2</c:v>
                </c:pt>
                <c:pt idx="39">
                  <c:v>3.9043290966619723E-2</c:v>
                </c:pt>
                <c:pt idx="40">
                  <c:v>4.1442120286989147E-2</c:v>
                </c:pt>
                <c:pt idx="41">
                  <c:v>4.3951175823439222E-2</c:v>
                </c:pt>
                <c:pt idx="42">
                  <c:v>4.6573268530204777E-2</c:v>
                </c:pt>
                <c:pt idx="43">
                  <c:v>4.9311075368406412E-2</c:v>
                </c:pt>
                <c:pt idx="44">
                  <c:v>5.2167120971885347E-2</c:v>
                </c:pt>
                <c:pt idx="45">
                  <c:v>5.5143759614147858E-2</c:v>
                </c:pt>
                <c:pt idx="46">
                  <c:v>5.8243157718779671E-2</c:v>
                </c:pt>
                <c:pt idx="47">
                  <c:v>6.1467277162731315E-2</c:v>
                </c:pt>
                <c:pt idx="48">
                  <c:v>6.4817859623571381E-2</c:v>
                </c:pt>
                <c:pt idx="49">
                  <c:v>6.829641221765928E-2</c:v>
                </c:pt>
                <c:pt idx="50">
                  <c:v>7.1904194665884241E-2</c:v>
                </c:pt>
                <c:pt idx="51">
                  <c:v>7.5642208207047423E-2</c:v>
                </c:pt>
                <c:pt idx="52">
                  <c:v>7.9511186456256502E-2</c:v>
                </c:pt>
                <c:pt idx="53">
                  <c:v>8.3511588377232493E-2</c:v>
                </c:pt>
                <c:pt idx="54">
                  <c:v>8.7643593503816869E-2</c:v>
                </c:pt>
                <c:pt idx="55">
                  <c:v>9.190709950806375E-2</c:v>
                </c:pt>
                <c:pt idx="56">
                  <c:v>9.630172217115926E-2</c:v>
                </c:pt>
                <c:pt idx="57">
                  <c:v>0.10082679777023784</c:v>
                </c:pt>
                <c:pt idx="58">
                  <c:v>0.10548138785028115</c:v>
                </c:pt>
                <c:pt idx="59">
                  <c:v>0.11026428630704892</c:v>
                </c:pt>
                <c:pt idx="60">
                  <c:v>0.11517402866574883</c:v>
                </c:pt>
                <c:pt idx="61">
                  <c:v>0.12020890340216155</c:v>
                </c:pt>
                <c:pt idx="62">
                  <c:v>0.12536696511932074</c:v>
                </c:pt>
                <c:pt idx="63">
                  <c:v>0.13064604936453175</c:v>
                </c:pt>
                <c:pt idx="64">
                  <c:v>0.1360437888491981</c:v>
                </c:pt>
                <c:pt idx="65">
                  <c:v>0.14155763081805667</c:v>
                </c:pt>
                <c:pt idx="66">
                  <c:v>0.14718485530518377</c:v>
                </c:pt>
                <c:pt idx="67">
                  <c:v>0.1529225940114512</c:v>
                </c:pt>
                <c:pt idx="68">
                  <c:v>0.15876784954167247</c:v>
                </c:pt>
                <c:pt idx="69">
                  <c:v>0.16471751474896529</c:v>
                </c:pt>
                <c:pt idx="70">
                  <c:v>0.17076839194818111</c:v>
                </c:pt>
                <c:pt idx="71">
                  <c:v>0.17691721177880693</c:v>
                </c:pt>
                <c:pt idx="72">
                  <c:v>0.18316065151963995</c:v>
                </c:pt>
                <c:pt idx="73">
                  <c:v>0.1894953526818588</c:v>
                </c:pt>
                <c:pt idx="74">
                  <c:v>0.19591793773295557</c:v>
                </c:pt>
                <c:pt idx="75">
                  <c:v>0.20242502583049624</c:v>
                </c:pt>
                <c:pt idx="76">
                  <c:v>0.20901324747105868</c:v>
                </c:pt>
                <c:pt idx="77">
                  <c:v>0.21567925798527693</c:v>
                </c:pt>
                <c:pt idx="78">
                  <c:v>0.22241974983412566</c:v>
                </c:pt>
                <c:pt idx="79">
                  <c:v>0.22923146368396038</c:v>
                </c:pt>
                <c:pt idx="80">
                  <c:v>0.23611119825805299</c:v>
                </c:pt>
                <c:pt idx="81">
                  <c:v>0.24305581898021231</c:v>
                </c:pt>
                <c:pt idx="82">
                  <c:v>0.25006226544144</c:v>
                </c:pt>
                <c:pt idx="83">
                  <c:v>0.25712755773342066</c:v>
                </c:pt>
                <c:pt idx="84">
                  <c:v>0.26424880170303716</c:v>
                </c:pt>
                <c:pt idx="85">
                  <c:v>0.27142319319015273</c:v>
                </c:pt>
                <c:pt idx="86">
                  <c:v>0.27864802131677763</c:v>
                </c:pt>
                <c:pt idx="87">
                  <c:v>0.28592067089963424</c:v>
                </c:pt>
                <c:pt idx="88">
                  <c:v>0.29323862406027196</c:v>
                </c:pt>
                <c:pt idx="89">
                  <c:v>0.30059946110748981</c:v>
                </c:pt>
                <c:pt idx="90">
                  <c:v>0.30800086076612837</c:v>
                </c:pt>
                <c:pt idx="91">
                  <c:v>0.31544059982451778</c:v>
                </c:pt>
                <c:pt idx="92">
                  <c:v>0.32291655227022525</c:v>
                </c:pt>
                <c:pt idx="93">
                  <c:v>0.33042668798042651</c:v>
                </c:pt>
                <c:pt idx="94">
                  <c:v>0.33796907102940837</c:v>
                </c:pt>
                <c:pt idx="95">
                  <c:v>0.34554185767154877</c:v>
                </c:pt>
                <c:pt idx="96">
                  <c:v>0.35314329405374956</c:v>
                </c:pt>
                <c:pt idx="97">
                  <c:v>0.36077171370683342</c:v>
                </c:pt>
                <c:pt idx="98">
                  <c:v>0.36842553486095153</c:v>
                </c:pt>
                <c:pt idx="99">
                  <c:v>0.37610325762566382</c:v>
                </c:pt>
                <c:pt idx="100">
                  <c:v>0.38380346107110747</c:v>
                </c:pt>
                <c:pt idx="101">
                  <c:v>0.39152480024260966</c:v>
                </c:pt>
                <c:pt idx="102">
                  <c:v>0.39926600313726218</c:v>
                </c:pt>
                <c:pt idx="103">
                  <c:v>0.40702586766737986</c:v>
                </c:pt>
                <c:pt idx="104">
                  <c:v>0.41480325863242751</c:v>
                </c:pt>
                <c:pt idx="105">
                  <c:v>0.42259710471792666</c:v>
                </c:pt>
                <c:pt idx="106">
                  <c:v>0.43040639553704507</c:v>
                </c:pt>
                <c:pt idx="107">
                  <c:v>0.43823017872802211</c:v>
                </c:pt>
                <c:pt idx="108">
                  <c:v>0.44606755711828538</c:v>
                </c:pt>
                <c:pt idx="109">
                  <c:v>0.45391768596405691</c:v>
                </c:pt>
                <c:pt idx="110">
                  <c:v>0.46177977027241468</c:v>
                </c:pt>
                <c:pt idx="111">
                  <c:v>0.46965306221115727</c:v>
                </c:pt>
                <c:pt idx="112">
                  <c:v>0.47753685861039691</c:v>
                </c:pt>
                <c:pt idx="113">
                  <c:v>0.48543049855856518</c:v>
                </c:pt>
                <c:pt idx="114">
                  <c:v>0.49333336109444076</c:v>
                </c:pt>
                <c:pt idx="115">
                  <c:v>0.50124486299588333</c:v>
                </c:pt>
                <c:pt idx="116">
                  <c:v>0.50916445666517107</c:v>
                </c:pt>
                <c:pt idx="117">
                  <c:v>0.51709162811016995</c:v>
                </c:pt>
                <c:pt idx="118">
                  <c:v>0.52502589502000907</c:v>
                </c:pt>
                <c:pt idx="119">
                  <c:v>0.53296680493347348</c:v>
                </c:pt>
                <c:pt idx="120">
                  <c:v>0.54091393349795314</c:v>
                </c:pt>
                <c:pt idx="121">
                  <c:v>0.54886688281648643</c:v>
                </c:pt>
                <c:pt idx="122">
                  <c:v>0.55682527988020425</c:v>
                </c:pt>
                <c:pt idx="123">
                  <c:v>0.56478877508330416</c:v>
                </c:pt>
                <c:pt idx="124">
                  <c:v>0.5727570408175584</c:v>
                </c:pt>
                <c:pt idx="125">
                  <c:v>0.58072977014327598</c:v>
                </c:pt>
                <c:pt idx="126">
                  <c:v>0.58870667553359113</c:v>
                </c:pt>
                <c:pt idx="127">
                  <c:v>0.59668748768893587</c:v>
                </c:pt>
                <c:pt idx="128">
                  <c:v>0.60467195441856225</c:v>
                </c:pt>
                <c:pt idx="129">
                  <c:v>0.61265983958601267</c:v>
                </c:pt>
                <c:pt idx="130">
                  <c:v>0.62065092211548611</c:v>
                </c:pt>
                <c:pt idx="131">
                  <c:v>0.62864499505611071</c:v>
                </c:pt>
                <c:pt idx="132">
                  <c:v>0.63664186470121054</c:v>
                </c:pt>
                <c:pt idx="133">
                  <c:v>0.64464134975973708</c:v>
                </c:pt>
                <c:pt idx="134">
                  <c:v>0.65264328057712928</c:v>
                </c:pt>
                <c:pt idx="135">
                  <c:v>0.66064749840296177</c:v>
                </c:pt>
                <c:pt idx="136">
                  <c:v>0.66865385470284133</c:v>
                </c:pt>
                <c:pt idx="137">
                  <c:v>0.6766622105121135</c:v>
                </c:pt>
                <c:pt idx="138">
                  <c:v>0.6846724358290458</c:v>
                </c:pt>
                <c:pt idx="139">
                  <c:v>0.69268440904525552</c:v>
                </c:pt>
                <c:pt idx="140">
                  <c:v>0.70069801641125407</c:v>
                </c:pt>
                <c:pt idx="141">
                  <c:v>0.70871315153508041</c:v>
                </c:pt>
                <c:pt idx="142">
                  <c:v>0.71672971491209492</c:v>
                </c:pt>
                <c:pt idx="143">
                  <c:v>0.72474761348410266</c:v>
                </c:pt>
                <c:pt idx="144">
                  <c:v>0.73276676022606824</c:v>
                </c:pt>
                <c:pt idx="145">
                  <c:v>0.74078707375877506</c:v>
                </c:pt>
                <c:pt idx="146">
                  <c:v>0.74880847798587202</c:v>
                </c:pt>
                <c:pt idx="147">
                  <c:v>0.75683090175383183</c:v>
                </c:pt>
                <c:pt idx="148">
                  <c:v>0.76485427853342891</c:v>
                </c:pt>
                <c:pt idx="149">
                  <c:v>0.77287854612142226</c:v>
                </c:pt>
                <c:pt idx="150">
                  <c:v>0.78090364636120169</c:v>
                </c:pt>
                <c:pt idx="151">
                  <c:v>0.78892952488122781</c:v>
                </c:pt>
                <c:pt idx="152">
                  <c:v>0.79695613085016448</c:v>
                </c:pt>
                <c:pt idx="153">
                  <c:v>0.80498341674766416</c:v>
                </c:pt>
                <c:pt idx="154">
                  <c:v>0.81301133814983095</c:v>
                </c:pt>
                <c:pt idx="155">
                  <c:v>0.82103985352844111</c:v>
                </c:pt>
                <c:pt idx="156">
                  <c:v>0.82906892406305743</c:v>
                </c:pt>
                <c:pt idx="157">
                  <c:v>0.83709851346522568</c:v>
                </c:pt>
                <c:pt idx="158">
                  <c:v>0.84512858781398925</c:v>
                </c:pt>
                <c:pt idx="159">
                  <c:v>0.85315911540200629</c:v>
                </c:pt>
                <c:pt idx="160">
                  <c:v>0.86119006659159547</c:v>
                </c:pt>
                <c:pt idx="161">
                  <c:v>0.86922141368008055</c:v>
                </c:pt>
                <c:pt idx="162">
                  <c:v>0.87725313077383948</c:v>
                </c:pt>
                <c:pt idx="163">
                  <c:v>0.8852851936705034</c:v>
                </c:pt>
                <c:pt idx="164">
                  <c:v>0.89331757974878434</c:v>
                </c:pt>
                <c:pt idx="165">
                  <c:v>0.90135026786544259</c:v>
                </c:pt>
                <c:pt idx="166">
                  <c:v>0.90938323825893574</c:v>
                </c:pt>
                <c:pt idx="167">
                  <c:v>0.91741647245932079</c:v>
                </c:pt>
                <c:pt idx="168">
                  <c:v>0.92544995320400614</c:v>
                </c:pt>
                <c:pt idx="169">
                  <c:v>0.933483664358978</c:v>
                </c:pt>
                <c:pt idx="170">
                  <c:v>0.94151759084514675</c:v>
                </c:pt>
                <c:pt idx="171">
                  <c:v>0.94955171856948439</c:v>
                </c:pt>
                <c:pt idx="172">
                  <c:v>0.95758603436064227</c:v>
                </c:pt>
                <c:pt idx="173">
                  <c:v>0.96562052590876013</c:v>
                </c:pt>
                <c:pt idx="174">
                  <c:v>0.97365518170919496</c:v>
                </c:pt>
                <c:pt idx="175">
                  <c:v>0.98168999100991594</c:v>
                </c:pt>
                <c:pt idx="176">
                  <c:v>0.98972494376232745</c:v>
                </c:pt>
                <c:pt idx="177">
                  <c:v>0.99776003057529838</c:v>
                </c:pt>
                <c:pt idx="178">
                  <c:v>1.005795242672189</c:v>
                </c:pt>
                <c:pt idx="179">
                  <c:v>1.0138305718506817</c:v>
                </c:pt>
                <c:pt idx="180">
                  <c:v>1.0218660104452317</c:v>
                </c:pt>
                <c:pt idx="181">
                  <c:v>1.0299015512919696</c:v>
                </c:pt>
                <c:pt idx="182">
                  <c:v>1.0379371876958943</c:v>
                </c:pt>
                <c:pt idx="183">
                  <c:v>1.045972913400208</c:v>
                </c:pt>
                <c:pt idx="184">
                  <c:v>1.0540087225576553</c:v>
                </c:pt>
                <c:pt idx="185">
                  <c:v>1.0620446097037326</c:v>
                </c:pt>
                <c:pt idx="186">
                  <c:v>1.0700805697316487</c:v>
                </c:pt>
                <c:pt idx="187">
                  <c:v>1.078116597868922</c:v>
                </c:pt>
                <c:pt idx="188">
                  <c:v>1.0861526896555063</c:v>
                </c:pt>
                <c:pt idx="189">
                  <c:v>1.0941888409233469</c:v>
                </c:pt>
                <c:pt idx="190">
                  <c:v>1.1022250477772733</c:v>
                </c:pt>
                <c:pt idx="191">
                  <c:v>1.1102613065771405</c:v>
                </c:pt>
                <c:pt idx="192">
                  <c:v>1.1182976139211391</c:v>
                </c:pt>
                <c:pt idx="193">
                  <c:v>1.1263339666301959</c:v>
                </c:pt>
                <c:pt idx="194">
                  <c:v>1.1343703617333947</c:v>
                </c:pt>
                <c:pt idx="195">
                  <c:v>1.1424067964543521</c:v>
                </c:pt>
                <c:pt idx="196">
                  <c:v>1.1504432681984824</c:v>
                </c:pt>
                <c:pt idx="197">
                  <c:v>1.158479774541098</c:v>
                </c:pt>
                <c:pt idx="198">
                  <c:v>1.1665163132162861</c:v>
                </c:pt>
                <c:pt idx="199">
                  <c:v>1.174552882106515</c:v>
                </c:pt>
                <c:pt idx="200">
                  <c:v>1.1825894792329192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44-42DC-8C24-4CFC20A548E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985190992"/>
        <c:axId val="985191352"/>
      </c:scatterChart>
      <c:valAx>
        <c:axId val="9851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91352"/>
        <c:crosses val="autoZero"/>
        <c:crossBetween val="midCat"/>
      </c:valAx>
      <c:valAx>
        <c:axId val="98519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9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Concentration of Cell Mass and Penicillin as a function of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'5.9 b'!$A$9:$A$209</c:f>
              <c:numCache>
                <c:formatCode>0.000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 b'!$B$9:$B$209</c:f>
              <c:numCache>
                <c:formatCode>0.000</c:formatCode>
                <c:ptCount val="201"/>
                <c:pt idx="0">
                  <c:v>0.03</c:v>
                </c:pt>
                <c:pt idx="1">
                  <c:v>3.1960484474220743E-2</c:v>
                </c:pt>
                <c:pt idx="2">
                  <c:v>3.4044301251944555E-2</c:v>
                </c:pt>
                <c:pt idx="3">
                  <c:v>3.625856703645837E-2</c:v>
                </c:pt>
                <c:pt idx="4">
                  <c:v>3.8610723352005917E-2</c:v>
                </c:pt>
                <c:pt idx="5">
                  <c:v>4.1108539613097711E-2</c:v>
                </c:pt>
                <c:pt idx="6">
                  <c:v>4.3760114342380488E-2</c:v>
                </c:pt>
                <c:pt idx="7">
                  <c:v>4.6573874232801557E-2</c:v>
                </c:pt>
                <c:pt idx="8">
                  <c:v>4.9558570723074589E-2</c:v>
                </c:pt>
                <c:pt idx="9">
                  <c:v>5.272327372894766E-2</c:v>
                </c:pt>
                <c:pt idx="10">
                  <c:v>5.6077362147128454E-2</c:v>
                </c:pt>
                <c:pt idx="11">
                  <c:v>5.9630510724712413E-2</c:v>
                </c:pt>
                <c:pt idx="12">
                  <c:v>6.3392672865517613E-2</c:v>
                </c:pt>
                <c:pt idx="13">
                  <c:v>6.7374058926950559E-2</c:v>
                </c:pt>
                <c:pt idx="14">
                  <c:v>7.1585109548177761E-2</c:v>
                </c:pt>
                <c:pt idx="15">
                  <c:v>7.6036463543903712E-2</c:v>
                </c:pt>
                <c:pt idx="16">
                  <c:v>8.0738919899572978E-2</c:v>
                </c:pt>
                <c:pt idx="17">
                  <c:v>8.5703393415100512E-2</c:v>
                </c:pt>
                <c:pt idx="18">
                  <c:v>9.094086356720528E-2</c:v>
                </c:pt>
                <c:pt idx="19">
                  <c:v>9.6462316197093792E-2</c:v>
                </c:pt>
                <c:pt idx="20">
                  <c:v>0.10227867768267788</c:v>
                </c:pt>
                <c:pt idx="21">
                  <c:v>0.10840074132476044</c:v>
                </c:pt>
                <c:pt idx="22">
                  <c:v>0.11483908576661706</c:v>
                </c:pt>
                <c:pt idx="23">
                  <c:v>0.12160398537785522</c:v>
                </c:pt>
                <c:pt idx="24">
                  <c:v>0.12870531266770335</c:v>
                </c:pt>
                <c:pt idx="25">
                  <c:v>0.13615243295082743</c:v>
                </c:pt>
                <c:pt idx="26">
                  <c:v>0.14395409167057063</c:v>
                </c:pt>
                <c:pt idx="27">
                  <c:v>0.15211829498949175</c:v>
                </c:pt>
                <c:pt idx="28">
                  <c:v>0.16065218448352789</c:v>
                </c:pt>
                <c:pt idx="29">
                  <c:v>0.16956190702110113</c:v>
                </c:pt>
                <c:pt idx="30">
                  <c:v>0.17885248116773211</c:v>
                </c:pt>
                <c:pt idx="31">
                  <c:v>0.18852766172442731</c:v>
                </c:pt>
                <c:pt idx="32">
                  <c:v>0.19858980427693199</c:v>
                </c:pt>
                <c:pt idx="33">
                  <c:v>0.20903973189400488</c:v>
                </c:pt>
                <c:pt idx="34">
                  <c:v>0.21987660635585216</c:v>
                </c:pt>
                <c:pt idx="35">
                  <c:v>0.23109780650722139</c:v>
                </c:pt>
                <c:pt idx="36">
                  <c:v>0.24269881650098274</c:v>
                </c:pt>
                <c:pt idx="37">
                  <c:v>0.25467312681449739</c:v>
                </c:pt>
                <c:pt idx="38">
                  <c:v>0.26701215097006675</c:v>
                </c:pt>
                <c:pt idx="39">
                  <c:v>0.27970516086055663</c:v>
                </c:pt>
                <c:pt idx="40">
                  <c:v>0.29273924346188412</c:v>
                </c:pt>
                <c:pt idx="41">
                  <c:v>0.30609928149797239</c:v>
                </c:pt>
                <c:pt idx="42">
                  <c:v>0.31976796030690807</c:v>
                </c:pt>
                <c:pt idx="43">
                  <c:v>0.33372580273937946</c:v>
                </c:pt>
                <c:pt idx="44">
                  <c:v>0.34795123340672018</c:v>
                </c:pt>
                <c:pt idx="45">
                  <c:v>0.36242067299580039</c:v>
                </c:pt>
                <c:pt idx="46">
                  <c:v>0.37710866269649762</c:v>
                </c:pt>
                <c:pt idx="47">
                  <c:v>0.39198801806434591</c:v>
                </c:pt>
                <c:pt idx="48">
                  <c:v>0.4070300108902799</c:v>
                </c:pt>
                <c:pt idx="49">
                  <c:v>0.42220457689854296</c:v>
                </c:pt>
                <c:pt idx="50">
                  <c:v>0.43748054637220285</c:v>
                </c:pt>
                <c:pt idx="51">
                  <c:v>0.45282589414318247</c:v>
                </c:pt>
                <c:pt idx="52">
                  <c:v>0.46820800480890185</c:v>
                </c:pt>
                <c:pt idx="53">
                  <c:v>0.48359394857625254</c:v>
                </c:pt>
                <c:pt idx="54">
                  <c:v>0.4989507628068508</c:v>
                </c:pt>
                <c:pt idx="55">
                  <c:v>0.51424573416060471</c:v>
                </c:pt>
                <c:pt idx="56">
                  <c:v>0.52944667621593844</c:v>
                </c:pt>
                <c:pt idx="57">
                  <c:v>0.54452219758543607</c:v>
                </c:pt>
                <c:pt idx="58">
                  <c:v>0.55944195583855849</c:v>
                </c:pt>
                <c:pt idx="59">
                  <c:v>0.57417689297474339</c:v>
                </c:pt>
                <c:pt idx="60">
                  <c:v>0.58869944874071412</c:v>
                </c:pt>
                <c:pt idx="61">
                  <c:v>0.60298374873042904</c:v>
                </c:pt>
                <c:pt idx="62">
                  <c:v>0.61700576491667636</c:v>
                </c:pt>
                <c:pt idx="63">
                  <c:v>0.63074344701013407</c:v>
                </c:pt>
                <c:pt idx="64">
                  <c:v>0.64417682379510488</c:v>
                </c:pt>
                <c:pt idx="65">
                  <c:v>0.65728807432312075</c:v>
                </c:pt>
                <c:pt idx="66">
                  <c:v>0.67006156953123008</c:v>
                </c:pt>
                <c:pt idx="67">
                  <c:v>0.68248388547015426</c:v>
                </c:pt>
                <c:pt idx="68">
                  <c:v>0.69454378986253562</c:v>
                </c:pt>
                <c:pt idx="69">
                  <c:v>0.70623220415222276</c:v>
                </c:pt>
                <c:pt idx="70">
                  <c:v>0.71754214354609636</c:v>
                </c:pt>
                <c:pt idx="71">
                  <c:v>0.72846863778927984</c:v>
                </c:pt>
                <c:pt idx="72">
                  <c:v>0.73900863555591945</c:v>
                </c:pt>
                <c:pt idx="73">
                  <c:v>0.74916089538782449</c:v>
                </c:pt>
                <c:pt idx="74">
                  <c:v>0.75892586608162993</c:v>
                </c:pt>
                <c:pt idx="75">
                  <c:v>0.76830555932317923</c:v>
                </c:pt>
                <c:pt idx="76">
                  <c:v>0.7773034172080151</c:v>
                </c:pt>
                <c:pt idx="77">
                  <c:v>0.78592417708204632</c:v>
                </c:pt>
                <c:pt idx="78">
                  <c:v>0.79417373589919571</c:v>
                </c:pt>
                <c:pt idx="79">
                  <c:v>0.80205901603490781</c:v>
                </c:pt>
                <c:pt idx="80">
                  <c:v>0.80958783422644098</c:v>
                </c:pt>
                <c:pt idx="81">
                  <c:v>0.81676877504211798</c:v>
                </c:pt>
                <c:pt idx="82">
                  <c:v>0.82361107001986622</c:v>
                </c:pt>
                <c:pt idx="83">
                  <c:v>0.83012448336659328</c:v>
                </c:pt>
                <c:pt idx="84">
                  <c:v>0.83631920487884126</c:v>
                </c:pt>
                <c:pt idx="85">
                  <c:v>0.84220575053498603</c:v>
                </c:pt>
                <c:pt idx="86">
                  <c:v>0.84779487102195983</c:v>
                </c:pt>
                <c:pt idx="87">
                  <c:v>0.85309746829598143</c:v>
                </c:pt>
                <c:pt idx="88">
                  <c:v>0.85812452013707385</c:v>
                </c:pt>
                <c:pt idx="89">
                  <c:v>0.86288701254051814</c:v>
                </c:pt>
                <c:pt idx="90">
                  <c:v>0.86739587969357757</c:v>
                </c:pt>
                <c:pt idx="91">
                  <c:v>0.87166195121118117</c:v>
                </c:pt>
                <c:pt idx="92">
                  <c:v>0.87569590624788596</c:v>
                </c:pt>
                <c:pt idx="93">
                  <c:v>0.87950823406331391</c:v>
                </c:pt>
                <c:pt idx="94">
                  <c:v>0.88310920059231335</c:v>
                </c:pt>
                <c:pt idx="95">
                  <c:v>0.88650882055729163</c:v>
                </c:pt>
                <c:pt idx="96">
                  <c:v>0.88971683465656426</c:v>
                </c:pt>
                <c:pt idx="97">
                  <c:v>0.89274269136735185</c:v>
                </c:pt>
                <c:pt idx="98">
                  <c:v>0.89559553291357397</c:v>
                </c:pt>
                <c:pt idx="99">
                  <c:v>0.89828418496535811</c:v>
                </c:pt>
                <c:pt idx="100">
                  <c:v>0.90081714965788406</c:v>
                </c:pt>
                <c:pt idx="101">
                  <c:v>0.90320260154069476</c:v>
                </c:pt>
                <c:pt idx="102">
                  <c:v>0.90544838609395106</c:v>
                </c:pt>
                <c:pt idx="103">
                  <c:v>0.90756202047447787</c:v>
                </c:pt>
                <c:pt idx="104">
                  <c:v>0.90955069618117923</c:v>
                </c:pt>
                <c:pt idx="105">
                  <c:v>0.91142128335594652</c:v>
                </c:pt>
                <c:pt idx="106">
                  <c:v>0.91318033646212704</c:v>
                </c:pt>
                <c:pt idx="107">
                  <c:v>0.91483410110762875</c:v>
                </c:pt>
                <c:pt idx="108">
                  <c:v>0.91638852180357755</c:v>
                </c:pt>
                <c:pt idx="109">
                  <c:v>0.91784925047194055</c:v>
                </c:pt>
                <c:pt idx="110">
                  <c:v>0.91922165553658375</c:v>
                </c:pt>
                <c:pt idx="111">
                  <c:v>0.92051083145177992</c:v>
                </c:pt>
                <c:pt idx="112">
                  <c:v>0.92172160854020613</c:v>
                </c:pt>
                <c:pt idx="113">
                  <c:v>0.92285856302898883</c:v>
                </c:pt>
                <c:pt idx="114">
                  <c:v>0.92392602718739514</c:v>
                </c:pt>
                <c:pt idx="115">
                  <c:v>0.92492809948339805</c:v>
                </c:pt>
                <c:pt idx="116">
                  <c:v>0.92586865468862611</c:v>
                </c:pt>
                <c:pt idx="117">
                  <c:v>0.92675135387221619</c:v>
                </c:pt>
                <c:pt idx="118">
                  <c:v>0.92757965423391908</c:v>
                </c:pt>
                <c:pt idx="119">
                  <c:v>0.92835681873553222</c:v>
                </c:pt>
                <c:pt idx="120">
                  <c:v>0.92908592549744828</c:v>
                </c:pt>
                <c:pt idx="121">
                  <c:v>0.92976987693389468</c:v>
                </c:pt>
                <c:pt idx="122">
                  <c:v>0.93041140860637972</c:v>
                </c:pt>
                <c:pt idx="123">
                  <c:v>0.93101309778003349</c:v>
                </c:pt>
                <c:pt idx="124">
                  <c:v>0.93157737167201571</c:v>
                </c:pt>
                <c:pt idx="125">
                  <c:v>0.93210651538502109</c:v>
                </c:pt>
                <c:pt idx="126">
                  <c:v>0.9326026795222202</c:v>
                </c:pt>
                <c:pt idx="127">
                  <c:v>0.9330678874827788</c:v>
                </c:pt>
                <c:pt idx="128">
                  <c:v>0.93350404243947271</c:v>
                </c:pt>
                <c:pt idx="129">
                  <c:v>0.93391293400189201</c:v>
                </c:pt>
                <c:pt idx="130">
                  <c:v>0.93429624457036697</c:v>
                </c:pt>
                <c:pt idx="131">
                  <c:v>0.93465555538708767</c:v>
                </c:pt>
                <c:pt idx="132">
                  <c:v>0.93499235229195998</c:v>
                </c:pt>
                <c:pt idx="133">
                  <c:v>0.93530803119159045</c:v>
                </c:pt>
                <c:pt idx="134">
                  <c:v>0.9356039032504383</c:v>
                </c:pt>
                <c:pt idx="135">
                  <c:v>0.93588119981364981</c:v>
                </c:pt>
                <c:pt idx="136">
                  <c:v>0.93614107707142247</c:v>
                </c:pt>
                <c:pt idx="137">
                  <c:v>0.93638462047494941</c:v>
                </c:pt>
                <c:pt idx="138">
                  <c:v>0.93661284891409446</c:v>
                </c:pt>
                <c:pt idx="139">
                  <c:v>0.93682671866695777</c:v>
                </c:pt>
                <c:pt idx="140">
                  <c:v>0.937027127131426</c:v>
                </c:pt>
                <c:pt idx="141">
                  <c:v>0.93721491634867393</c:v>
                </c:pt>
                <c:pt idx="142">
                  <c:v>0.93739087632840568</c:v>
                </c:pt>
                <c:pt idx="143">
                  <c:v>0.93755574818540488</c:v>
                </c:pt>
                <c:pt idx="144">
                  <c:v>0.93771022709671037</c:v>
                </c:pt>
                <c:pt idx="145">
                  <c:v>0.93785496508845889</c:v>
                </c:pt>
                <c:pt idx="146">
                  <c:v>0.9379905736611367</c:v>
                </c:pt>
                <c:pt idx="147">
                  <c:v>0.93811762626167572</c:v>
                </c:pt>
                <c:pt idx="148">
                  <c:v>0.93823666061050837</c:v>
                </c:pt>
                <c:pt idx="149">
                  <c:v>0.93834818089137229</c:v>
                </c:pt>
                <c:pt idx="150">
                  <c:v>0.93845265981133019</c:v>
                </c:pt>
                <c:pt idx="151">
                  <c:v>0.93855054053814391</c:v>
                </c:pt>
                <c:pt idx="152">
                  <c:v>0.9386422385218206</c:v>
                </c:pt>
                <c:pt idx="153">
                  <c:v>0.93872814320683151</c:v>
                </c:pt>
                <c:pt idx="154">
                  <c:v>0.93880861964119189</c:v>
                </c:pt>
                <c:pt idx="155">
                  <c:v>0.9388840099882898</c:v>
                </c:pt>
                <c:pt idx="156">
                  <c:v>0.93895463494705345</c:v>
                </c:pt>
                <c:pt idx="157">
                  <c:v>0.93902079508576497</c:v>
                </c:pt>
                <c:pt idx="158">
                  <c:v>0.93908277209455016</c:v>
                </c:pt>
                <c:pt idx="159">
                  <c:v>0.93914082996131021</c:v>
                </c:pt>
                <c:pt idx="160">
                  <c:v>0.9391952160756053</c:v>
                </c:pt>
                <c:pt idx="161">
                  <c:v>0.93924616226475599</c:v>
                </c:pt>
                <c:pt idx="162">
                  <c:v>0.9392938857661941</c:v>
                </c:pt>
                <c:pt idx="163">
                  <c:v>0.93933859013987153</c:v>
                </c:pt>
                <c:pt idx="164">
                  <c:v>0.93938046612432158</c:v>
                </c:pt>
                <c:pt idx="165">
                  <c:v>0.93941969243976586</c:v>
                </c:pt>
                <c:pt idx="166">
                  <c:v>0.93945643654146382</c:v>
                </c:pt>
                <c:pt idx="167">
                  <c:v>0.93949085532632126</c:v>
                </c:pt>
                <c:pt idx="168">
                  <c:v>0.93952309579559801</c:v>
                </c:pt>
                <c:pt idx="169">
                  <c:v>0.93955329567639034</c:v>
                </c:pt>
                <c:pt idx="170">
                  <c:v>0.93958158400440717</c:v>
                </c:pt>
                <c:pt idx="171">
                  <c:v>0.93960808167041032</c:v>
                </c:pt>
                <c:pt idx="172">
                  <c:v>0.93963290193254967</c:v>
                </c:pt>
                <c:pt idx="173">
                  <c:v>0.93965615089669052</c:v>
                </c:pt>
                <c:pt idx="174">
                  <c:v>0.93967792796670635</c:v>
                </c:pt>
                <c:pt idx="175">
                  <c:v>0.93969832626659111</c:v>
                </c:pt>
                <c:pt idx="176">
                  <c:v>0.93971743303613342</c:v>
                </c:pt>
                <c:pt idx="177">
                  <c:v>0.93973533000179132</c:v>
                </c:pt>
                <c:pt idx="178">
                  <c:v>0.9397520937243049</c:v>
                </c:pt>
                <c:pt idx="179">
                  <c:v>0.93976779592449244</c:v>
                </c:pt>
                <c:pt idx="180">
                  <c:v>0.93978250378858663</c:v>
                </c:pt>
                <c:pt idx="181">
                  <c:v>0.93979628025438533</c:v>
                </c:pt>
                <c:pt idx="182">
                  <c:v>0.93980918427941262</c:v>
                </c:pt>
                <c:pt idx="183">
                  <c:v>0.93982127109221258</c:v>
                </c:pt>
                <c:pt idx="184">
                  <c:v>0.93983259242783035</c:v>
                </c:pt>
                <c:pt idx="185">
                  <c:v>0.93984319674846761</c:v>
                </c:pt>
                <c:pt idx="186">
                  <c:v>0.93985312945024213</c:v>
                </c:pt>
                <c:pt idx="187">
                  <c:v>0.93986243305691963</c:v>
                </c:pt>
                <c:pt idx="188">
                  <c:v>0.93987114740143629</c:v>
                </c:pt>
                <c:pt idx="189">
                  <c:v>0.93987930979597611</c:v>
                </c:pt>
                <c:pt idx="190">
                  <c:v>0.93988695519132226</c:v>
                </c:pt>
                <c:pt idx="191">
                  <c:v>0.93989411632615594</c:v>
                </c:pt>
                <c:pt idx="192">
                  <c:v>0.93990082386693363</c:v>
                </c:pt>
                <c:pt idx="193">
                  <c:v>0.93990710653893617</c:v>
                </c:pt>
                <c:pt idx="194">
                  <c:v>0.93991299124904371</c:v>
                </c:pt>
                <c:pt idx="195">
                  <c:v>0.93991850320075832</c:v>
                </c:pt>
                <c:pt idx="196">
                  <c:v>0.93992366600196087</c:v>
                </c:pt>
                <c:pt idx="197">
                  <c:v>0.93992850176586162</c:v>
                </c:pt>
                <c:pt idx="198">
                  <c:v>0.93993303120557159</c:v>
                </c:pt>
                <c:pt idx="199">
                  <c:v>0.93993727372269742</c:v>
                </c:pt>
                <c:pt idx="200">
                  <c:v>0.93994124749033736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D-4FC5-9108-03A7277736B6}"/>
            </c:ext>
          </c:extLst>
        </c:ser>
        <c:ser>
          <c:idx val="1"/>
          <c:order val="1"/>
          <c:tx>
            <c:v>Y2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'5.9 b'!$A$9:$A$209</c:f>
              <c:numCache>
                <c:formatCode>0.000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 b'!$C$9:$C$209</c:f>
              <c:numCache>
                <c:formatCode>0.000</c:formatCode>
                <c:ptCount val="201"/>
                <c:pt idx="0">
                  <c:v>0</c:v>
                </c:pt>
                <c:pt idx="1">
                  <c:v>2.6463227792553192E-4</c:v>
                </c:pt>
                <c:pt idx="2">
                  <c:v>5.465394733310861E-4</c:v>
                </c:pt>
                <c:pt idx="3">
                  <c:v>8.4680582518096268E-4</c:v>
                </c:pt>
                <c:pt idx="4">
                  <c:v>1.1665777999567478E-3</c:v>
                </c:pt>
                <c:pt idx="5">
                  <c:v>1.5070668854666363E-3</c:v>
                </c:pt>
                <c:pt idx="6">
                  <c:v>1.869552403583572E-3</c:v>
                </c:pt>
                <c:pt idx="7">
                  <c:v>2.2553843248379257E-3</c:v>
                </c:pt>
                <c:pt idx="8">
                  <c:v>2.6659860650751119E-3</c:v>
                </c:pt>
                <c:pt idx="9">
                  <c:v>3.1028572414445042E-3</c:v>
                </c:pt>
                <c:pt idx="10">
                  <c:v>3.5675763618176187E-3</c:v>
                </c:pt>
                <c:pt idx="11">
                  <c:v>4.0618034183511429E-3</c:v>
                </c:pt>
                <c:pt idx="12">
                  <c:v>4.5872823523316593E-3</c:v>
                </c:pt>
                <c:pt idx="13">
                  <c:v>5.1458433536901048E-3</c:v>
                </c:pt>
                <c:pt idx="14">
                  <c:v>5.739404954691496E-3</c:v>
                </c:pt>
                <c:pt idx="15">
                  <c:v>6.3699758733371838E-3</c:v>
                </c:pt>
                <c:pt idx="16">
                  <c:v>7.0396565580239335E-3</c:v>
                </c:pt>
                <c:pt idx="17">
                  <c:v>7.7506403810620669E-3</c:v>
                </c:pt>
                <c:pt idx="18">
                  <c:v>8.5052144248551446E-3</c:v>
                </c:pt>
                <c:pt idx="19">
                  <c:v>9.3057598009945904E-3</c:v>
                </c:pt>
                <c:pt idx="20">
                  <c:v>1.0154751439350114E-2</c:v>
                </c:pt>
                <c:pt idx="21">
                  <c:v>1.1054757281584414E-2</c:v>
                </c:pt>
                <c:pt idx="22">
                  <c:v>1.200843681154925E-2</c:v>
                </c:pt>
                <c:pt idx="23">
                  <c:v>1.3018538853906291E-2</c:v>
                </c:pt>
                <c:pt idx="24">
                  <c:v>1.4087898572250172E-2</c:v>
                </c:pt>
                <c:pt idx="25">
                  <c:v>1.5219433599192924E-2</c:v>
                </c:pt>
                <c:pt idx="26">
                  <c:v>1.6416139233502946E-2</c:v>
                </c:pt>
                <c:pt idx="27">
                  <c:v>1.7681082643681088E-2</c:v>
                </c:pt>
                <c:pt idx="28">
                  <c:v>1.9017396023494181E-2</c:v>
                </c:pt>
                <c:pt idx="29">
                  <c:v>2.0428268653146394E-2</c:v>
                </c:pt>
                <c:pt idx="30">
                  <c:v>2.1916937830094171E-2</c:v>
                </c:pt>
                <c:pt idx="31">
                  <c:v>2.3486678646101489E-2</c:v>
                </c:pt>
                <c:pt idx="32">
                  <c:v>2.5140792602033134E-2</c:v>
                </c:pt>
                <c:pt idx="33">
                  <c:v>2.6882595069069454E-2</c:v>
                </c:pt>
                <c:pt idx="34">
                  <c:v>2.8715401624389094E-2</c:v>
                </c:pt>
                <c:pt idx="35">
                  <c:v>3.0642513310705183E-2</c:v>
                </c:pt>
                <c:pt idx="36">
                  <c:v>3.2667200892050635E-2</c:v>
                </c:pt>
                <c:pt idx="37">
                  <c:v>3.4792688202476094E-2</c:v>
                </c:pt>
                <c:pt idx="38">
                  <c:v>3.7022134709325985E-2</c:v>
                </c:pt>
                <c:pt idx="39">
                  <c:v>3.935861743786484E-2</c:v>
                </c:pt>
                <c:pt idx="40">
                  <c:v>4.1805112428513619E-2</c:v>
                </c:pt>
                <c:pt idx="41">
                  <c:v>4.4364475921023827E-2</c:v>
                </c:pt>
                <c:pt idx="42">
                  <c:v>4.7039425480714256E-2</c:v>
                </c:pt>
                <c:pt idx="43">
                  <c:v>4.9832521299550112E-2</c:v>
                </c:pt>
                <c:pt idx="44">
                  <c:v>5.2746147918505702E-2</c:v>
                </c:pt>
                <c:pt idx="45">
                  <c:v>5.5782496626528573E-2</c:v>
                </c:pt>
                <c:pt idx="46">
                  <c:v>5.8943548794829874E-2</c:v>
                </c:pt>
                <c:pt idx="47">
                  <c:v>6.2231060402626527E-2</c:v>
                </c:pt>
                <c:pt idx="48">
                  <c:v>6.5646548001508057E-2</c:v>
                </c:pt>
                <c:pt idx="49">
                  <c:v>6.9191276350169723E-2</c:v>
                </c:pt>
                <c:pt idx="50">
                  <c:v>7.2866247929464528E-2</c:v>
                </c:pt>
                <c:pt idx="51">
                  <c:v>7.6672194519956521E-2</c:v>
                </c:pt>
                <c:pt idx="52">
                  <c:v>8.0609570991037938E-2</c:v>
                </c:pt>
                <c:pt idx="53">
                  <c:v>8.4678551413069764E-2</c:v>
                </c:pt>
                <c:pt idx="54">
                  <c:v>8.8879027562989751E-2</c:v>
                </c:pt>
                <c:pt idx="55">
                  <c:v>9.3210609850633411E-2</c:v>
                </c:pt>
                <c:pt idx="56">
                  <c:v>9.7672630648963324E-2</c:v>
                </c:pt>
                <c:pt idx="57">
                  <c:v>0.10226414996787395</c:v>
                </c:pt>
                <c:pt idx="58">
                  <c:v>0.10698396336957974</c:v>
                </c:pt>
                <c:pt idx="59">
                  <c:v>0.11183061198506508</c:v>
                </c:pt>
                <c:pt idx="60">
                  <c:v>0.11680239445678778</c:v>
                </c:pt>
                <c:pt idx="61">
                  <c:v>0.12189738060370571</c:v>
                </c:pt>
                <c:pt idx="62">
                  <c:v>0.12711342658142763</c:v>
                </c:pt>
                <c:pt idx="63">
                  <c:v>0.13244819129331528</c:v>
                </c:pt>
                <c:pt idx="64">
                  <c:v>0.13789915379786621</c:v>
                </c:pt>
                <c:pt idx="65">
                  <c:v>0.14346363145361773</c:v>
                </c:pt>
                <c:pt idx="66">
                  <c:v>0.14913879854483605</c:v>
                </c:pt>
                <c:pt idx="67">
                  <c:v>0.15492170513889528</c:v>
                </c:pt>
                <c:pt idx="68">
                  <c:v>0.16080929593885535</c:v>
                </c:pt>
                <c:pt idx="69">
                  <c:v>0.16679842891154453</c:v>
                </c:pt>
                <c:pt idx="70">
                  <c:v>0.17288589349160063</c:v>
                </c:pt>
                <c:pt idx="71">
                  <c:v>0.17906842818455093</c:v>
                </c:pt>
                <c:pt idx="72">
                  <c:v>0.18534273741625859</c:v>
                </c:pt>
                <c:pt idx="73">
                  <c:v>0.19170550750111107</c:v>
                </c:pt>
                <c:pt idx="74">
                  <c:v>0.19815342162643343</c:v>
                </c:pt>
                <c:pt idx="75">
                  <c:v>0.20468317377512027</c:v>
                </c:pt>
                <c:pt idx="76">
                  <c:v>0.21129148153184402</c:v>
                </c:pt>
                <c:pt idx="77">
                  <c:v>0.21797509773997664</c:v>
                </c:pt>
                <c:pt idx="78">
                  <c:v>0.22473082099622255</c:v>
                </c:pt>
                <c:pt idx="79">
                  <c:v>0.23155550498768115</c:v>
                </c:pt>
                <c:pt idx="80">
                  <c:v>0.23844606669150695</c:v>
                </c:pt>
                <c:pt idx="81">
                  <c:v>0.24539949347047069</c:v>
                </c:pt>
                <c:pt idx="82">
                  <c:v>0.25241284910857686</c:v>
                </c:pt>
                <c:pt idx="83">
                  <c:v>0.25948327883954969</c:v>
                </c:pt>
                <c:pt idx="84">
                  <c:v>0.26660801342759349</c:v>
                </c:pt>
                <c:pt idx="85">
                  <c:v>0.27378437236453773</c:v>
                </c:pt>
                <c:pt idx="86">
                  <c:v>0.28100976625047486</c:v>
                </c:pt>
                <c:pt idx="87">
                  <c:v>0.28828169842649792</c:v>
                </c:pt>
                <c:pt idx="88">
                  <c:v>0.29559776592834769</c:v>
                </c:pt>
                <c:pt idx="89">
                  <c:v>0.30295565982888678</c:v>
                </c:pt>
                <c:pt idx="90">
                  <c:v>0.31035316503552629</c:v>
                </c:pt>
                <c:pt idx="91">
                  <c:v>0.31778815960621609</c:v>
                </c:pt>
                <c:pt idx="92">
                  <c:v>0.32525861364454162</c:v>
                </c:pt>
                <c:pt idx="93">
                  <c:v>0.33276258783099127</c:v>
                </c:pt>
                <c:pt idx="94">
                  <c:v>0.3402982316437041</c:v>
                </c:pt>
                <c:pt idx="95">
                  <c:v>0.34786378131808532</c:v>
                </c:pt>
                <c:pt idx="96">
                  <c:v>0.35545755759068681</c:v>
                </c:pt>
                <c:pt idx="97">
                  <c:v>0.36307796326876629</c:v>
                </c:pt>
                <c:pt idx="98">
                  <c:v>0.37072348066302996</c:v>
                </c:pt>
                <c:pt idx="99">
                  <c:v>0.37839266891727874</c:v>
                </c:pt>
                <c:pt idx="100">
                  <c:v>0.38608416126505446</c:v>
                </c:pt>
                <c:pt idx="101">
                  <c:v>0.39379666223995308</c:v>
                </c:pt>
                <c:pt idx="102">
                  <c:v>0.40152894486305046</c:v>
                </c:pt>
                <c:pt idx="103">
                  <c:v>0.40927984782789023</c:v>
                </c:pt>
                <c:pt idx="104">
                  <c:v>0.41704827270071321</c:v>
                </c:pt>
                <c:pt idx="105">
                  <c:v>0.42483318115106877</c:v>
                </c:pt>
                <c:pt idx="106">
                  <c:v>0.43263359222563313</c:v>
                </c:pt>
                <c:pt idx="107">
                  <c:v>0.44044857967596346</c:v>
                </c:pt>
                <c:pt idx="108">
                  <c:v>0.44827726934902995</c:v>
                </c:pt>
                <c:pt idx="109">
                  <c:v>0.45611883664767888</c:v>
                </c:pt>
                <c:pt idx="110">
                  <c:v>0.46397250406667845</c:v>
                </c:pt>
                <c:pt idx="111">
                  <c:v>0.47183753880866941</c:v>
                </c:pt>
                <c:pt idx="112">
                  <c:v>0.47971325048317615</c:v>
                </c:pt>
                <c:pt idx="113">
                  <c:v>0.4875989888908126</c:v>
                </c:pt>
                <c:pt idx="114">
                  <c:v>0.49549414189393237</c:v>
                </c:pt>
                <c:pt idx="115">
                  <c:v>0.50339813337420936</c:v>
                </c:pt>
                <c:pt idx="116">
                  <c:v>0.51131042127698323</c:v>
                </c:pt>
                <c:pt idx="117">
                  <c:v>0.51923049574165114</c:v>
                </c:pt>
                <c:pt idx="118">
                  <c:v>0.52715787731692199</c:v>
                </c:pt>
                <c:pt idx="119">
                  <c:v>0.53509211525936617</c:v>
                </c:pt>
                <c:pt idx="120">
                  <c:v>0.54303278591337845</c:v>
                </c:pt>
                <c:pt idx="121">
                  <c:v>0.55097949117041811</c:v>
                </c:pt>
                <c:pt idx="122">
                  <c:v>0.55893185700519199</c:v>
                </c:pt>
                <c:pt idx="123">
                  <c:v>0.56688953208629533</c:v>
                </c:pt>
                <c:pt idx="124">
                  <c:v>0.57485218645871416</c:v>
                </c:pt>
                <c:pt idx="125">
                  <c:v>0.58281951029551848</c:v>
                </c:pt>
                <c:pt idx="126">
                  <c:v>0.59079121271603108</c:v>
                </c:pt>
                <c:pt idx="127">
                  <c:v>0.5987670206677399</c:v>
                </c:pt>
                <c:pt idx="128">
                  <c:v>0.60674667786922265</c:v>
                </c:pt>
                <c:pt idx="129">
                  <c:v>0.61472994381137791</c:v>
                </c:pt>
                <c:pt idx="130">
                  <c:v>0.62271659281429226</c:v>
                </c:pt>
                <c:pt idx="131">
                  <c:v>0.6307064131371245</c:v>
                </c:pt>
                <c:pt idx="132">
                  <c:v>0.63869920613844755</c:v>
                </c:pt>
                <c:pt idx="133">
                  <c:v>0.64669478548455783</c:v>
                </c:pt>
                <c:pt idx="134">
                  <c:v>0.65469297640333723</c:v>
                </c:pt>
                <c:pt idx="135">
                  <c:v>0.66269361498133106</c:v>
                </c:pt>
                <c:pt idx="136">
                  <c:v>0.67069654750178953</c:v>
                </c:pt>
                <c:pt idx="137">
                  <c:v>0.6787016298215065</c:v>
                </c:pt>
                <c:pt idx="138">
                  <c:v>0.68670872678437256</c:v>
                </c:pt>
                <c:pt idx="139">
                  <c:v>0.69471771166965135</c:v>
                </c:pt>
                <c:pt idx="140">
                  <c:v>0.70272846567306979</c:v>
                </c:pt>
                <c:pt idx="141">
                  <c:v>0.71074087741890235</c:v>
                </c:pt>
                <c:pt idx="142">
                  <c:v>0.71875484250131261</c:v>
                </c:pt>
                <c:pt idx="143">
                  <c:v>0.72677026305329828</c:v>
                </c:pt>
                <c:pt idx="144">
                  <c:v>0.73478704734166667</c:v>
                </c:pt>
                <c:pt idx="145">
                  <c:v>0.74280510938654631</c:v>
                </c:pt>
                <c:pt idx="146">
                  <c:v>0.75082436860401691</c:v>
                </c:pt>
                <c:pt idx="147">
                  <c:v>0.75884474947051139</c:v>
                </c:pt>
                <c:pt idx="148">
                  <c:v>0.76686618120771777</c:v>
                </c:pt>
                <c:pt idx="149">
                  <c:v>0.77488859748677297</c:v>
                </c:pt>
                <c:pt idx="150">
                  <c:v>0.7829119361506095</c:v>
                </c:pt>
                <c:pt idx="151">
                  <c:v>0.79093613895337478</c:v>
                </c:pt>
                <c:pt idx="152">
                  <c:v>0.79896115131590584</c:v>
                </c:pt>
                <c:pt idx="153">
                  <c:v>0.8069869220962963</c:v>
                </c:pt>
                <c:pt idx="154">
                  <c:v>0.81501340337464934</c:v>
                </c:pt>
                <c:pt idx="155">
                  <c:v>0.82304055025115919</c:v>
                </c:pt>
                <c:pt idx="156">
                  <c:v>0.83106832065671543</c:v>
                </c:pt>
                <c:pt idx="157">
                  <c:v>0.83909667517526876</c:v>
                </c:pt>
                <c:pt idx="158">
                  <c:v>0.84712557687724277</c:v>
                </c:pt>
                <c:pt idx="159">
                  <c:v>0.85515499116331672</c:v>
                </c:pt>
                <c:pt idx="160">
                  <c:v>0.86318488561794515</c:v>
                </c:pt>
                <c:pt idx="161">
                  <c:v>0.87121522987201649</c:v>
                </c:pt>
                <c:pt idx="162">
                  <c:v>0.8792459954740891</c:v>
                </c:pt>
                <c:pt idx="163">
                  <c:v>0.88727715576967703</c:v>
                </c:pt>
                <c:pt idx="164">
                  <c:v>0.89530868578808742</c:v>
                </c:pt>
                <c:pt idx="165">
                  <c:v>0.90334056213634462</c:v>
                </c:pt>
                <c:pt idx="166">
                  <c:v>0.91137276289976032</c:v>
                </c:pt>
                <c:pt idx="167">
                  <c:v>0.91940526754873908</c:v>
                </c:pt>
                <c:pt idx="168">
                  <c:v>0.92743805685143166</c:v>
                </c:pt>
                <c:pt idx="169">
                  <c:v>0.93547111279187212</c:v>
                </c:pt>
                <c:pt idx="170">
                  <c:v>0.94350441849325817</c:v>
                </c:pt>
                <c:pt idx="171">
                  <c:v>0.95153795814605335</c:v>
                </c:pt>
                <c:pt idx="172">
                  <c:v>0.95957171694061139</c:v>
                </c:pt>
                <c:pt idx="173">
                  <c:v>0.96760568100403899</c:v>
                </c:pt>
                <c:pt idx="174">
                  <c:v>0.9756398373410331</c:v>
                </c:pt>
                <c:pt idx="175">
                  <c:v>0.98367417377844391</c:v>
                </c:pt>
                <c:pt idx="176">
                  <c:v>0.99170867891332981</c:v>
                </c:pt>
                <c:pt idx="177">
                  <c:v>0.99974334206428628</c:v>
                </c:pt>
                <c:pt idx="178">
                  <c:v>1.0077781532258425</c:v>
                </c:pt>
                <c:pt idx="179">
                  <c:v>1.015813103025734</c:v>
                </c:pt>
                <c:pt idx="180">
                  <c:v>1.0238481826848704</c:v>
                </c:pt>
                <c:pt idx="181">
                  <c:v>1.0318833839798294</c:v>
                </c:pt>
                <c:pt idx="182">
                  <c:v>1.039918699207717</c:v>
                </c:pt>
                <c:pt idx="183">
                  <c:v>1.0479541211532466</c:v>
                </c:pt>
                <c:pt idx="184">
                  <c:v>1.0559896430578977</c:v>
                </c:pt>
                <c:pt idx="185">
                  <c:v>1.0640252585910202</c:v>
                </c:pt>
                <c:pt idx="186">
                  <c:v>1.0720609618227659</c:v>
                </c:pt>
                <c:pt idx="187">
                  <c:v>1.0800967471987295</c:v>
                </c:pt>
                <c:pt idx="188">
                  <c:v>1.0881326095161925</c:v>
                </c:pt>
                <c:pt idx="189">
                  <c:v>1.0961685439018674</c:v>
                </c:pt>
                <c:pt idx="190">
                  <c:v>1.1042045457910497</c:v>
                </c:pt>
                <c:pt idx="191">
                  <c:v>1.1122406109080882</c:v>
                </c:pt>
                <c:pt idx="192">
                  <c:v>1.1202767352480894</c:v>
                </c:pt>
                <c:pt idx="193">
                  <c:v>1.1283129150597786</c:v>
                </c:pt>
                <c:pt idx="194">
                  <c:v>1.1363491468294462</c:v>
                </c:pt>
                <c:pt idx="195">
                  <c:v>1.1443854272659082</c:v>
                </c:pt>
                <c:pt idx="196">
                  <c:v>1.1524217532864187</c:v>
                </c:pt>
                <c:pt idx="197">
                  <c:v>1.1604581220034733</c:v>
                </c:pt>
                <c:pt idx="198">
                  <c:v>1.1684945307124479</c:v>
                </c:pt>
                <c:pt idx="199">
                  <c:v>1.1765309768800192</c:v>
                </c:pt>
                <c:pt idx="200">
                  <c:v>1.1845674581333179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CD-4FC5-9108-03A72777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261472"/>
        <c:axId val="699260392"/>
      </c:scatterChart>
      <c:valAx>
        <c:axId val="69926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60392"/>
        <c:crosses val="autoZero"/>
        <c:crossBetween val="midCat"/>
      </c:valAx>
      <c:valAx>
        <c:axId val="6992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6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132165</xdr:colOff>
      <xdr:row>16</xdr:row>
      <xdr:rowOff>786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C43C31-EDC4-4836-ADDE-81D1182C493D}"/>
            </a:ext>
          </a:extLst>
        </xdr:cNvPr>
        <xdr:cNvSpPr txBox="1"/>
      </xdr:nvSpPr>
      <xdr:spPr>
        <a:xfrm>
          <a:off x="4679950" y="368300"/>
          <a:ext cx="4399365" cy="2578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Differential Equations: </a:t>
          </a:r>
        </a:p>
        <a:p>
          <a:r>
            <a:rPr lang="en-US" sz="1100"/>
            <a:t>dy1/dt=b1y1-(b1/b2)*(y1)^2=RHS</a:t>
          </a:r>
        </a:p>
        <a:p>
          <a:r>
            <a:rPr lang="en-US" sz="1100"/>
            <a:t>dy2/dt=b3y1=RHS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(y1_(n+1)-y1_(n))/dt=RHSy1_(n), at n beacuse using FE </a:t>
          </a:r>
        </a:p>
        <a:p>
          <a:r>
            <a:rPr lang="en-US" sz="1100"/>
            <a:t>y1_(n+1)=y1_(n)+dt*RHSy1_(n)</a:t>
          </a:r>
        </a:p>
        <a:p>
          <a:r>
            <a:rPr lang="en-US" sz="1100"/>
            <a:t>Likewise</a:t>
          </a:r>
        </a:p>
        <a:p>
          <a:r>
            <a:rPr lang="en-US" sz="1100"/>
            <a:t>y2_(n+1)=y2_(n)+dt*RHSy2_(n)</a:t>
          </a:r>
        </a:p>
        <a:p>
          <a:endParaRPr lang="en-US" sz="1100"/>
        </a:p>
      </xdr:txBody>
    </xdr:sp>
    <xdr:clientData/>
  </xdr:twoCellAnchor>
  <xdr:twoCellAnchor>
    <xdr:from>
      <xdr:col>4</xdr:col>
      <xdr:colOff>479036</xdr:colOff>
      <xdr:row>17</xdr:row>
      <xdr:rowOff>44450</xdr:rowOff>
    </xdr:from>
    <xdr:to>
      <xdr:col>14</xdr:col>
      <xdr:colOff>534737</xdr:colOff>
      <xdr:row>38</xdr:row>
      <xdr:rowOff>72412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2B9841-D27C-4307-C89D-4F90C560E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169956</xdr:colOff>
      <xdr:row>1</xdr:row>
      <xdr:rowOff>48310</xdr:rowOff>
    </xdr:from>
    <xdr:to>
      <xdr:col>15</xdr:col>
      <xdr:colOff>302121</xdr:colOff>
      <xdr:row>18</xdr:row>
      <xdr:rowOff>153769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E56B2E-A543-45E5-832E-CB7649AEFD06}"/>
            </a:ext>
          </a:extLst>
        </xdr:cNvPr>
        <xdr:cNvSpPr txBox="1"/>
      </xdr:nvSpPr>
      <xdr:spPr>
        <a:xfrm>
          <a:off x="5948456" y="228227"/>
          <a:ext cx="4428998" cy="3164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Differential Equations: </a:t>
          </a:r>
        </a:p>
        <a:p>
          <a:r>
            <a:rPr lang="en-US" sz="1100"/>
            <a:t>dy1/dt=b1y1-(b1/b2)*(y1)^2=RHSy1</a:t>
          </a:r>
        </a:p>
        <a:p>
          <a:r>
            <a:rPr lang="en-US" sz="1100"/>
            <a:t>dy2/dt=b3y1=RHSy2</a:t>
          </a:r>
        </a:p>
        <a:p>
          <a:endParaRPr lang="en-US" sz="1100"/>
        </a:p>
        <a:p>
          <a:r>
            <a:rPr lang="en-US" sz="1100"/>
            <a:t>k11=dt*RHSy1</a:t>
          </a:r>
        </a:p>
        <a:p>
          <a:r>
            <a:rPr lang="en-US" sz="1100"/>
            <a:t>k12=</a:t>
          </a:r>
          <a:r>
            <a:rPr lang="en-US" sz="1100" baseline="0"/>
            <a:t> dt*RHS y2</a:t>
          </a:r>
        </a:p>
        <a:p>
          <a:r>
            <a:rPr lang="en-US" sz="1100" baseline="0"/>
            <a:t>k21=dt*RHSy1(y1+k11,y2+k12)</a:t>
          </a:r>
        </a:p>
        <a:p>
          <a:r>
            <a:rPr lang="en-US" sz="1100" baseline="0"/>
            <a:t>k22=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dt*RHSy2(y1+k11,y2+k12)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Y1_(n+1)=y1_n+0.5*(k11+k21)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Y2_(n+1)=y2_n+0.5(k12+k22)</a:t>
          </a:r>
        </a:p>
        <a:p>
          <a:endParaRPr lang="en-US" sz="1100"/>
        </a:p>
      </xdr:txBody>
    </xdr:sp>
    <xdr:clientData/>
  </xdr:twoCellAnchor>
  <xdr:twoCellAnchor>
    <xdr:from>
      <xdr:col>8</xdr:col>
      <xdr:colOff>269875</xdr:colOff>
      <xdr:row>20</xdr:row>
      <xdr:rowOff>136525</xdr:rowOff>
    </xdr:from>
    <xdr:to>
      <xdr:col>20</xdr:col>
      <xdr:colOff>254000</xdr:colOff>
      <xdr:row>45</xdr:row>
      <xdr:rowOff>97693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A726E7-A7D1-71BE-314D-3EE584175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D606-799F-466F-96E5-F91B15284AD6}">
  <dimension ref="A1:C209"/>
  <sheetViews>
    <sheetView zoomScale="114" workbookViewId="0">
      <selection activeCell="E11" sqref="E11"/>
    </sheetView>
  </sheetViews>
  <sheetFormatPr defaultRowHeight="14.5" x14ac:dyDescent="0.35"/>
  <cols>
    <col min="1" max="1" width="23.36328125" customWidth="1"/>
  </cols>
  <sheetData>
    <row r="1" spans="1:3" x14ac:dyDescent="0.35">
      <c r="A1" t="s">
        <v>0</v>
      </c>
    </row>
    <row r="2" spans="1:3" x14ac:dyDescent="0.35">
      <c r="A2" t="s">
        <v>1</v>
      </c>
      <c r="B2">
        <f>0.005</f>
        <v>5.0000000000000001E-3</v>
      </c>
    </row>
    <row r="3" spans="1:3" x14ac:dyDescent="0.35">
      <c r="A3" t="s">
        <v>2</v>
      </c>
      <c r="B3">
        <v>13.1</v>
      </c>
    </row>
    <row r="4" spans="1:3" x14ac:dyDescent="0.35">
      <c r="A4" t="s">
        <v>3</v>
      </c>
      <c r="B4">
        <v>0.94</v>
      </c>
    </row>
    <row r="5" spans="1:3" x14ac:dyDescent="0.35">
      <c r="A5" t="s">
        <v>4</v>
      </c>
      <c r="B5">
        <v>1.71</v>
      </c>
    </row>
    <row r="6" spans="1:3" x14ac:dyDescent="0.35">
      <c r="A6" t="s">
        <v>8</v>
      </c>
      <c r="B6">
        <f>0.03</f>
        <v>0.03</v>
      </c>
    </row>
    <row r="7" spans="1:3" x14ac:dyDescent="0.35">
      <c r="A7" t="s">
        <v>9</v>
      </c>
      <c r="B7">
        <v>0</v>
      </c>
    </row>
    <row r="8" spans="1:3" x14ac:dyDescent="0.35">
      <c r="A8" t="s">
        <v>5</v>
      </c>
      <c r="B8" t="s">
        <v>6</v>
      </c>
      <c r="C8" t="s">
        <v>7</v>
      </c>
    </row>
    <row r="9" spans="1:3" x14ac:dyDescent="0.35">
      <c r="A9" s="1">
        <v>0</v>
      </c>
      <c r="B9" s="1">
        <f>B6</f>
        <v>0.03</v>
      </c>
      <c r="C9" s="1">
        <f>B7</f>
        <v>0</v>
      </c>
    </row>
    <row r="10" spans="1:3" x14ac:dyDescent="0.35">
      <c r="A10" s="3">
        <f>A9+$B$2</f>
        <v>5.0000000000000001E-3</v>
      </c>
      <c r="B10" s="3">
        <f>B9+$B$2*($B$3*B9-($B$3/$B$4)*(B9)^2)</f>
        <v>3.1902287234042551E-2</v>
      </c>
      <c r="C10" s="3">
        <f>C9+$B$2*($B$5*B10)</f>
        <v>2.7276455585106385E-4</v>
      </c>
    </row>
    <row r="11" spans="1:3" x14ac:dyDescent="0.35">
      <c r="A11" s="1">
        <f t="shared" ref="A11:A74" si="0">A10+$B$2</f>
        <v>0.01</v>
      </c>
      <c r="B11" s="1">
        <f t="shared" ref="B11:B74" si="1">B10+$B$2*($B$3*B10-($B$3/$B$4)*(B10)^2)</f>
        <v>3.3920968948441488E-2</v>
      </c>
      <c r="C11" s="1">
        <f t="shared" ref="C11:C74" si="2">C10+$B$2*($B$5*B11)</f>
        <v>5.6278884036023847E-4</v>
      </c>
    </row>
    <row r="12" spans="1:3" x14ac:dyDescent="0.35">
      <c r="A12" s="1">
        <f t="shared" si="0"/>
        <v>1.4999999999999999E-2</v>
      </c>
      <c r="B12" s="1">
        <f t="shared" si="1"/>
        <v>3.606261538817794E-2</v>
      </c>
      <c r="C12" s="1">
        <f t="shared" si="2"/>
        <v>8.7112420192915984E-4</v>
      </c>
    </row>
    <row r="13" spans="1:3" x14ac:dyDescent="0.35">
      <c r="A13" s="1">
        <f t="shared" si="0"/>
        <v>0.02</v>
      </c>
      <c r="B13" s="1">
        <f t="shared" si="1"/>
        <v>3.8334095897193346E-2</v>
      </c>
      <c r="C13" s="1">
        <f t="shared" si="2"/>
        <v>1.1988807218501628E-3</v>
      </c>
    </row>
    <row r="14" spans="1:3" x14ac:dyDescent="0.35">
      <c r="A14" s="1">
        <f t="shared" si="0"/>
        <v>2.5000000000000001E-2</v>
      </c>
      <c r="B14" s="1">
        <f t="shared" si="1"/>
        <v>4.0742582965171512E-2</v>
      </c>
      <c r="C14" s="1">
        <f t="shared" si="2"/>
        <v>1.5472298062023792E-3</v>
      </c>
    </row>
    <row r="15" spans="1:3" x14ac:dyDescent="0.35">
      <c r="A15" s="1">
        <f t="shared" si="0"/>
        <v>3.0000000000000002E-2</v>
      </c>
      <c r="B15" s="1">
        <f t="shared" si="1"/>
        <v>4.3295554858574142E-2</v>
      </c>
      <c r="C15" s="1">
        <f t="shared" si="2"/>
        <v>1.9174068002431881E-3</v>
      </c>
    </row>
    <row r="16" spans="1:3" x14ac:dyDescent="0.35">
      <c r="A16" s="1">
        <f t="shared" si="0"/>
        <v>3.5000000000000003E-2</v>
      </c>
      <c r="B16" s="1">
        <f t="shared" si="1"/>
        <v>4.600079659317402E-2</v>
      </c>
      <c r="C16" s="1">
        <f t="shared" si="2"/>
        <v>2.3107136111148261E-3</v>
      </c>
    </row>
    <row r="17" spans="1:3" x14ac:dyDescent="0.35">
      <c r="A17" s="1">
        <f t="shared" si="0"/>
        <v>0.04</v>
      </c>
      <c r="B17" s="1">
        <f t="shared" si="1"/>
        <v>4.886639898246093E-2</v>
      </c>
      <c r="C17" s="1">
        <f t="shared" si="2"/>
        <v>2.7285213224148672E-3</v>
      </c>
    </row>
    <row r="18" spans="1:3" x14ac:dyDescent="0.35">
      <c r="A18" s="1">
        <f t="shared" si="0"/>
        <v>4.4999999999999998E-2</v>
      </c>
      <c r="B18" s="1">
        <f t="shared" si="1"/>
        <v>5.1900755473053499E-2</v>
      </c>
      <c r="C18" s="1">
        <f t="shared" si="2"/>
        <v>3.1722727817094748E-3</v>
      </c>
    </row>
    <row r="19" spans="1:3" x14ac:dyDescent="0.35">
      <c r="A19" s="1">
        <f t="shared" si="0"/>
        <v>4.9999999999999996E-2</v>
      </c>
      <c r="B19" s="1">
        <f t="shared" si="1"/>
        <v>5.5112556455024539E-2</v>
      </c>
      <c r="C19" s="1">
        <f t="shared" si="2"/>
        <v>3.6434851393999344E-3</v>
      </c>
    </row>
    <row r="20" spans="1:3" x14ac:dyDescent="0.35">
      <c r="A20" s="1">
        <f t="shared" si="0"/>
        <v>5.4999999999999993E-2</v>
      </c>
      <c r="B20" s="1">
        <f t="shared" si="1"/>
        <v>5.8510780712323282E-2</v>
      </c>
      <c r="C20" s="1">
        <f t="shared" si="2"/>
        <v>4.1437523144902989E-3</v>
      </c>
    </row>
    <row r="21" spans="1:3" x14ac:dyDescent="0.35">
      <c r="A21" s="1">
        <f t="shared" si="0"/>
        <v>5.9999999999999991E-2</v>
      </c>
      <c r="B21" s="1">
        <f t="shared" si="1"/>
        <v>6.2104683656851151E-2</v>
      </c>
      <c r="C21" s="1">
        <f t="shared" si="2"/>
        <v>4.6747473597563765E-3</v>
      </c>
    </row>
    <row r="22" spans="1:3" x14ac:dyDescent="0.35">
      <c r="A22" s="1">
        <f t="shared" si="0"/>
        <v>6.4999999999999988E-2</v>
      </c>
      <c r="B22" s="1">
        <f t="shared" si="1"/>
        <v>6.5903781969934794E-2</v>
      </c>
      <c r="C22" s="1">
        <f t="shared" si="2"/>
        <v>5.2382246955993191E-3</v>
      </c>
    </row>
    <row r="23" spans="1:3" x14ac:dyDescent="0.35">
      <c r="A23" s="1">
        <f t="shared" si="0"/>
        <v>6.9999999999999993E-2</v>
      </c>
      <c r="B23" s="1">
        <f t="shared" si="1"/>
        <v>6.9917834257789871E-2</v>
      </c>
      <c r="C23" s="1">
        <f t="shared" si="2"/>
        <v>5.8360221785034227E-3</v>
      </c>
    </row>
    <row r="24" spans="1:3" x14ac:dyDescent="0.35">
      <c r="A24" s="1">
        <f t="shared" si="0"/>
        <v>7.4999999999999997E-2</v>
      </c>
      <c r="B24" s="1">
        <f t="shared" si="1"/>
        <v>7.4156817314070714E-2</v>
      </c>
      <c r="C24" s="1">
        <f t="shared" si="2"/>
        <v>6.470062966538727E-3</v>
      </c>
    </row>
    <row r="25" spans="1:3" x14ac:dyDescent="0.35">
      <c r="A25" s="1">
        <f t="shared" si="0"/>
        <v>0.08</v>
      </c>
      <c r="B25" s="1">
        <f t="shared" si="1"/>
        <v>7.8630897573890232E-2</v>
      </c>
      <c r="C25" s="1">
        <f t="shared" si="2"/>
        <v>7.1423571407954883E-3</v>
      </c>
    </row>
    <row r="26" spans="1:3" x14ac:dyDescent="0.35">
      <c r="A26" s="1">
        <f t="shared" si="0"/>
        <v>8.5000000000000006E-2</v>
      </c>
      <c r="B26" s="1">
        <f t="shared" si="1"/>
        <v>8.3350397341054983E-2</v>
      </c>
      <c r="C26" s="1">
        <f t="shared" si="2"/>
        <v>7.8550030380615081E-3</v>
      </c>
    </row>
    <row r="27" spans="1:3" x14ac:dyDescent="0.35">
      <c r="A27" s="1">
        <f t="shared" si="0"/>
        <v>9.0000000000000011E-2</v>
      </c>
      <c r="B27" s="1">
        <f t="shared" si="1"/>
        <v>8.8325755375119913E-2</v>
      </c>
      <c r="C27" s="1">
        <f t="shared" si="2"/>
        <v>8.6101882465187841E-3</v>
      </c>
    </row>
    <row r="28" spans="1:3" x14ac:dyDescent="0.35">
      <c r="A28" s="1">
        <f t="shared" si="0"/>
        <v>9.5000000000000015E-2</v>
      </c>
      <c r="B28" s="1">
        <f t="shared" si="1"/>
        <v>9.3567481438786695E-2</v>
      </c>
      <c r="C28" s="1">
        <f t="shared" si="2"/>
        <v>9.4101902128204094E-3</v>
      </c>
    </row>
    <row r="29" spans="1:3" x14ac:dyDescent="0.35">
      <c r="A29" s="1">
        <f t="shared" si="0"/>
        <v>0.10000000000000002</v>
      </c>
      <c r="B29" s="1">
        <f t="shared" si="1"/>
        <v>9.9086104430821637E-2</v>
      </c>
      <c r="C29" s="1">
        <f t="shared" si="2"/>
        <v>1.0257376405703934E-2</v>
      </c>
    </row>
    <row r="30" spans="1:3" x14ac:dyDescent="0.35">
      <c r="A30" s="1">
        <f t="shared" si="0"/>
        <v>0.10500000000000002</v>
      </c>
      <c r="B30" s="1">
        <f t="shared" si="1"/>
        <v>0.10489211376680795</v>
      </c>
      <c r="C30" s="1">
        <f t="shared" si="2"/>
        <v>1.1154203978410143E-2</v>
      </c>
    </row>
    <row r="31" spans="1:3" x14ac:dyDescent="0.35">
      <c r="A31" s="1">
        <f t="shared" si="0"/>
        <v>0.11000000000000003</v>
      </c>
      <c r="B31" s="1">
        <f t="shared" si="1"/>
        <v>0.11099589372146396</v>
      </c>
      <c r="C31" s="1">
        <f t="shared" si="2"/>
        <v>1.210321886972866E-2</v>
      </c>
    </row>
    <row r="32" spans="1:3" x14ac:dyDescent="0.35">
      <c r="A32" s="1">
        <f t="shared" si="0"/>
        <v>0.11500000000000003</v>
      </c>
      <c r="B32" s="1">
        <f t="shared" si="1"/>
        <v>0.11740765051372172</v>
      </c>
      <c r="C32" s="1">
        <f t="shared" si="2"/>
        <v>1.310705428162098E-2</v>
      </c>
    </row>
    <row r="33" spans="1:3" x14ac:dyDescent="0.35">
      <c r="A33" s="1">
        <f t="shared" si="0"/>
        <v>0.12000000000000004</v>
      </c>
      <c r="B33" s="1">
        <f t="shared" si="1"/>
        <v>0.12413733200094021</v>
      </c>
      <c r="C33" s="1">
        <f t="shared" si="2"/>
        <v>1.4168428470229019E-2</v>
      </c>
    </row>
    <row r="34" spans="1:3" x14ac:dyDescent="0.35">
      <c r="A34" s="1">
        <f t="shared" si="0"/>
        <v>0.12500000000000003</v>
      </c>
      <c r="B34" s="1">
        <f t="shared" si="1"/>
        <v>0.13119453995300348</v>
      </c>
      <c r="C34" s="1">
        <f t="shared" si="2"/>
        <v>1.5290141786827199E-2</v>
      </c>
    </row>
    <row r="35" spans="1:3" x14ac:dyDescent="0.35">
      <c r="A35" s="1">
        <f t="shared" si="0"/>
        <v>0.13000000000000003</v>
      </c>
      <c r="B35" s="1">
        <f t="shared" si="1"/>
        <v>0.13858843500180504</v>
      </c>
      <c r="C35" s="1">
        <f t="shared" si="2"/>
        <v>1.6475072906092632E-2</v>
      </c>
    </row>
    <row r="36" spans="1:3" x14ac:dyDescent="0.35">
      <c r="A36" s="1">
        <f t="shared" si="0"/>
        <v>0.13500000000000004</v>
      </c>
      <c r="B36" s="1">
        <f t="shared" si="1"/>
        <v>0.14632763450749312</v>
      </c>
      <c r="C36" s="1">
        <f t="shared" si="2"/>
        <v>1.7726174181131697E-2</v>
      </c>
    </row>
    <row r="37" spans="1:3" x14ac:dyDescent="0.35">
      <c r="A37" s="1">
        <f t="shared" si="0"/>
        <v>0.14000000000000004</v>
      </c>
      <c r="B37" s="1">
        <f t="shared" si="1"/>
        <v>0.1544201037500248</v>
      </c>
      <c r="C37" s="1">
        <f t="shared" si="2"/>
        <v>1.904646606819441E-2</v>
      </c>
    </row>
    <row r="38" spans="1:3" x14ac:dyDescent="0.35">
      <c r="A38" s="1">
        <f t="shared" si="0"/>
        <v>0.14500000000000005</v>
      </c>
      <c r="B38" s="1">
        <f t="shared" si="1"/>
        <v>0.16287304104250033</v>
      </c>
      <c r="C38" s="1">
        <f t="shared" si="2"/>
        <v>2.0439030569107789E-2</v>
      </c>
    </row>
    <row r="39" spans="1:3" x14ac:dyDescent="0.35">
      <c r="A39" s="1">
        <f t="shared" si="0"/>
        <v>0.15000000000000005</v>
      </c>
      <c r="B39" s="1">
        <f t="shared" si="1"/>
        <v>0.17169275756998911</v>
      </c>
      <c r="C39" s="1">
        <f t="shared" si="2"/>
        <v>2.1907003646331195E-2</v>
      </c>
    </row>
    <row r="40" spans="1:3" x14ac:dyDescent="0.35">
      <c r="A40" s="1">
        <f t="shared" si="0"/>
        <v>0.15500000000000005</v>
      </c>
      <c r="B40" s="1">
        <f t="shared" si="1"/>
        <v>0.18088455298164238</v>
      </c>
      <c r="C40" s="1">
        <f t="shared" si="2"/>
        <v>2.3453566574324236E-2</v>
      </c>
    </row>
    <row r="41" spans="1:3" x14ac:dyDescent="0.35">
      <c r="A41" s="1">
        <f t="shared" si="0"/>
        <v>0.16000000000000006</v>
      </c>
      <c r="B41" s="1">
        <f t="shared" si="1"/>
        <v>0.19045258800116055</v>
      </c>
      <c r="C41" s="1">
        <f t="shared" si="2"/>
        <v>2.508193620173416E-2</v>
      </c>
    </row>
    <row r="42" spans="1:3" x14ac:dyDescent="0.35">
      <c r="A42" s="1">
        <f t="shared" si="0"/>
        <v>0.16500000000000006</v>
      </c>
      <c r="B42" s="1">
        <f t="shared" si="1"/>
        <v>0.20039975556619374</v>
      </c>
      <c r="C42" s="1">
        <f t="shared" si="2"/>
        <v>2.6795354111825116E-2</v>
      </c>
    </row>
    <row r="43" spans="1:3" x14ac:dyDescent="0.35">
      <c r="A43" s="1">
        <f t="shared" si="0"/>
        <v>0.17000000000000007</v>
      </c>
      <c r="B43" s="1">
        <f t="shared" si="1"/>
        <v>0.21072755225468384</v>
      </c>
      <c r="C43" s="1">
        <f t="shared" si="2"/>
        <v>2.8597074683602661E-2</v>
      </c>
    </row>
    <row r="44" spans="1:3" x14ac:dyDescent="0.35">
      <c r="A44" s="1">
        <f t="shared" si="0"/>
        <v>0.17500000000000007</v>
      </c>
      <c r="B44" s="1">
        <f t="shared" si="1"/>
        <v>0.22143595199780083</v>
      </c>
      <c r="C44" s="1">
        <f t="shared" si="2"/>
        <v>3.0490352073183857E-2</v>
      </c>
    </row>
    <row r="45" spans="1:3" x14ac:dyDescent="0.35">
      <c r="A45" s="1">
        <f t="shared" si="0"/>
        <v>0.18000000000000008</v>
      </c>
      <c r="B45" s="1">
        <f t="shared" si="1"/>
        <v>0.2325232843059602</v>
      </c>
      <c r="C45" s="1">
        <f t="shared" si="2"/>
        <v>3.2478426153999818E-2</v>
      </c>
    </row>
    <row r="46" spans="1:3" x14ac:dyDescent="0.35">
      <c r="A46" s="1">
        <f t="shared" si="0"/>
        <v>0.18500000000000008</v>
      </c>
      <c r="B46" s="1">
        <f t="shared" si="1"/>
        <v>0.24398611943623444</v>
      </c>
      <c r="C46" s="1">
        <f t="shared" si="2"/>
        <v>3.4564507475179619E-2</v>
      </c>
    </row>
    <row r="47" spans="1:3" x14ac:dyDescent="0.35">
      <c r="A47" s="1">
        <f t="shared" si="0"/>
        <v>0.19000000000000009</v>
      </c>
      <c r="B47" s="1">
        <f t="shared" si="1"/>
        <v>0.25581916309518049</v>
      </c>
      <c r="C47" s="1">
        <f t="shared" si="2"/>
        <v>3.675176131964341E-2</v>
      </c>
    </row>
    <row r="48" spans="1:3" x14ac:dyDescent="0.35">
      <c r="A48" s="1">
        <f t="shared" si="0"/>
        <v>0.19500000000000009</v>
      </c>
      <c r="B48" s="1">
        <f t="shared" si="1"/>
        <v>0.26801516338904241</v>
      </c>
      <c r="C48" s="1">
        <f t="shared" si="2"/>
        <v>3.9043290966619723E-2</v>
      </c>
    </row>
    <row r="49" spans="1:3" x14ac:dyDescent="0.35">
      <c r="A49" s="1">
        <f t="shared" si="0"/>
        <v>0.20000000000000009</v>
      </c>
      <c r="B49" s="1">
        <f t="shared" si="1"/>
        <v>0.2805648327917451</v>
      </c>
      <c r="C49" s="1">
        <f t="shared" si="2"/>
        <v>4.1442120286989147E-2</v>
      </c>
    </row>
    <row r="50" spans="1:3" x14ac:dyDescent="0.35">
      <c r="A50" s="1">
        <f t="shared" si="0"/>
        <v>0.2050000000000001</v>
      </c>
      <c r="B50" s="1">
        <f t="shared" si="1"/>
        <v>0.29345678788889734</v>
      </c>
      <c r="C50" s="1">
        <f t="shared" si="2"/>
        <v>4.3951175823439222E-2</v>
      </c>
    </row>
    <row r="51" spans="1:3" x14ac:dyDescent="0.35">
      <c r="A51" s="1">
        <f t="shared" si="0"/>
        <v>0.2100000000000001</v>
      </c>
      <c r="B51" s="1">
        <f t="shared" si="1"/>
        <v>0.30667750956322276</v>
      </c>
      <c r="C51" s="1">
        <f t="shared" si="2"/>
        <v>4.6573268530204777E-2</v>
      </c>
    </row>
    <row r="52" spans="1:3" x14ac:dyDescent="0.35">
      <c r="A52" s="1">
        <f t="shared" si="0"/>
        <v>0.21500000000000011</v>
      </c>
      <c r="B52" s="1">
        <f t="shared" si="1"/>
        <v>0.32021132610545483</v>
      </c>
      <c r="C52" s="1">
        <f t="shared" si="2"/>
        <v>4.9311075368406412E-2</v>
      </c>
    </row>
    <row r="53" spans="1:3" x14ac:dyDescent="0.35">
      <c r="A53" s="1">
        <f t="shared" si="0"/>
        <v>0.22000000000000011</v>
      </c>
      <c r="B53" s="1">
        <f t="shared" si="1"/>
        <v>0.33404042145952489</v>
      </c>
      <c r="C53" s="1">
        <f t="shared" si="2"/>
        <v>5.2167120971885347E-2</v>
      </c>
    </row>
    <row r="54" spans="1:3" x14ac:dyDescent="0.35">
      <c r="A54" s="1">
        <f t="shared" si="0"/>
        <v>0.22500000000000012</v>
      </c>
      <c r="B54" s="1">
        <f t="shared" si="1"/>
        <v>0.34814487044005982</v>
      </c>
      <c r="C54" s="1">
        <f t="shared" si="2"/>
        <v>5.5143759614147858E-2</v>
      </c>
    </row>
    <row r="55" spans="1:3" x14ac:dyDescent="0.35">
      <c r="A55" s="1">
        <f t="shared" si="0"/>
        <v>0.23000000000000012</v>
      </c>
      <c r="B55" s="1">
        <f t="shared" si="1"/>
        <v>0.36250270229611881</v>
      </c>
      <c r="C55" s="1">
        <f t="shared" si="2"/>
        <v>5.8243157718779671E-2</v>
      </c>
    </row>
    <row r="56" spans="1:3" x14ac:dyDescent="0.35">
      <c r="A56" s="1">
        <f t="shared" si="0"/>
        <v>0.23500000000000013</v>
      </c>
      <c r="B56" s="1">
        <f t="shared" si="1"/>
        <v>0.37708999344463667</v>
      </c>
      <c r="C56" s="1">
        <f t="shared" si="2"/>
        <v>6.1467277162731315E-2</v>
      </c>
    </row>
    <row r="57" spans="1:3" x14ac:dyDescent="0.35">
      <c r="A57" s="1">
        <f t="shared" si="0"/>
        <v>0.24000000000000013</v>
      </c>
      <c r="B57" s="1">
        <f t="shared" si="1"/>
        <v>0.39188098957193807</v>
      </c>
      <c r="C57" s="1">
        <f t="shared" si="2"/>
        <v>6.4817859623571381E-2</v>
      </c>
    </row>
    <row r="58" spans="1:3" x14ac:dyDescent="0.35">
      <c r="A58" s="1">
        <f t="shared" si="0"/>
        <v>0.24500000000000013</v>
      </c>
      <c r="B58" s="1">
        <f t="shared" si="1"/>
        <v>0.40684825661846785</v>
      </c>
      <c r="C58" s="1">
        <f t="shared" si="2"/>
        <v>6.829641221765928E-2</v>
      </c>
    </row>
    <row r="59" spans="1:3" x14ac:dyDescent="0.35">
      <c r="A59" s="1">
        <f t="shared" si="0"/>
        <v>0.25000000000000011</v>
      </c>
      <c r="B59" s="1">
        <f t="shared" si="1"/>
        <v>0.42196285944151646</v>
      </c>
      <c r="C59" s="1">
        <f t="shared" si="2"/>
        <v>7.1904194665884241E-2</v>
      </c>
    </row>
    <row r="60" spans="1:3" x14ac:dyDescent="0.35">
      <c r="A60" s="1">
        <f t="shared" si="0"/>
        <v>0.25500000000000012</v>
      </c>
      <c r="B60" s="1">
        <f t="shared" si="1"/>
        <v>0.43719456621791664</v>
      </c>
      <c r="C60" s="1">
        <f t="shared" si="2"/>
        <v>7.5642208207047423E-2</v>
      </c>
    </row>
    <row r="61" spans="1:3" x14ac:dyDescent="0.35">
      <c r="A61" s="1">
        <f t="shared" si="0"/>
        <v>0.26000000000000012</v>
      </c>
      <c r="B61" s="1">
        <f t="shared" si="1"/>
        <v>0.45251207593088599</v>
      </c>
      <c r="C61" s="1">
        <f t="shared" si="2"/>
        <v>7.9511186456256502E-2</v>
      </c>
    </row>
    <row r="62" spans="1:3" x14ac:dyDescent="0.35">
      <c r="A62" s="1">
        <f t="shared" si="0"/>
        <v>0.26500000000000012</v>
      </c>
      <c r="B62" s="1">
        <f t="shared" si="1"/>
        <v>0.46788326561122623</v>
      </c>
      <c r="C62" s="1">
        <f t="shared" si="2"/>
        <v>8.3511588377232493E-2</v>
      </c>
    </row>
    <row r="63" spans="1:3" x14ac:dyDescent="0.35">
      <c r="A63" s="1">
        <f t="shared" si="0"/>
        <v>0.27000000000000013</v>
      </c>
      <c r="B63" s="1">
        <f t="shared" si="1"/>
        <v>0.48327545340168054</v>
      </c>
      <c r="C63" s="1">
        <f t="shared" si="2"/>
        <v>8.7643593503816869E-2</v>
      </c>
    </row>
    <row r="64" spans="1:3" x14ac:dyDescent="0.35">
      <c r="A64" s="1">
        <f t="shared" si="0"/>
        <v>0.27500000000000013</v>
      </c>
      <c r="B64" s="1">
        <f t="shared" si="1"/>
        <v>0.49865567301133179</v>
      </c>
      <c r="C64" s="1">
        <f t="shared" si="2"/>
        <v>9.190709950806375E-2</v>
      </c>
    </row>
    <row r="65" spans="1:3" x14ac:dyDescent="0.35">
      <c r="A65" s="1">
        <f t="shared" si="0"/>
        <v>0.28000000000000014</v>
      </c>
      <c r="B65" s="1">
        <f t="shared" si="1"/>
        <v>0.51399095474801215</v>
      </c>
      <c r="C65" s="1">
        <f t="shared" si="2"/>
        <v>9.630172217115926E-2</v>
      </c>
    </row>
    <row r="66" spans="1:3" x14ac:dyDescent="0.35">
      <c r="A66" s="1">
        <f t="shared" si="0"/>
        <v>0.28500000000000014</v>
      </c>
      <c r="B66" s="1">
        <f t="shared" si="1"/>
        <v>0.52924860807936691</v>
      </c>
      <c r="C66" s="1">
        <f t="shared" si="2"/>
        <v>0.10082679777023784</v>
      </c>
    </row>
    <row r="67" spans="1:3" x14ac:dyDescent="0.35">
      <c r="A67" s="1">
        <f t="shared" si="0"/>
        <v>0.29000000000000015</v>
      </c>
      <c r="B67" s="1">
        <f t="shared" si="1"/>
        <v>0.54439650058985956</v>
      </c>
      <c r="C67" s="1">
        <f t="shared" si="2"/>
        <v>0.10548138785028115</v>
      </c>
    </row>
    <row r="68" spans="1:3" x14ac:dyDescent="0.35">
      <c r="A68" s="1">
        <f t="shared" si="0"/>
        <v>0.29500000000000015</v>
      </c>
      <c r="B68" s="1">
        <f t="shared" si="1"/>
        <v>0.55940332827693284</v>
      </c>
      <c r="C68" s="1">
        <f t="shared" si="2"/>
        <v>0.11026428630704892</v>
      </c>
    </row>
    <row r="69" spans="1:3" x14ac:dyDescent="0.35">
      <c r="A69" s="1">
        <f t="shared" si="0"/>
        <v>0.30000000000000016</v>
      </c>
      <c r="B69" s="1">
        <f t="shared" si="1"/>
        <v>0.57423887236256255</v>
      </c>
      <c r="C69" s="1">
        <f t="shared" si="2"/>
        <v>0.11517402866574883</v>
      </c>
    </row>
    <row r="70" spans="1:3" x14ac:dyDescent="0.35">
      <c r="A70" s="1">
        <f t="shared" si="0"/>
        <v>0.30500000000000016</v>
      </c>
      <c r="B70" s="1">
        <f t="shared" si="1"/>
        <v>0.58887423817692641</v>
      </c>
      <c r="C70" s="1">
        <f t="shared" si="2"/>
        <v>0.12020890340216155</v>
      </c>
    </row>
    <row r="71" spans="1:3" x14ac:dyDescent="0.35">
      <c r="A71" s="1">
        <f t="shared" si="0"/>
        <v>0.31000000000000016</v>
      </c>
      <c r="B71" s="1">
        <f t="shared" si="1"/>
        <v>0.60328207218236207</v>
      </c>
      <c r="C71" s="1">
        <f t="shared" si="2"/>
        <v>0.12536696511932074</v>
      </c>
    </row>
    <row r="72" spans="1:3" x14ac:dyDescent="0.35">
      <c r="A72" s="1">
        <f t="shared" si="0"/>
        <v>0.31500000000000017</v>
      </c>
      <c r="B72" s="1">
        <f t="shared" si="1"/>
        <v>0.61743675382584906</v>
      </c>
      <c r="C72" s="1">
        <f t="shared" si="2"/>
        <v>0.13064604936453175</v>
      </c>
    </row>
    <row r="73" spans="1:3" x14ac:dyDescent="0.35">
      <c r="A73" s="1">
        <f t="shared" si="0"/>
        <v>0.32000000000000017</v>
      </c>
      <c r="B73" s="1">
        <f t="shared" si="1"/>
        <v>0.63131455961009897</v>
      </c>
      <c r="C73" s="1">
        <f t="shared" si="2"/>
        <v>0.1360437888491981</v>
      </c>
    </row>
    <row r="74" spans="1:3" x14ac:dyDescent="0.35">
      <c r="A74" s="1">
        <f t="shared" si="0"/>
        <v>0.32500000000000018</v>
      </c>
      <c r="B74" s="1">
        <f t="shared" si="1"/>
        <v>0.64489379752731801</v>
      </c>
      <c r="C74" s="1">
        <f t="shared" si="2"/>
        <v>0.14155763081805667</v>
      </c>
    </row>
    <row r="75" spans="1:3" x14ac:dyDescent="0.35">
      <c r="A75" s="1">
        <f t="shared" ref="A75:A138" si="3">A74+$B$2</f>
        <v>0.33000000000000018</v>
      </c>
      <c r="B75" s="1">
        <f t="shared" ref="B75:B138" si="4">B74+$B$2*($B$3*B74-($B$3/$B$4)*(B74)^2)</f>
        <v>0.65815491077509891</v>
      </c>
      <c r="C75" s="1">
        <f t="shared" ref="C75:C138" si="5">C74+$B$2*($B$5*B75)</f>
        <v>0.14718485530518377</v>
      </c>
    </row>
    <row r="76" spans="1:3" x14ac:dyDescent="0.35">
      <c r="A76" s="1">
        <f t="shared" si="3"/>
        <v>0.33500000000000019</v>
      </c>
      <c r="B76" s="1">
        <f t="shared" si="4"/>
        <v>0.67108055044063564</v>
      </c>
      <c r="C76" s="1">
        <f t="shared" si="5"/>
        <v>0.1529225940114512</v>
      </c>
    </row>
    <row r="77" spans="1:3" x14ac:dyDescent="0.35">
      <c r="A77" s="1">
        <f t="shared" si="3"/>
        <v>0.34000000000000019</v>
      </c>
      <c r="B77" s="1">
        <f t="shared" si="4"/>
        <v>0.68365561756974114</v>
      </c>
      <c r="C77" s="1">
        <f t="shared" si="5"/>
        <v>0.15876784954167247</v>
      </c>
    </row>
    <row r="78" spans="1:3" x14ac:dyDescent="0.35">
      <c r="A78" s="1">
        <f t="shared" si="3"/>
        <v>0.3450000000000002</v>
      </c>
      <c r="B78" s="1">
        <f t="shared" si="4"/>
        <v>0.69586727570676077</v>
      </c>
      <c r="C78" s="1">
        <f t="shared" si="5"/>
        <v>0.16471751474896529</v>
      </c>
    </row>
    <row r="79" spans="1:3" x14ac:dyDescent="0.35">
      <c r="A79" s="1">
        <f t="shared" si="3"/>
        <v>0.3500000000000002</v>
      </c>
      <c r="B79" s="1">
        <f t="shared" si="4"/>
        <v>0.70770493558079783</v>
      </c>
      <c r="C79" s="1">
        <f t="shared" si="5"/>
        <v>0.17076839194818111</v>
      </c>
    </row>
    <row r="80" spans="1:3" x14ac:dyDescent="0.35">
      <c r="A80" s="1">
        <f t="shared" si="3"/>
        <v>0.3550000000000002</v>
      </c>
      <c r="B80" s="1">
        <f t="shared" si="4"/>
        <v>0.71916021410828146</v>
      </c>
      <c r="C80" s="1">
        <f t="shared" si="5"/>
        <v>0.17691721177880693</v>
      </c>
    </row>
    <row r="81" spans="1:3" x14ac:dyDescent="0.35">
      <c r="A81" s="1">
        <f t="shared" si="3"/>
        <v>0.36000000000000021</v>
      </c>
      <c r="B81" s="1">
        <f t="shared" si="4"/>
        <v>0.73022687027286792</v>
      </c>
      <c r="C81" s="1">
        <f t="shared" si="5"/>
        <v>0.18316065151963995</v>
      </c>
    </row>
    <row r="82" spans="1:3" x14ac:dyDescent="0.35">
      <c r="A82" s="1">
        <f t="shared" si="3"/>
        <v>0.36500000000000021</v>
      </c>
      <c r="B82" s="1">
        <f t="shared" si="4"/>
        <v>0.74090072072735003</v>
      </c>
      <c r="C82" s="1">
        <f t="shared" si="5"/>
        <v>0.1894953526818588</v>
      </c>
    </row>
    <row r="83" spans="1:3" x14ac:dyDescent="0.35">
      <c r="A83" s="1">
        <f t="shared" si="3"/>
        <v>0.37000000000000022</v>
      </c>
      <c r="B83" s="1">
        <f t="shared" si="4"/>
        <v>0.75117953813997329</v>
      </c>
      <c r="C83" s="1">
        <f t="shared" si="5"/>
        <v>0.19591793773295557</v>
      </c>
    </row>
    <row r="84" spans="1:3" x14ac:dyDescent="0.35">
      <c r="A84" s="1">
        <f t="shared" si="3"/>
        <v>0.37500000000000022</v>
      </c>
      <c r="B84" s="1">
        <f t="shared" si="4"/>
        <v>0.76106293538487346</v>
      </c>
      <c r="C84" s="1">
        <f t="shared" si="5"/>
        <v>0.20242502583049624</v>
      </c>
    </row>
    <row r="85" spans="1:3" x14ac:dyDescent="0.35">
      <c r="A85" s="1">
        <f t="shared" si="3"/>
        <v>0.38000000000000023</v>
      </c>
      <c r="B85" s="1">
        <f t="shared" si="4"/>
        <v>0.77055223866227429</v>
      </c>
      <c r="C85" s="1">
        <f t="shared" si="5"/>
        <v>0.20901324747105868</v>
      </c>
    </row>
    <row r="86" spans="1:3" x14ac:dyDescent="0.35">
      <c r="A86" s="1">
        <f t="shared" si="3"/>
        <v>0.38500000000000023</v>
      </c>
      <c r="B86" s="1">
        <f t="shared" si="4"/>
        <v>0.77965035254014525</v>
      </c>
      <c r="C86" s="1">
        <f t="shared" si="5"/>
        <v>0.21567925798527693</v>
      </c>
    </row>
    <row r="87" spans="1:3" x14ac:dyDescent="0.35">
      <c r="A87" s="1">
        <f t="shared" si="3"/>
        <v>0.39000000000000024</v>
      </c>
      <c r="B87" s="1">
        <f t="shared" si="4"/>
        <v>0.78836161974839047</v>
      </c>
      <c r="C87" s="1">
        <f t="shared" si="5"/>
        <v>0.22241974983412566</v>
      </c>
    </row>
    <row r="88" spans="1:3" x14ac:dyDescent="0.35">
      <c r="A88" s="1">
        <f t="shared" si="3"/>
        <v>0.39500000000000024</v>
      </c>
      <c r="B88" s="1">
        <f t="shared" si="4"/>
        <v>0.79669167834324406</v>
      </c>
      <c r="C88" s="1">
        <f t="shared" si="5"/>
        <v>0.22923146368396038</v>
      </c>
    </row>
    <row r="89" spans="1:3" x14ac:dyDescent="0.35">
      <c r="A89" s="1">
        <f t="shared" si="3"/>
        <v>0.40000000000000024</v>
      </c>
      <c r="B89" s="1">
        <f t="shared" si="4"/>
        <v>0.80464731860732219</v>
      </c>
      <c r="C89" s="1">
        <f t="shared" si="5"/>
        <v>0.23611119825805299</v>
      </c>
    </row>
    <row r="90" spans="1:3" x14ac:dyDescent="0.35">
      <c r="A90" s="1">
        <f t="shared" si="3"/>
        <v>0.40500000000000025</v>
      </c>
      <c r="B90" s="1">
        <f t="shared" si="4"/>
        <v>0.81223634177301884</v>
      </c>
      <c r="C90" s="1">
        <f t="shared" si="5"/>
        <v>0.24305581898021231</v>
      </c>
    </row>
    <row r="91" spans="1:3" x14ac:dyDescent="0.35">
      <c r="A91" s="1">
        <f t="shared" si="3"/>
        <v>0.41000000000000025</v>
      </c>
      <c r="B91" s="1">
        <f t="shared" si="4"/>
        <v>0.81946742236580961</v>
      </c>
      <c r="C91" s="1">
        <f t="shared" si="5"/>
        <v>0.25006226544144</v>
      </c>
    </row>
    <row r="92" spans="1:3" x14ac:dyDescent="0.35">
      <c r="A92" s="1">
        <f t="shared" si="3"/>
        <v>0.41500000000000026</v>
      </c>
      <c r="B92" s="1">
        <f t="shared" si="4"/>
        <v>0.82634997567025348</v>
      </c>
      <c r="C92" s="1">
        <f t="shared" si="5"/>
        <v>0.25712755773342066</v>
      </c>
    </row>
    <row r="93" spans="1:3" x14ac:dyDescent="0.35">
      <c r="A93" s="1">
        <f t="shared" si="3"/>
        <v>0.42000000000000026</v>
      </c>
      <c r="B93" s="1">
        <f t="shared" si="4"/>
        <v>0.83289403153409125</v>
      </c>
      <c r="C93" s="1">
        <f t="shared" si="5"/>
        <v>0.26424880170303716</v>
      </c>
    </row>
    <row r="94" spans="1:3" x14ac:dyDescent="0.35">
      <c r="A94" s="1">
        <f t="shared" si="3"/>
        <v>0.42500000000000027</v>
      </c>
      <c r="B94" s="1">
        <f t="shared" si="4"/>
        <v>0.83911011545211167</v>
      </c>
      <c r="C94" s="1">
        <f t="shared" si="5"/>
        <v>0.27142319319015273</v>
      </c>
    </row>
    <row r="95" spans="1:3" x14ac:dyDescent="0.35">
      <c r="A95" s="1">
        <f t="shared" si="3"/>
        <v>0.43000000000000027</v>
      </c>
      <c r="B95" s="1">
        <f t="shared" si="4"/>
        <v>0.84500913761694763</v>
      </c>
      <c r="C95" s="1">
        <f t="shared" si="5"/>
        <v>0.27864802131677763</v>
      </c>
    </row>
    <row r="96" spans="1:3" x14ac:dyDescent="0.35">
      <c r="A96" s="1">
        <f t="shared" si="3"/>
        <v>0.43500000000000028</v>
      </c>
      <c r="B96" s="1">
        <f t="shared" si="4"/>
        <v>0.85060229039258428</v>
      </c>
      <c r="C96" s="1">
        <f t="shared" si="5"/>
        <v>0.28592067089963424</v>
      </c>
    </row>
    <row r="97" spans="1:3" x14ac:dyDescent="0.35">
      <c r="A97" s="1">
        <f t="shared" si="3"/>
        <v>0.44000000000000028</v>
      </c>
      <c r="B97" s="1">
        <f t="shared" si="4"/>
        <v>0.85590095446055092</v>
      </c>
      <c r="C97" s="1">
        <f t="shared" si="5"/>
        <v>0.29323862406027196</v>
      </c>
    </row>
    <row r="98" spans="1:3" x14ac:dyDescent="0.35">
      <c r="A98" s="1">
        <f t="shared" si="3"/>
        <v>0.44500000000000028</v>
      </c>
      <c r="B98" s="1">
        <f t="shared" si="4"/>
        <v>0.86091661370969086</v>
      </c>
      <c r="C98" s="1">
        <f t="shared" si="5"/>
        <v>0.30059946110748981</v>
      </c>
    </row>
    <row r="99" spans="1:3" x14ac:dyDescent="0.35">
      <c r="A99" s="1">
        <f t="shared" si="3"/>
        <v>0.45000000000000029</v>
      </c>
      <c r="B99" s="1">
        <f t="shared" si="4"/>
        <v>0.86566077878813397</v>
      </c>
      <c r="C99" s="1">
        <f t="shared" si="5"/>
        <v>0.30800086076612837</v>
      </c>
    </row>
    <row r="100" spans="1:3" x14ac:dyDescent="0.35">
      <c r="A100" s="1">
        <f t="shared" si="3"/>
        <v>0.45500000000000029</v>
      </c>
      <c r="B100" s="1">
        <f t="shared" si="4"/>
        <v>0.87014491910987257</v>
      </c>
      <c r="C100" s="1">
        <f t="shared" si="5"/>
        <v>0.31544059982451778</v>
      </c>
    </row>
    <row r="101" spans="1:3" x14ac:dyDescent="0.35">
      <c r="A101" s="1">
        <f t="shared" si="3"/>
        <v>0.4600000000000003</v>
      </c>
      <c r="B101" s="1">
        <f t="shared" si="4"/>
        <v>0.87438040300672493</v>
      </c>
      <c r="C101" s="1">
        <f t="shared" si="5"/>
        <v>0.32291655227022525</v>
      </c>
    </row>
    <row r="102" spans="1:3" x14ac:dyDescent="0.35">
      <c r="A102" s="1">
        <f t="shared" si="3"/>
        <v>0.4650000000000003</v>
      </c>
      <c r="B102" s="1">
        <f t="shared" si="4"/>
        <v>0.87837844563757572</v>
      </c>
      <c r="C102" s="1">
        <f t="shared" si="5"/>
        <v>0.33042668798042651</v>
      </c>
    </row>
    <row r="103" spans="1:3" x14ac:dyDescent="0.35">
      <c r="A103" s="1">
        <f t="shared" si="3"/>
        <v>0.47000000000000031</v>
      </c>
      <c r="B103" s="1">
        <f t="shared" si="4"/>
        <v>0.88215006420840636</v>
      </c>
      <c r="C103" s="1">
        <f t="shared" si="5"/>
        <v>0.33796907102940837</v>
      </c>
    </row>
    <row r="104" spans="1:3" x14ac:dyDescent="0.35">
      <c r="A104" s="1">
        <f t="shared" si="3"/>
        <v>0.47500000000000031</v>
      </c>
      <c r="B104" s="1">
        <f t="shared" si="4"/>
        <v>0.88570604001641906</v>
      </c>
      <c r="C104" s="1">
        <f t="shared" si="5"/>
        <v>0.34554185767154877</v>
      </c>
    </row>
    <row r="105" spans="1:3" x14ac:dyDescent="0.35">
      <c r="A105" s="1">
        <f t="shared" si="3"/>
        <v>0.48000000000000032</v>
      </c>
      <c r="B105" s="1">
        <f t="shared" si="4"/>
        <v>0.8890568868071087</v>
      </c>
      <c r="C105" s="1">
        <f t="shared" si="5"/>
        <v>0.35314329405374956</v>
      </c>
    </row>
    <row r="106" spans="1:3" x14ac:dyDescent="0.35">
      <c r="A106" s="1">
        <f t="shared" si="3"/>
        <v>0.48500000000000032</v>
      </c>
      <c r="B106" s="1">
        <f t="shared" si="4"/>
        <v>0.89221282492208687</v>
      </c>
      <c r="C106" s="1">
        <f t="shared" si="5"/>
        <v>0.36077171370683342</v>
      </c>
    </row>
    <row r="107" spans="1:3" x14ac:dyDescent="0.35">
      <c r="A107" s="1">
        <f t="shared" si="3"/>
        <v>0.49000000000000032</v>
      </c>
      <c r="B107" s="1">
        <f t="shared" si="4"/>
        <v>0.89518376071556649</v>
      </c>
      <c r="C107" s="1">
        <f t="shared" si="5"/>
        <v>0.36842553486095153</v>
      </c>
    </row>
    <row r="108" spans="1:3" x14ac:dyDescent="0.35">
      <c r="A108" s="1">
        <f t="shared" si="3"/>
        <v>0.49500000000000033</v>
      </c>
      <c r="B108" s="1">
        <f t="shared" si="4"/>
        <v>0.89797927072658434</v>
      </c>
      <c r="C108" s="1">
        <f t="shared" si="5"/>
        <v>0.37610325762566382</v>
      </c>
    </row>
    <row r="109" spans="1:3" x14ac:dyDescent="0.35">
      <c r="A109" s="1">
        <f t="shared" si="3"/>
        <v>0.50000000000000033</v>
      </c>
      <c r="B109" s="1">
        <f t="shared" si="4"/>
        <v>0.90060859011036765</v>
      </c>
      <c r="C109" s="1">
        <f t="shared" si="5"/>
        <v>0.38380346107110747</v>
      </c>
    </row>
    <row r="110" spans="1:3" x14ac:dyDescent="0.35">
      <c r="A110" s="1">
        <f t="shared" si="3"/>
        <v>0.50500000000000034</v>
      </c>
      <c r="B110" s="1">
        <f t="shared" si="4"/>
        <v>0.90308060485405606</v>
      </c>
      <c r="C110" s="1">
        <f t="shared" si="5"/>
        <v>0.39152480024260966</v>
      </c>
    </row>
    <row r="111" spans="1:3" x14ac:dyDescent="0.35">
      <c r="A111" s="1">
        <f t="shared" si="3"/>
        <v>0.51000000000000034</v>
      </c>
      <c r="B111" s="1">
        <f t="shared" si="4"/>
        <v>0.90540384732778001</v>
      </c>
      <c r="C111" s="1">
        <f t="shared" si="5"/>
        <v>0.39926600313726218</v>
      </c>
    </row>
    <row r="112" spans="1:3" x14ac:dyDescent="0.35">
      <c r="A112" s="1">
        <f t="shared" si="3"/>
        <v>0.51500000000000035</v>
      </c>
      <c r="B112" s="1">
        <f t="shared" si="4"/>
        <v>0.9075864947506066</v>
      </c>
      <c r="C112" s="1">
        <f t="shared" si="5"/>
        <v>0.40702586766737986</v>
      </c>
    </row>
    <row r="113" spans="1:3" x14ac:dyDescent="0.35">
      <c r="A113" s="1">
        <f t="shared" si="3"/>
        <v>0.52000000000000035</v>
      </c>
      <c r="B113" s="1">
        <f t="shared" si="4"/>
        <v>0.90963637018100874</v>
      </c>
      <c r="C113" s="1">
        <f t="shared" si="5"/>
        <v>0.41480325863242751</v>
      </c>
    </row>
    <row r="114" spans="1:3" x14ac:dyDescent="0.35">
      <c r="A114" s="1">
        <f t="shared" si="3"/>
        <v>0.52500000000000036</v>
      </c>
      <c r="B114" s="1">
        <f t="shared" si="4"/>
        <v>0.91156094567241441</v>
      </c>
      <c r="C114" s="1">
        <f t="shared" si="5"/>
        <v>0.42259710471792666</v>
      </c>
    </row>
    <row r="115" spans="1:3" x14ac:dyDescent="0.35">
      <c r="A115" s="1">
        <f t="shared" si="3"/>
        <v>0.53000000000000036</v>
      </c>
      <c r="B115" s="1">
        <f t="shared" si="4"/>
        <v>0.91336734726531421</v>
      </c>
      <c r="C115" s="1">
        <f t="shared" si="5"/>
        <v>0.43040639553704507</v>
      </c>
    </row>
    <row r="116" spans="1:3" x14ac:dyDescent="0.35">
      <c r="A116" s="1">
        <f t="shared" si="3"/>
        <v>0.53500000000000036</v>
      </c>
      <c r="B116" s="1">
        <f t="shared" si="4"/>
        <v>0.91506236151778142</v>
      </c>
      <c r="C116" s="1">
        <f t="shared" si="5"/>
        <v>0.43823017872802211</v>
      </c>
    </row>
    <row r="117" spans="1:3" x14ac:dyDescent="0.35">
      <c r="A117" s="1">
        <f t="shared" si="3"/>
        <v>0.54000000000000037</v>
      </c>
      <c r="B117" s="1">
        <f t="shared" si="4"/>
        <v>0.91665244330564755</v>
      </c>
      <c r="C117" s="1">
        <f t="shared" si="5"/>
        <v>0.44606755711828538</v>
      </c>
    </row>
    <row r="118" spans="1:3" x14ac:dyDescent="0.35">
      <c r="A118" s="1">
        <f t="shared" si="3"/>
        <v>0.54500000000000037</v>
      </c>
      <c r="B118" s="1">
        <f t="shared" si="4"/>
        <v>0.91814372465164307</v>
      </c>
      <c r="C118" s="1">
        <f t="shared" si="5"/>
        <v>0.45391768596405691</v>
      </c>
    </row>
    <row r="119" spans="1:3" x14ac:dyDescent="0.35">
      <c r="A119" s="1">
        <f t="shared" si="3"/>
        <v>0.55000000000000038</v>
      </c>
      <c r="B119" s="1">
        <f t="shared" si="4"/>
        <v>0.91954202436932986</v>
      </c>
      <c r="C119" s="1">
        <f t="shared" si="5"/>
        <v>0.46177977027241468</v>
      </c>
    </row>
    <row r="120" spans="1:3" x14ac:dyDescent="0.35">
      <c r="A120" s="1">
        <f t="shared" si="3"/>
        <v>0.55500000000000038</v>
      </c>
      <c r="B120" s="1">
        <f t="shared" si="4"/>
        <v>0.92085285833246611</v>
      </c>
      <c r="C120" s="1">
        <f t="shared" si="5"/>
        <v>0.46965306221115727</v>
      </c>
    </row>
    <row r="121" spans="1:3" x14ac:dyDescent="0.35">
      <c r="A121" s="1">
        <f t="shared" si="3"/>
        <v>0.56000000000000039</v>
      </c>
      <c r="B121" s="1">
        <f t="shared" si="4"/>
        <v>0.92208145020346677</v>
      </c>
      <c r="C121" s="1">
        <f t="shared" si="5"/>
        <v>0.47753685861039691</v>
      </c>
    </row>
    <row r="122" spans="1:3" x14ac:dyDescent="0.35">
      <c r="A122" s="1">
        <f t="shared" si="3"/>
        <v>0.56500000000000039</v>
      </c>
      <c r="B122" s="1">
        <f t="shared" si="4"/>
        <v>0.92323274247582465</v>
      </c>
      <c r="C122" s="1">
        <f t="shared" si="5"/>
        <v>0.48543049855856518</v>
      </c>
    </row>
    <row r="123" spans="1:3" x14ac:dyDescent="0.35">
      <c r="A123" s="1">
        <f t="shared" si="3"/>
        <v>0.5700000000000004</v>
      </c>
      <c r="B123" s="1">
        <f t="shared" si="4"/>
        <v>0.92431140770474352</v>
      </c>
      <c r="C123" s="1">
        <f t="shared" si="5"/>
        <v>0.49333336109444076</v>
      </c>
    </row>
    <row r="124" spans="1:3" x14ac:dyDescent="0.35">
      <c r="A124" s="1">
        <f t="shared" si="3"/>
        <v>0.5750000000000004</v>
      </c>
      <c r="B124" s="1">
        <f t="shared" si="4"/>
        <v>0.92532185981785142</v>
      </c>
      <c r="C124" s="1">
        <f t="shared" si="5"/>
        <v>0.50124486299588333</v>
      </c>
    </row>
    <row r="125" spans="1:3" x14ac:dyDescent="0.35">
      <c r="A125" s="1">
        <f t="shared" si="3"/>
        <v>0.5800000000000004</v>
      </c>
      <c r="B125" s="1">
        <f t="shared" si="4"/>
        <v>0.92626826541377361</v>
      </c>
      <c r="C125" s="1">
        <f t="shared" si="5"/>
        <v>0.50916445666517107</v>
      </c>
    </row>
    <row r="126" spans="1:3" x14ac:dyDescent="0.35">
      <c r="A126" s="1">
        <f t="shared" si="3"/>
        <v>0.58500000000000041</v>
      </c>
      <c r="B126" s="1">
        <f t="shared" si="4"/>
        <v>0.92715455497063326</v>
      </c>
      <c r="C126" s="1">
        <f t="shared" si="5"/>
        <v>0.51709162811016995</v>
      </c>
    </row>
    <row r="127" spans="1:3" x14ac:dyDescent="0.35">
      <c r="A127" s="1">
        <f t="shared" si="3"/>
        <v>0.59000000000000041</v>
      </c>
      <c r="B127" s="1">
        <f t="shared" si="4"/>
        <v>0.92798443389931295</v>
      </c>
      <c r="C127" s="1">
        <f t="shared" si="5"/>
        <v>0.52502589502000907</v>
      </c>
    </row>
    <row r="128" spans="1:3" x14ac:dyDescent="0.35">
      <c r="A128" s="1">
        <f t="shared" si="3"/>
        <v>0.59500000000000042</v>
      </c>
      <c r="B128" s="1">
        <f t="shared" si="4"/>
        <v>0.9287613933876514</v>
      </c>
      <c r="C128" s="1">
        <f t="shared" si="5"/>
        <v>0.53296680493347348</v>
      </c>
    </row>
    <row r="129" spans="1:3" x14ac:dyDescent="0.35">
      <c r="A129" s="1">
        <f t="shared" si="3"/>
        <v>0.60000000000000042</v>
      </c>
      <c r="B129" s="1">
        <f t="shared" si="4"/>
        <v>0.9294887209917736</v>
      </c>
      <c r="C129" s="1">
        <f t="shared" si="5"/>
        <v>0.54091393349795314</v>
      </c>
    </row>
    <row r="130" spans="1:3" x14ac:dyDescent="0.35">
      <c r="A130" s="1">
        <f t="shared" si="3"/>
        <v>0.60500000000000043</v>
      </c>
      <c r="B130" s="1">
        <f t="shared" si="4"/>
        <v>0.93016951093956934</v>
      </c>
      <c r="C130" s="1">
        <f t="shared" si="5"/>
        <v>0.54886688281648643</v>
      </c>
    </row>
    <row r="131" spans="1:3" x14ac:dyDescent="0.35">
      <c r="A131" s="1">
        <f t="shared" si="3"/>
        <v>0.61000000000000043</v>
      </c>
      <c r="B131" s="1">
        <f t="shared" si="4"/>
        <v>0.93080667411904516</v>
      </c>
      <c r="C131" s="1">
        <f t="shared" si="5"/>
        <v>0.55682527988020425</v>
      </c>
    </row>
    <row r="132" spans="1:3" x14ac:dyDescent="0.35">
      <c r="A132" s="1">
        <f t="shared" si="3"/>
        <v>0.61500000000000044</v>
      </c>
      <c r="B132" s="1">
        <f t="shared" si="4"/>
        <v>0.93140294773098242</v>
      </c>
      <c r="C132" s="1">
        <f t="shared" si="5"/>
        <v>0.56478877508330416</v>
      </c>
    </row>
    <row r="133" spans="1:3" x14ac:dyDescent="0.35">
      <c r="A133" s="1">
        <f t="shared" si="3"/>
        <v>0.62000000000000044</v>
      </c>
      <c r="B133" s="1">
        <f t="shared" si="4"/>
        <v>0.93196090459113989</v>
      </c>
      <c r="C133" s="1">
        <f t="shared" si="5"/>
        <v>0.5727570408175584</v>
      </c>
    </row>
    <row r="134" spans="1:3" x14ac:dyDescent="0.35">
      <c r="A134" s="1">
        <f t="shared" si="3"/>
        <v>0.62500000000000044</v>
      </c>
      <c r="B134" s="1">
        <f t="shared" si="4"/>
        <v>0.93248296207222658</v>
      </c>
      <c r="C134" s="1">
        <f t="shared" si="5"/>
        <v>0.58072977014327598</v>
      </c>
    </row>
    <row r="135" spans="1:3" x14ac:dyDescent="0.35">
      <c r="A135" s="1">
        <f t="shared" si="3"/>
        <v>0.63000000000000045</v>
      </c>
      <c r="B135" s="1">
        <f t="shared" si="4"/>
        <v>0.93297139068013601</v>
      </c>
      <c r="C135" s="1">
        <f t="shared" si="5"/>
        <v>0.58870667553359113</v>
      </c>
    </row>
    <row r="136" spans="1:3" x14ac:dyDescent="0.35">
      <c r="A136" s="1">
        <f t="shared" si="3"/>
        <v>0.63500000000000045</v>
      </c>
      <c r="B136" s="1">
        <f t="shared" si="4"/>
        <v>0.93342832226254713</v>
      </c>
      <c r="C136" s="1">
        <f t="shared" si="5"/>
        <v>0.59668748768893587</v>
      </c>
    </row>
    <row r="137" spans="1:3" x14ac:dyDescent="0.35">
      <c r="A137" s="1">
        <f t="shared" si="3"/>
        <v>0.64000000000000046</v>
      </c>
      <c r="B137" s="1">
        <f t="shared" si="4"/>
        <v>0.93385575785103891</v>
      </c>
      <c r="C137" s="1">
        <f t="shared" si="5"/>
        <v>0.60467195441856225</v>
      </c>
    </row>
    <row r="138" spans="1:3" x14ac:dyDescent="0.35">
      <c r="A138" s="1">
        <f t="shared" si="3"/>
        <v>0.64500000000000046</v>
      </c>
      <c r="B138" s="1">
        <f t="shared" si="4"/>
        <v>0.93425557514040347</v>
      </c>
      <c r="C138" s="1">
        <f t="shared" si="5"/>
        <v>0.61265983958601267</v>
      </c>
    </row>
    <row r="139" spans="1:3" x14ac:dyDescent="0.35">
      <c r="A139" s="1">
        <f t="shared" ref="A139:A202" si="6">A138+$B$2</f>
        <v>0.65000000000000047</v>
      </c>
      <c r="B139" s="1">
        <f t="shared" ref="B139:B202" si="7">B138+$B$2*($B$3*B138-($B$3/$B$4)*(B138)^2)</f>
        <v>0.93462953561092899</v>
      </c>
      <c r="C139" s="1">
        <f t="shared" ref="C139:C202" si="8">C138+$B$2*($B$5*B139)</f>
        <v>0.62065092211548611</v>
      </c>
    </row>
    <row r="140" spans="1:3" x14ac:dyDescent="0.35">
      <c r="A140" s="1">
        <f t="shared" si="6"/>
        <v>0.65500000000000047</v>
      </c>
      <c r="B140" s="1">
        <f t="shared" si="7"/>
        <v>0.93497929130112811</v>
      </c>
      <c r="C140" s="1">
        <f t="shared" si="8"/>
        <v>0.62864499505611071</v>
      </c>
    </row>
    <row r="141" spans="1:3" x14ac:dyDescent="0.35">
      <c r="A141" s="1">
        <f t="shared" si="6"/>
        <v>0.66000000000000048</v>
      </c>
      <c r="B141" s="1">
        <f t="shared" si="7"/>
        <v>0.93530639123974735</v>
      </c>
      <c r="C141" s="1">
        <f t="shared" si="8"/>
        <v>0.63664186470121054</v>
      </c>
    </row>
    <row r="142" spans="1:3" x14ac:dyDescent="0.35">
      <c r="A142" s="1">
        <f t="shared" si="6"/>
        <v>0.66500000000000048</v>
      </c>
      <c r="B142" s="1">
        <f t="shared" si="7"/>
        <v>0.93561228754695958</v>
      </c>
      <c r="C142" s="1">
        <f t="shared" si="8"/>
        <v>0.64464134975973708</v>
      </c>
    </row>
    <row r="143" spans="1:3" x14ac:dyDescent="0.35">
      <c r="A143" s="1">
        <f t="shared" si="6"/>
        <v>0.67000000000000048</v>
      </c>
      <c r="B143" s="1">
        <f t="shared" si="7"/>
        <v>0.93589834121545568</v>
      </c>
      <c r="C143" s="1">
        <f t="shared" si="8"/>
        <v>0.65264328057712928</v>
      </c>
    </row>
    <row r="144" spans="1:3" x14ac:dyDescent="0.35">
      <c r="A144" s="1">
        <f t="shared" si="6"/>
        <v>0.67500000000000049</v>
      </c>
      <c r="B144" s="1">
        <f t="shared" si="7"/>
        <v>0.93616582758274391</v>
      </c>
      <c r="C144" s="1">
        <f t="shared" si="8"/>
        <v>0.66064749840296177</v>
      </c>
    </row>
    <row r="145" spans="1:3" x14ac:dyDescent="0.35">
      <c r="A145" s="1">
        <f t="shared" si="6"/>
        <v>0.68000000000000049</v>
      </c>
      <c r="B145" s="1">
        <f t="shared" si="7"/>
        <v>0.93641594150637508</v>
      </c>
      <c r="C145" s="1">
        <f t="shared" si="8"/>
        <v>0.66865385470284133</v>
      </c>
    </row>
    <row r="146" spans="1:3" x14ac:dyDescent="0.35">
      <c r="A146" s="1">
        <f t="shared" si="6"/>
        <v>0.6850000000000005</v>
      </c>
      <c r="B146" s="1">
        <f t="shared" si="7"/>
        <v>0.93664980225405725</v>
      </c>
      <c r="C146" s="1">
        <f t="shared" si="8"/>
        <v>0.6766622105121135</v>
      </c>
    </row>
    <row r="147" spans="1:3" x14ac:dyDescent="0.35">
      <c r="A147" s="1">
        <f t="shared" si="6"/>
        <v>0.6900000000000005</v>
      </c>
      <c r="B147" s="1">
        <f t="shared" si="7"/>
        <v>0.93686845812074271</v>
      </c>
      <c r="C147" s="1">
        <f t="shared" si="8"/>
        <v>0.6846724358290458</v>
      </c>
    </row>
    <row r="148" spans="1:3" x14ac:dyDescent="0.35">
      <c r="A148" s="1">
        <f t="shared" si="6"/>
        <v>0.69500000000000051</v>
      </c>
      <c r="B148" s="1">
        <f t="shared" si="7"/>
        <v>0.93707289078476763</v>
      </c>
      <c r="C148" s="1">
        <f t="shared" si="8"/>
        <v>0.69268440904525552</v>
      </c>
    </row>
    <row r="149" spans="1:3" x14ac:dyDescent="0.35">
      <c r="A149" s="1">
        <f t="shared" si="6"/>
        <v>0.70000000000000051</v>
      </c>
      <c r="B149" s="1">
        <f t="shared" si="7"/>
        <v>0.93726401941503823</v>
      </c>
      <c r="C149" s="1">
        <f t="shared" si="8"/>
        <v>0.70069801641125407</v>
      </c>
    </row>
    <row r="150" spans="1:3" x14ac:dyDescent="0.35">
      <c r="A150" s="1">
        <f t="shared" si="6"/>
        <v>0.70500000000000052</v>
      </c>
      <c r="B150" s="1">
        <f t="shared" si="7"/>
        <v>0.93744270454108791</v>
      </c>
      <c r="C150" s="1">
        <f t="shared" si="8"/>
        <v>0.70871315153508041</v>
      </c>
    </row>
    <row r="151" spans="1:3" x14ac:dyDescent="0.35">
      <c r="A151" s="1">
        <f t="shared" si="6"/>
        <v>0.71000000000000052</v>
      </c>
      <c r="B151" s="1">
        <f t="shared" si="7"/>
        <v>0.93760975169759964</v>
      </c>
      <c r="C151" s="1">
        <f t="shared" si="8"/>
        <v>0.71672971491209492</v>
      </c>
    </row>
    <row r="152" spans="1:3" x14ac:dyDescent="0.35">
      <c r="A152" s="1">
        <f t="shared" si="6"/>
        <v>0.71500000000000052</v>
      </c>
      <c r="B152" s="1">
        <f t="shared" si="7"/>
        <v>0.93776591485471006</v>
      </c>
      <c r="C152" s="1">
        <f t="shared" si="8"/>
        <v>0.72474761348410266</v>
      </c>
    </row>
    <row r="153" spans="1:3" x14ac:dyDescent="0.35">
      <c r="A153" s="1">
        <f t="shared" si="6"/>
        <v>0.72000000000000053</v>
      </c>
      <c r="B153" s="1">
        <f t="shared" si="7"/>
        <v>0.93791189964509192</v>
      </c>
      <c r="C153" s="1">
        <f t="shared" si="8"/>
        <v>0.73276676022606824</v>
      </c>
    </row>
    <row r="154" spans="1:3" x14ac:dyDescent="0.35">
      <c r="A154" s="1">
        <f t="shared" si="6"/>
        <v>0.72500000000000053</v>
      </c>
      <c r="B154" s="1">
        <f t="shared" si="7"/>
        <v>0.93804836639846334</v>
      </c>
      <c r="C154" s="1">
        <f t="shared" si="8"/>
        <v>0.74078707375877506</v>
      </c>
    </row>
    <row r="155" spans="1:3" x14ac:dyDescent="0.35">
      <c r="A155" s="1">
        <f t="shared" si="6"/>
        <v>0.73000000000000054</v>
      </c>
      <c r="B155" s="1">
        <f t="shared" si="7"/>
        <v>0.93817593299380198</v>
      </c>
      <c r="C155" s="1">
        <f t="shared" si="8"/>
        <v>0.74880847798587202</v>
      </c>
    </row>
    <row r="156" spans="1:3" x14ac:dyDescent="0.35">
      <c r="A156" s="1">
        <f t="shared" si="6"/>
        <v>0.73500000000000054</v>
      </c>
      <c r="B156" s="1">
        <f t="shared" si="7"/>
        <v>0.93829517753915581</v>
      </c>
      <c r="C156" s="1">
        <f t="shared" si="8"/>
        <v>0.75683090175383183</v>
      </c>
    </row>
    <row r="157" spans="1:3" x14ac:dyDescent="0.35">
      <c r="A157" s="1">
        <f t="shared" si="6"/>
        <v>0.74000000000000055</v>
      </c>
      <c r="B157" s="1">
        <f t="shared" si="7"/>
        <v>0.93840664088854819</v>
      </c>
      <c r="C157" s="1">
        <f t="shared" si="8"/>
        <v>0.76485427853342891</v>
      </c>
    </row>
    <row r="158" spans="1:3" x14ac:dyDescent="0.35">
      <c r="A158" s="1">
        <f t="shared" si="6"/>
        <v>0.74500000000000055</v>
      </c>
      <c r="B158" s="1">
        <f t="shared" si="7"/>
        <v>0.93851082900507343</v>
      </c>
      <c r="C158" s="1">
        <f t="shared" si="8"/>
        <v>0.77287854612142226</v>
      </c>
    </row>
    <row r="159" spans="1:3" x14ac:dyDescent="0.35">
      <c r="A159" s="1">
        <f t="shared" si="6"/>
        <v>0.75000000000000056</v>
      </c>
      <c r="B159" s="1">
        <f t="shared" si="7"/>
        <v>0.93860821517887782</v>
      </c>
      <c r="C159" s="1">
        <f t="shared" si="8"/>
        <v>0.78090364636120169</v>
      </c>
    </row>
    <row r="160" spans="1:3" x14ac:dyDescent="0.35">
      <c r="A160" s="1">
        <f t="shared" si="6"/>
        <v>0.75500000000000056</v>
      </c>
      <c r="B160" s="1">
        <f t="shared" si="7"/>
        <v>0.93869924210832434</v>
      </c>
      <c r="C160" s="1">
        <f t="shared" si="8"/>
        <v>0.78892952488122781</v>
      </c>
    </row>
    <row r="161" spans="1:3" x14ac:dyDescent="0.35">
      <c r="A161" s="1">
        <f t="shared" si="6"/>
        <v>0.76000000000000056</v>
      </c>
      <c r="B161" s="1">
        <f t="shared" si="7"/>
        <v>0.93878432385224342</v>
      </c>
      <c r="C161" s="1">
        <f t="shared" si="8"/>
        <v>0.79695613085016448</v>
      </c>
    </row>
    <row r="162" spans="1:3" x14ac:dyDescent="0.35">
      <c r="A162" s="1">
        <f t="shared" si="6"/>
        <v>0.76500000000000057</v>
      </c>
      <c r="B162" s="1">
        <f t="shared" si="7"/>
        <v>0.9388638476607869</v>
      </c>
      <c r="C162" s="1">
        <f t="shared" si="8"/>
        <v>0.80498341674766416</v>
      </c>
    </row>
    <row r="163" spans="1:3" x14ac:dyDescent="0.35">
      <c r="A163" s="1">
        <f t="shared" si="6"/>
        <v>0.77000000000000057</v>
      </c>
      <c r="B163" s="1">
        <f t="shared" si="7"/>
        <v>0.93893817569202664</v>
      </c>
      <c r="C163" s="1">
        <f t="shared" si="8"/>
        <v>0.81301133814983095</v>
      </c>
    </row>
    <row r="164" spans="1:3" x14ac:dyDescent="0.35">
      <c r="A164" s="1">
        <f t="shared" si="6"/>
        <v>0.77500000000000058</v>
      </c>
      <c r="B164" s="1">
        <f t="shared" si="7"/>
        <v>0.93900764662106972</v>
      </c>
      <c r="C164" s="1">
        <f t="shared" si="8"/>
        <v>0.82103985352844111</v>
      </c>
    </row>
    <row r="165" spans="1:3" x14ac:dyDescent="0.35">
      <c r="A165" s="1">
        <f t="shared" si="6"/>
        <v>0.78000000000000058</v>
      </c>
      <c r="B165" s="1">
        <f t="shared" si="7"/>
        <v>0.93907257714811043</v>
      </c>
      <c r="C165" s="1">
        <f t="shared" si="8"/>
        <v>0.82906892406305743</v>
      </c>
    </row>
    <row r="166" spans="1:3" x14ac:dyDescent="0.35">
      <c r="A166" s="1">
        <f t="shared" si="6"/>
        <v>0.78500000000000059</v>
      </c>
      <c r="B166" s="1">
        <f t="shared" si="7"/>
        <v>0.93913326341149317</v>
      </c>
      <c r="C166" s="1">
        <f t="shared" si="8"/>
        <v>0.83709851346522568</v>
      </c>
    </row>
    <row r="167" spans="1:3" x14ac:dyDescent="0.35">
      <c r="A167" s="1">
        <f t="shared" si="6"/>
        <v>0.79000000000000059</v>
      </c>
      <c r="B167" s="1">
        <f t="shared" si="7"/>
        <v>0.93918998231153339</v>
      </c>
      <c r="C167" s="1">
        <f t="shared" si="8"/>
        <v>0.84512858781398925</v>
      </c>
    </row>
    <row r="168" spans="1:3" x14ac:dyDescent="0.35">
      <c r="A168" s="1">
        <f t="shared" si="6"/>
        <v>0.7950000000000006</v>
      </c>
      <c r="B168" s="1">
        <f t="shared" si="7"/>
        <v>0.93924299275052481</v>
      </c>
      <c r="C168" s="1">
        <f t="shared" si="8"/>
        <v>0.85315911540200629</v>
      </c>
    </row>
    <row r="169" spans="1:3" x14ac:dyDescent="0.35">
      <c r="A169" s="1">
        <f t="shared" si="6"/>
        <v>0.8000000000000006</v>
      </c>
      <c r="B169" s="1">
        <f t="shared" si="7"/>
        <v>0.93929253679405855</v>
      </c>
      <c r="C169" s="1">
        <f t="shared" si="8"/>
        <v>0.86119006659159547</v>
      </c>
    </row>
    <row r="170" spans="1:3" x14ac:dyDescent="0.35">
      <c r="A170" s="1">
        <f t="shared" si="6"/>
        <v>0.8050000000000006</v>
      </c>
      <c r="B170" s="1">
        <f t="shared" si="7"/>
        <v>0.93933884075848995</v>
      </c>
      <c r="C170" s="1">
        <f t="shared" si="8"/>
        <v>0.86922141368008055</v>
      </c>
    </row>
    <row r="171" spans="1:3" x14ac:dyDescent="0.35">
      <c r="A171" s="1">
        <f t="shared" si="6"/>
        <v>0.81000000000000061</v>
      </c>
      <c r="B171" s="1">
        <f t="shared" si="7"/>
        <v>0.93938211622911094</v>
      </c>
      <c r="C171" s="1">
        <f t="shared" si="8"/>
        <v>0.87725313077383948</v>
      </c>
    </row>
    <row r="172" spans="1:3" x14ac:dyDescent="0.35">
      <c r="A172" s="1">
        <f t="shared" si="6"/>
        <v>0.81500000000000061</v>
      </c>
      <c r="B172" s="1">
        <f t="shared" si="7"/>
        <v>0.93942256101332411</v>
      </c>
      <c r="C172" s="1">
        <f t="shared" si="8"/>
        <v>0.8852851936705034</v>
      </c>
    </row>
    <row r="173" spans="1:3" x14ac:dyDescent="0.35">
      <c r="A173" s="1">
        <f t="shared" si="6"/>
        <v>0.82000000000000062</v>
      </c>
      <c r="B173" s="1">
        <f t="shared" si="7"/>
        <v>0.93946036003286226</v>
      </c>
      <c r="C173" s="1">
        <f t="shared" si="8"/>
        <v>0.89331757974878434</v>
      </c>
    </row>
    <row r="174" spans="1:3" x14ac:dyDescent="0.35">
      <c r="A174" s="1">
        <f t="shared" si="6"/>
        <v>0.82500000000000062</v>
      </c>
      <c r="B174" s="1">
        <f t="shared" si="7"/>
        <v>0.93949568615885892</v>
      </c>
      <c r="C174" s="1">
        <f t="shared" si="8"/>
        <v>0.90135026786544259</v>
      </c>
    </row>
    <row r="175" spans="1:3" x14ac:dyDescent="0.35">
      <c r="A175" s="1">
        <f t="shared" si="6"/>
        <v>0.83000000000000063</v>
      </c>
      <c r="B175" s="1">
        <f t="shared" si="7"/>
        <v>0.93952870099335206</v>
      </c>
      <c r="C175" s="1">
        <f t="shared" si="8"/>
        <v>0.90938323825893574</v>
      </c>
    </row>
    <row r="176" spans="1:3" x14ac:dyDescent="0.35">
      <c r="A176" s="1">
        <f t="shared" si="6"/>
        <v>0.83500000000000063</v>
      </c>
      <c r="B176" s="1">
        <f t="shared" si="7"/>
        <v>0.93955955560058502</v>
      </c>
      <c r="C176" s="1">
        <f t="shared" si="8"/>
        <v>0.91741647245932079</v>
      </c>
    </row>
    <row r="177" spans="1:3" x14ac:dyDescent="0.35">
      <c r="A177" s="1">
        <f t="shared" si="6"/>
        <v>0.84000000000000064</v>
      </c>
      <c r="B177" s="1">
        <f t="shared" si="7"/>
        <v>0.93958839119127002</v>
      </c>
      <c r="C177" s="1">
        <f t="shared" si="8"/>
        <v>0.92544995320400614</v>
      </c>
    </row>
    <row r="178" spans="1:3" x14ac:dyDescent="0.35">
      <c r="A178" s="1">
        <f t="shared" si="6"/>
        <v>0.84500000000000064</v>
      </c>
      <c r="B178" s="1">
        <f t="shared" si="7"/>
        <v>0.93961533976278577</v>
      </c>
      <c r="C178" s="1">
        <f t="shared" si="8"/>
        <v>0.933483664358978</v>
      </c>
    </row>
    <row r="179" spans="1:3" x14ac:dyDescent="0.35">
      <c r="A179" s="1">
        <f t="shared" si="6"/>
        <v>0.85000000000000064</v>
      </c>
      <c r="B179" s="1">
        <f t="shared" si="7"/>
        <v>0.93964052469810078</v>
      </c>
      <c r="C179" s="1">
        <f t="shared" si="8"/>
        <v>0.94151759084514675</v>
      </c>
    </row>
    <row r="180" spans="1:3" x14ac:dyDescent="0.35">
      <c r="A180" s="1">
        <f t="shared" si="6"/>
        <v>0.85500000000000065</v>
      </c>
      <c r="B180" s="1">
        <f t="shared" si="7"/>
        <v>0.93966406132604186</v>
      </c>
      <c r="C180" s="1">
        <f t="shared" si="8"/>
        <v>0.94955171856948439</v>
      </c>
    </row>
    <row r="181" spans="1:3" x14ac:dyDescent="0.35">
      <c r="A181" s="1">
        <f t="shared" si="6"/>
        <v>0.86000000000000065</v>
      </c>
      <c r="B181" s="1">
        <f t="shared" si="7"/>
        <v>0.93968605744536815</v>
      </c>
      <c r="C181" s="1">
        <f t="shared" si="8"/>
        <v>0.95758603436064227</v>
      </c>
    </row>
    <row r="182" spans="1:3" x14ac:dyDescent="0.35">
      <c r="A182" s="1">
        <f t="shared" si="6"/>
        <v>0.86500000000000066</v>
      </c>
      <c r="B182" s="1">
        <f t="shared" si="7"/>
        <v>0.9397066138149569</v>
      </c>
      <c r="C182" s="1">
        <f t="shared" si="8"/>
        <v>0.96562052590876013</v>
      </c>
    </row>
    <row r="183" spans="1:3" x14ac:dyDescent="0.35">
      <c r="A183" s="1">
        <f t="shared" si="6"/>
        <v>0.87000000000000066</v>
      </c>
      <c r="B183" s="1">
        <f t="shared" si="7"/>
        <v>0.93972582461226639</v>
      </c>
      <c r="C183" s="1">
        <f t="shared" si="8"/>
        <v>0.97365518170919496</v>
      </c>
    </row>
    <row r="184" spans="1:3" x14ac:dyDescent="0.35">
      <c r="A184" s="1">
        <f t="shared" si="6"/>
        <v>0.87500000000000067</v>
      </c>
      <c r="B184" s="1">
        <f t="shared" si="7"/>
        <v>0.93974377786210406</v>
      </c>
      <c r="C184" s="1">
        <f t="shared" si="8"/>
        <v>0.98168999100991594</v>
      </c>
    </row>
    <row r="185" spans="1:3" x14ac:dyDescent="0.35">
      <c r="A185" s="1">
        <f t="shared" si="6"/>
        <v>0.88000000000000067</v>
      </c>
      <c r="B185" s="1">
        <f t="shared" si="7"/>
        <v>0.93976055583760343</v>
      </c>
      <c r="C185" s="1">
        <f t="shared" si="8"/>
        <v>0.98972494376232745</v>
      </c>
    </row>
    <row r="186" spans="1:3" x14ac:dyDescent="0.35">
      <c r="A186" s="1">
        <f t="shared" si="6"/>
        <v>0.88500000000000068</v>
      </c>
      <c r="B186" s="1">
        <f t="shared" si="7"/>
        <v>0.93977623543519284</v>
      </c>
      <c r="C186" s="1">
        <f t="shared" si="8"/>
        <v>0.99776003057529838</v>
      </c>
    </row>
    <row r="187" spans="1:3" x14ac:dyDescent="0.35">
      <c r="A187" s="1">
        <f t="shared" si="6"/>
        <v>0.89000000000000068</v>
      </c>
      <c r="B187" s="1">
        <f t="shared" si="7"/>
        <v>0.93979088852522707</v>
      </c>
      <c r="C187" s="1">
        <f t="shared" si="8"/>
        <v>1.005795242672189</v>
      </c>
    </row>
    <row r="188" spans="1:3" x14ac:dyDescent="0.35">
      <c r="A188" s="1">
        <f t="shared" si="6"/>
        <v>0.89500000000000068</v>
      </c>
      <c r="B188" s="1">
        <f t="shared" si="7"/>
        <v>0.93980458227984764</v>
      </c>
      <c r="C188" s="1">
        <f t="shared" si="8"/>
        <v>1.0138305718506817</v>
      </c>
    </row>
    <row r="189" spans="1:3" x14ac:dyDescent="0.35">
      <c r="A189" s="1">
        <f t="shared" si="6"/>
        <v>0.90000000000000069</v>
      </c>
      <c r="B189" s="1">
        <f t="shared" si="7"/>
        <v>0.93981737947953936</v>
      </c>
      <c r="C189" s="1">
        <f t="shared" si="8"/>
        <v>1.0218660104452317</v>
      </c>
    </row>
    <row r="190" spans="1:3" x14ac:dyDescent="0.35">
      <c r="A190" s="1">
        <f t="shared" si="6"/>
        <v>0.90500000000000069</v>
      </c>
      <c r="B190" s="1">
        <f t="shared" si="7"/>
        <v>0.93982933879975539</v>
      </c>
      <c r="C190" s="1">
        <f t="shared" si="8"/>
        <v>1.0299015512919696</v>
      </c>
    </row>
    <row r="191" spans="1:3" x14ac:dyDescent="0.35">
      <c r="A191" s="1">
        <f t="shared" si="6"/>
        <v>0.9100000000000007</v>
      </c>
      <c r="B191" s="1">
        <f t="shared" si="7"/>
        <v>0.93984051507889954</v>
      </c>
      <c r="C191" s="1">
        <f t="shared" si="8"/>
        <v>1.0379371876958943</v>
      </c>
    </row>
    <row r="192" spans="1:3" x14ac:dyDescent="0.35">
      <c r="A192" s="1">
        <f t="shared" si="6"/>
        <v>0.9150000000000007</v>
      </c>
      <c r="B192" s="1">
        <f t="shared" si="7"/>
        <v>0.93985095956886855</v>
      </c>
      <c r="C192" s="1">
        <f t="shared" si="8"/>
        <v>1.045972913400208</v>
      </c>
    </row>
    <row r="193" spans="1:3" x14ac:dyDescent="0.35">
      <c r="A193" s="1">
        <f t="shared" si="6"/>
        <v>0.92000000000000071</v>
      </c>
      <c r="B193" s="1">
        <f t="shared" si="7"/>
        <v>0.93986072016928346</v>
      </c>
      <c r="C193" s="1">
        <f t="shared" si="8"/>
        <v>1.0540087225576553</v>
      </c>
    </row>
    <row r="194" spans="1:3" x14ac:dyDescent="0.35">
      <c r="A194" s="1">
        <f t="shared" si="6"/>
        <v>0.92500000000000071</v>
      </c>
      <c r="B194" s="1">
        <f t="shared" si="7"/>
        <v>0.93986984164646548</v>
      </c>
      <c r="C194" s="1">
        <f t="shared" si="8"/>
        <v>1.0620446097037326</v>
      </c>
    </row>
    <row r="195" spans="1:3" x14ac:dyDescent="0.35">
      <c r="A195" s="1">
        <f t="shared" si="6"/>
        <v>0.93000000000000071</v>
      </c>
      <c r="B195" s="1">
        <f t="shared" si="7"/>
        <v>0.93987836583814499</v>
      </c>
      <c r="C195" s="1">
        <f t="shared" si="8"/>
        <v>1.0700805697316487</v>
      </c>
    </row>
    <row r="196" spans="1:3" x14ac:dyDescent="0.35">
      <c r="A196" s="1">
        <f t="shared" si="6"/>
        <v>0.93500000000000072</v>
      </c>
      <c r="B196" s="1">
        <f t="shared" si="7"/>
        <v>0.93988633184482739</v>
      </c>
      <c r="C196" s="1">
        <f t="shared" si="8"/>
        <v>1.078116597868922</v>
      </c>
    </row>
    <row r="197" spans="1:3" x14ac:dyDescent="0.35">
      <c r="A197" s="1">
        <f t="shared" si="6"/>
        <v>0.94000000000000072</v>
      </c>
      <c r="B197" s="1">
        <f t="shared" si="7"/>
        <v>0.93989377620868331</v>
      </c>
      <c r="C197" s="1">
        <f t="shared" si="8"/>
        <v>1.0861526896555063</v>
      </c>
    </row>
    <row r="198" spans="1:3" x14ac:dyDescent="0.35">
      <c r="A198" s="1">
        <f t="shared" si="6"/>
        <v>0.94500000000000073</v>
      </c>
      <c r="B198" s="1">
        <f t="shared" si="7"/>
        <v>0.93990073308077104</v>
      </c>
      <c r="C198" s="1">
        <f t="shared" si="8"/>
        <v>1.0941888409233469</v>
      </c>
    </row>
    <row r="199" spans="1:3" x14ac:dyDescent="0.35">
      <c r="A199" s="1">
        <f t="shared" si="6"/>
        <v>0.95000000000000073</v>
      </c>
      <c r="B199" s="1">
        <f t="shared" si="7"/>
        <v>0.93990723437735091</v>
      </c>
      <c r="C199" s="1">
        <f t="shared" si="8"/>
        <v>1.1022250477772733</v>
      </c>
    </row>
    <row r="200" spans="1:3" x14ac:dyDescent="0.35">
      <c r="A200" s="1">
        <f t="shared" si="6"/>
        <v>0.95500000000000074</v>
      </c>
      <c r="B200" s="1">
        <f t="shared" si="7"/>
        <v>0.93991330992599864</v>
      </c>
      <c r="C200" s="1">
        <f t="shared" si="8"/>
        <v>1.1102613065771405</v>
      </c>
    </row>
    <row r="201" spans="1:3" x14ac:dyDescent="0.35">
      <c r="A201" s="1">
        <f t="shared" si="6"/>
        <v>0.96000000000000074</v>
      </c>
      <c r="B201" s="1">
        <f t="shared" si="7"/>
        <v>0.9399189876021824</v>
      </c>
      <c r="C201" s="1">
        <f t="shared" si="8"/>
        <v>1.1182976139211391</v>
      </c>
    </row>
    <row r="202" spans="1:3" x14ac:dyDescent="0.35">
      <c r="A202" s="1">
        <f t="shared" si="6"/>
        <v>0.96500000000000075</v>
      </c>
      <c r="B202" s="1">
        <f t="shared" si="7"/>
        <v>0.93992429345692341</v>
      </c>
      <c r="C202" s="1">
        <f t="shared" si="8"/>
        <v>1.1263339666301959</v>
      </c>
    </row>
    <row r="203" spans="1:3" x14ac:dyDescent="0.35">
      <c r="A203" s="1">
        <f t="shared" ref="A203:A209" si="9">A202+$B$2</f>
        <v>0.97000000000000075</v>
      </c>
      <c r="B203" s="1">
        <f t="shared" ref="B203:B209" si="10">B202+$B$2*($B$3*B202-($B$3/$B$4)*(B202)^2)</f>
        <v>0.93992925183612042</v>
      </c>
      <c r="C203" s="1">
        <f t="shared" ref="C203:C209" si="11">C202+$B$2*($B$5*B203)</f>
        <v>1.1343703617333947</v>
      </c>
    </row>
    <row r="204" spans="1:3" x14ac:dyDescent="0.35">
      <c r="A204" s="1">
        <f t="shared" si="9"/>
        <v>0.97500000000000075</v>
      </c>
      <c r="B204" s="1">
        <f t="shared" si="10"/>
        <v>0.93993388549208079</v>
      </c>
      <c r="C204" s="1">
        <f t="shared" si="11"/>
        <v>1.1424067964543521</v>
      </c>
    </row>
    <row r="205" spans="1:3" x14ac:dyDescent="0.35">
      <c r="A205" s="1">
        <f t="shared" si="9"/>
        <v>0.98000000000000076</v>
      </c>
      <c r="B205" s="1">
        <f t="shared" si="10"/>
        <v>0.93993821568776559</v>
      </c>
      <c r="C205" s="1">
        <f t="shared" si="11"/>
        <v>1.1504432681984824</v>
      </c>
    </row>
    <row r="206" spans="1:3" x14ac:dyDescent="0.35">
      <c r="A206" s="1">
        <f t="shared" si="9"/>
        <v>0.98500000000000076</v>
      </c>
      <c r="B206" s="1">
        <f t="shared" si="10"/>
        <v>0.93994226229422417</v>
      </c>
      <c r="C206" s="1">
        <f t="shared" si="11"/>
        <v>1.158479774541098</v>
      </c>
    </row>
    <row r="207" spans="1:3" x14ac:dyDescent="0.35">
      <c r="A207" s="1">
        <f t="shared" si="9"/>
        <v>0.99000000000000077</v>
      </c>
      <c r="B207" s="1">
        <f t="shared" si="10"/>
        <v>0.93994604388166147</v>
      </c>
      <c r="C207" s="1">
        <f t="shared" si="11"/>
        <v>1.1665163132162861</v>
      </c>
    </row>
    <row r="208" spans="1:3" x14ac:dyDescent="0.35">
      <c r="A208" s="4">
        <f t="shared" si="9"/>
        <v>0.99500000000000077</v>
      </c>
      <c r="B208" s="4">
        <f t="shared" si="10"/>
        <v>0.93994957780455335</v>
      </c>
      <c r="C208" s="4">
        <f t="shared" si="11"/>
        <v>1.174552882106515</v>
      </c>
    </row>
    <row r="209" spans="1:3" x14ac:dyDescent="0.35">
      <c r="A209" s="3">
        <f t="shared" si="9"/>
        <v>1.0000000000000007</v>
      </c>
      <c r="B209" s="3">
        <f t="shared" si="10"/>
        <v>0.93995288028119861</v>
      </c>
      <c r="C209" s="3">
        <f t="shared" si="11"/>
        <v>1.1825894792329192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7218-BFDC-4907-898A-FC1C702DA69E}">
  <dimension ref="A1:G209"/>
  <sheetViews>
    <sheetView tabSelected="1" zoomScale="65" workbookViewId="0">
      <selection activeCell="H26" sqref="H26"/>
    </sheetView>
  </sheetViews>
  <sheetFormatPr defaultRowHeight="14.5" x14ac:dyDescent="0.35"/>
  <cols>
    <col min="1" max="1" width="12.1796875" customWidth="1"/>
    <col min="2" max="7" width="10.36328125" bestFit="1" customWidth="1"/>
  </cols>
  <sheetData>
    <row r="1" spans="1:7" x14ac:dyDescent="0.35">
      <c r="A1" t="s">
        <v>10</v>
      </c>
    </row>
    <row r="2" spans="1:7" x14ac:dyDescent="0.35">
      <c r="A2" t="s">
        <v>1</v>
      </c>
      <c r="B2">
        <f>0.005</f>
        <v>5.0000000000000001E-3</v>
      </c>
    </row>
    <row r="3" spans="1:7" x14ac:dyDescent="0.35">
      <c r="A3" t="s">
        <v>2</v>
      </c>
      <c r="B3">
        <v>13.1</v>
      </c>
    </row>
    <row r="4" spans="1:7" x14ac:dyDescent="0.35">
      <c r="A4" t="s">
        <v>3</v>
      </c>
      <c r="B4">
        <v>0.94</v>
      </c>
    </row>
    <row r="5" spans="1:7" x14ac:dyDescent="0.35">
      <c r="A5" t="s">
        <v>4</v>
      </c>
      <c r="B5">
        <v>1.71</v>
      </c>
    </row>
    <row r="6" spans="1:7" x14ac:dyDescent="0.35">
      <c r="A6" t="s">
        <v>8</v>
      </c>
      <c r="B6">
        <f>0.03</f>
        <v>0.03</v>
      </c>
    </row>
    <row r="7" spans="1:7" x14ac:dyDescent="0.35">
      <c r="A7" t="s">
        <v>9</v>
      </c>
      <c r="B7">
        <v>0</v>
      </c>
    </row>
    <row r="8" spans="1:7" x14ac:dyDescent="0.35">
      <c r="A8" t="s">
        <v>5</v>
      </c>
      <c r="B8" t="s">
        <v>15</v>
      </c>
      <c r="C8" t="s">
        <v>16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5">
      <c r="A9" s="1">
        <v>0</v>
      </c>
      <c r="B9" s="1">
        <f>B6</f>
        <v>0.03</v>
      </c>
      <c r="C9" s="1">
        <f>B7</f>
        <v>0</v>
      </c>
      <c r="D9" s="2"/>
      <c r="E9" s="2"/>
      <c r="F9" s="2"/>
      <c r="G9" s="2"/>
    </row>
    <row r="10" spans="1:7" x14ac:dyDescent="0.35">
      <c r="A10" s="3">
        <f>A9+$B$2</f>
        <v>5.0000000000000001E-3</v>
      </c>
      <c r="B10" s="3">
        <f>B9+0.5*(D10+F10)</f>
        <v>3.1960484474220743E-2</v>
      </c>
      <c r="C10" s="3">
        <f>C9+0.5*(E10+G10)</f>
        <v>2.6463227792553192E-4</v>
      </c>
      <c r="D10" s="3">
        <f>$B$2*(($B$3*B9)-($B$3/$B$4)*B9^2)</f>
        <v>1.9022872340425533E-3</v>
      </c>
      <c r="E10" s="3">
        <f>$B$2*($B$5*B9)</f>
        <v>2.565E-4</v>
      </c>
      <c r="F10" s="3">
        <f>$B$2*(($B$3*(B9+D10))-($B$3/$B$4)*(B9+D10)^2)</f>
        <v>2.0186817143989363E-3</v>
      </c>
      <c r="G10" s="3">
        <f>$B$2*(($B$5*(B9+D10)))</f>
        <v>2.7276455585106385E-4</v>
      </c>
    </row>
    <row r="11" spans="1:7" x14ac:dyDescent="0.35">
      <c r="A11" s="1">
        <f t="shared" ref="A11:A74" si="0">A10+$B$2</f>
        <v>0.01</v>
      </c>
      <c r="B11" s="1">
        <f>B10+0.5*(D11+F11)</f>
        <v>3.4044301251944555E-2</v>
      </c>
      <c r="C11" s="1">
        <f>C10+0.5*(E11+G11)</f>
        <v>5.465394733310861E-4</v>
      </c>
      <c r="D11" s="1">
        <f>$B$2*(($B$3*B10)-($B$3/$B$4)*B10^2)</f>
        <v>2.0222346551969244E-3</v>
      </c>
      <c r="E11" s="1">
        <f>$B$2*($B$5*B10)</f>
        <v>2.7326214225458737E-4</v>
      </c>
      <c r="F11" s="1">
        <f>$B$2*(($B$3*(B10+D11))-($B$3/$B$4)*(B10+D11)^2)</f>
        <v>2.1453989002506954E-3</v>
      </c>
      <c r="G11" s="1">
        <f>$B$2*(($B$5*(B10+D11)))</f>
        <v>2.9055224855652103E-4</v>
      </c>
    </row>
    <row r="12" spans="1:7" x14ac:dyDescent="0.35">
      <c r="A12" s="1">
        <f t="shared" si="0"/>
        <v>1.4999999999999999E-2</v>
      </c>
      <c r="B12" s="1">
        <f>B11+0.5*(D12+F12)</f>
        <v>3.625856703645837E-2</v>
      </c>
      <c r="C12" s="1">
        <f>C11+0.5*(E12+G12)</f>
        <v>8.4680582518096268E-4</v>
      </c>
      <c r="D12" s="1">
        <f>$B$2*(($B$3*B11)-($B$3/$B$4)*B11^2)</f>
        <v>2.1491406188890471E-3</v>
      </c>
      <c r="E12" s="1">
        <f>$B$2*($B$5*B11)</f>
        <v>2.9107877570412594E-4</v>
      </c>
      <c r="F12" s="1">
        <f>$B$2*(($B$3*(B11+D12))-($B$3/$B$4)*(B11+D12)^2)</f>
        <v>2.279390950138579E-3</v>
      </c>
      <c r="G12" s="1">
        <f>$B$2*(($B$5*(B11+D12)))</f>
        <v>3.0945392799562729E-4</v>
      </c>
    </row>
    <row r="13" spans="1:7" x14ac:dyDescent="0.35">
      <c r="A13" s="1">
        <f t="shared" si="0"/>
        <v>0.02</v>
      </c>
      <c r="B13" s="1">
        <f>B12+0.5*(D13+F13)</f>
        <v>3.8610723352005917E-2</v>
      </c>
      <c r="C13" s="1">
        <f>C12+0.5*(E13+G13)</f>
        <v>1.1665777999567478E-3</v>
      </c>
      <c r="D13" s="1">
        <f>$B$2*(($B$3*B12)-($B$3/$B$4)*B12^2)</f>
        <v>2.2833278629394104E-3</v>
      </c>
      <c r="E13" s="1">
        <f>$B$2*($B$5*B12)</f>
        <v>3.1001074816171904E-4</v>
      </c>
      <c r="F13" s="1">
        <f>$B$2*(($B$3*(B12+D13))-($B$3/$B$4)*(B12+D13)^2)</f>
        <v>2.4209847681556898E-3</v>
      </c>
      <c r="G13" s="1">
        <f>$B$2*(($B$5*(B12+D13)))</f>
        <v>3.2953320138985105E-4</v>
      </c>
    </row>
    <row r="14" spans="1:7" x14ac:dyDescent="0.35">
      <c r="A14" s="1">
        <f t="shared" si="0"/>
        <v>2.5000000000000001E-2</v>
      </c>
      <c r="B14" s="1">
        <f>B13+0.5*(D14+F14)</f>
        <v>4.1108539613097711E-2</v>
      </c>
      <c r="C14" s="1">
        <f>C13+0.5*(E14+G14)</f>
        <v>1.5070668854666363E-3</v>
      </c>
      <c r="D14" s="1">
        <f>$B$2*(($B$3*B13)-($B$3/$B$4)*B13^2)</f>
        <v>2.4251230059036044E-3</v>
      </c>
      <c r="E14" s="1">
        <f>$B$2*($B$5*B13)</f>
        <v>3.3012168465965059E-4</v>
      </c>
      <c r="F14" s="1">
        <f>$B$2*(($B$3*(B13+D14))-($B$3/$B$4)*(B13+D14)^2)</f>
        <v>2.5705095162799861E-3</v>
      </c>
      <c r="G14" s="1">
        <f>$B$2*(($B$5*(B13+D14)))</f>
        <v>3.5085648636012641E-4</v>
      </c>
    </row>
    <row r="15" spans="1:7" x14ac:dyDescent="0.35">
      <c r="A15" s="1">
        <f t="shared" si="0"/>
        <v>3.0000000000000002E-2</v>
      </c>
      <c r="B15" s="1">
        <f>B14+0.5*(D15+F15)</f>
        <v>4.3760114342380488E-2</v>
      </c>
      <c r="C15" s="1">
        <f>C14+0.5*(E15+G15)</f>
        <v>1.869552403583572E-3</v>
      </c>
      <c r="D15" s="1">
        <f>$B$2*(($B$3*B14)-($B$3/$B$4)*B14^2)</f>
        <v>2.5748548362457021E-3</v>
      </c>
      <c r="E15" s="1">
        <f>$B$2*($B$5*B14)</f>
        <v>3.5147801369198538E-4</v>
      </c>
      <c r="F15" s="1">
        <f>$B$2*(($B$3*(B14+D15))-($B$3/$B$4)*(B14+D15)^2)</f>
        <v>2.7282946223198563E-3</v>
      </c>
      <c r="G15" s="1">
        <f>$B$2*(($B$5*(B14+D15)))</f>
        <v>3.7349302254188619E-4</v>
      </c>
    </row>
    <row r="16" spans="1:7" x14ac:dyDescent="0.35">
      <c r="A16" s="1">
        <f t="shared" si="0"/>
        <v>3.5000000000000003E-2</v>
      </c>
      <c r="B16" s="1">
        <f>B15+0.5*(D16+F16)</f>
        <v>4.6573874232801557E-2</v>
      </c>
      <c r="C16" s="1">
        <f>C15+0.5*(E16+G16)</f>
        <v>2.2553843248379257E-3</v>
      </c>
      <c r="D16" s="1">
        <f>$B$2*(($B$3*B15)-($B$3/$B$4)*B15^2)</f>
        <v>2.7328523104095249E-3</v>
      </c>
      <c r="E16" s="1">
        <f>$B$2*($B$5*B15)</f>
        <v>3.7414897762735313E-4</v>
      </c>
      <c r="F16" s="1">
        <f>$B$2*(($B$3*(B15+D16))-($B$3/$B$4)*(B15+D16)^2)</f>
        <v>2.8946674704326152E-3</v>
      </c>
      <c r="G16" s="1">
        <f>$B$2*(($B$5*(B15+D16)))</f>
        <v>3.9751486488135459E-4</v>
      </c>
    </row>
    <row r="17" spans="1:7" x14ac:dyDescent="0.35">
      <c r="A17" s="1">
        <f t="shared" si="0"/>
        <v>0.04</v>
      </c>
      <c r="B17" s="1">
        <f>B16+0.5*(D17+F17)</f>
        <v>4.9558570723074589E-2</v>
      </c>
      <c r="C17" s="1">
        <f>C16+0.5*(E17+G17)</f>
        <v>2.6659860650751119E-3</v>
      </c>
      <c r="D17" s="1">
        <f>$B$2*(($B$3*B16)-($B$3/$B$4)*B16^2)</f>
        <v>2.8994422331538637E-3</v>
      </c>
      <c r="E17" s="1">
        <f>$B$2*($B$5*B16)</f>
        <v>3.982066246904533E-4</v>
      </c>
      <c r="F17" s="1">
        <f>$B$2*(($B$3*(B16+D17))-($B$3/$B$4)*(B16+D17)^2)</f>
        <v>3.0699507473921995E-3</v>
      </c>
      <c r="G17" s="1">
        <f>$B$2*(($B$5*(B16+D17)))</f>
        <v>4.2299685578391885E-4</v>
      </c>
    </row>
    <row r="18" spans="1:7" x14ac:dyDescent="0.35">
      <c r="A18" s="1">
        <f t="shared" si="0"/>
        <v>4.4999999999999998E-2</v>
      </c>
      <c r="B18" s="1">
        <f>B17+0.5*(D18+F18)</f>
        <v>5.272327372894766E-2</v>
      </c>
      <c r="C18" s="1">
        <f>C17+0.5*(E18+G18)</f>
        <v>3.1028572414445042E-3</v>
      </c>
      <c r="D18" s="1">
        <f>$B$2*(($B$3*B17)-($B$3/$B$4)*B17^2)</f>
        <v>3.0749465934747193E-3</v>
      </c>
      <c r="E18" s="1">
        <f>$B$2*($B$5*B17)</f>
        <v>4.2372577968228777E-4</v>
      </c>
      <c r="F18" s="1">
        <f>$B$2*(($B$3*(B17+D18))-($B$3/$B$4)*(B17+D18)^2)</f>
        <v>3.2544594182714231E-3</v>
      </c>
      <c r="G18" s="1">
        <f>$B$2*(($B$5*(B17+D18)))</f>
        <v>4.5001657305649654E-4</v>
      </c>
    </row>
    <row r="19" spans="1:7" x14ac:dyDescent="0.35">
      <c r="A19" s="1">
        <f t="shared" si="0"/>
        <v>4.9999999999999996E-2</v>
      </c>
      <c r="B19" s="1">
        <f>B18+0.5*(D19+F19)</f>
        <v>5.6077362147128454E-2</v>
      </c>
      <c r="C19" s="1">
        <f>C18+0.5*(E19+G19)</f>
        <v>3.5675763618176187E-3</v>
      </c>
      <c r="D19" s="1">
        <f>$B$2*(($B$3*B18)-($B$3/$B$4)*B18^2)</f>
        <v>3.2596795299676788E-3</v>
      </c>
      <c r="E19" s="1">
        <f>$B$2*($B$5*B18)</f>
        <v>4.5078399038250247E-4</v>
      </c>
      <c r="F19" s="1">
        <f>$B$2*(($B$3*(B18+D19))-($B$3/$B$4)*(B18+D19)^2)</f>
        <v>3.4484973063939133E-3</v>
      </c>
      <c r="G19" s="1">
        <f>$B$2*(($B$5*(B18+D19)))</f>
        <v>4.7865425036372613E-4</v>
      </c>
    </row>
    <row r="20" spans="1:7" x14ac:dyDescent="0.35">
      <c r="A20" s="1">
        <f t="shared" si="0"/>
        <v>5.4999999999999993E-2</v>
      </c>
      <c r="B20" s="1">
        <f>B19+0.5*(D20+F20)</f>
        <v>5.9630510724712413E-2</v>
      </c>
      <c r="C20" s="1">
        <f>C19+0.5*(E20+G20)</f>
        <v>4.0618034183511429E-3</v>
      </c>
      <c r="D20" s="1">
        <f>$B$2*(($B$3*B19)-($B$3/$B$4)*B19^2)</f>
        <v>3.453943900719464E-3</v>
      </c>
      <c r="E20" s="1">
        <f>$B$2*($B$5*B19)</f>
        <v>4.7946144635794831E-4</v>
      </c>
      <c r="F20" s="1">
        <f>$B$2*(($B$3*(B19+D20))-($B$3/$B$4)*(B19+D20)^2)</f>
        <v>3.6523532544484576E-3</v>
      </c>
      <c r="G20" s="1">
        <f>$B$2*(($B$5*(B19+D20)))</f>
        <v>5.0899266670909971E-4</v>
      </c>
    </row>
    <row r="21" spans="1:7" x14ac:dyDescent="0.35">
      <c r="A21" s="1">
        <f t="shared" si="0"/>
        <v>5.9999999999999991E-2</v>
      </c>
      <c r="B21" s="1">
        <f>B20+0.5*(D21+F21)</f>
        <v>6.3392672865517613E-2</v>
      </c>
      <c r="C21" s="1">
        <f>C20+0.5*(E21+G21)</f>
        <v>4.5872823523316593E-3</v>
      </c>
      <c r="D21" s="1">
        <f>$B$2*(($B$3*B20)-($B$3/$B$4)*B20^2)</f>
        <v>3.6580274349064315E-3</v>
      </c>
      <c r="E21" s="1">
        <f>$B$2*($B$5*B20)</f>
        <v>5.0984086669629114E-4</v>
      </c>
      <c r="F21" s="1">
        <f>$B$2*(($B$3*(B20+D21))-($B$3/$B$4)*(B20+D21)^2)</f>
        <v>3.8662968467039812E-3</v>
      </c>
      <c r="G21" s="1">
        <f>$B$2*(($B$5*(B20+D21)))</f>
        <v>5.4111700126474116E-4</v>
      </c>
    </row>
    <row r="22" spans="1:7" x14ac:dyDescent="0.35">
      <c r="A22" s="1">
        <f t="shared" si="0"/>
        <v>6.4999999999999988E-2</v>
      </c>
      <c r="B22" s="1">
        <f>B21+0.5*(D22+F22)</f>
        <v>6.7374058926950559E-2</v>
      </c>
      <c r="C22" s="1">
        <f>C21+0.5*(E22+G22)</f>
        <v>5.1458433536901048E-3</v>
      </c>
      <c r="D22" s="1">
        <f>$B$2*(($B$3*B21)-($B$3/$B$4)*B21^2)</f>
        <v>3.8721984463788912E-3</v>
      </c>
      <c r="E22" s="1">
        <f>$B$2*($B$5*B21)</f>
        <v>5.4200735300017559E-4</v>
      </c>
      <c r="F22" s="1">
        <f>$B$2*(($B$3*(B21+D22))-($B$3/$B$4)*(B21+D22)^2)</f>
        <v>4.0905736764869942E-3</v>
      </c>
      <c r="G22" s="1">
        <f>$B$2*(($B$5*(B21+D22)))</f>
        <v>5.7511464971671505E-4</v>
      </c>
    </row>
    <row r="23" spans="1:7" x14ac:dyDescent="0.35">
      <c r="A23" s="1">
        <f t="shared" si="0"/>
        <v>6.9999999999999993E-2</v>
      </c>
      <c r="B23" s="1">
        <f>B22+0.5*(D23+F23)</f>
        <v>7.1585109548177761E-2</v>
      </c>
      <c r="C23" s="1">
        <f>C22+0.5*(E23+G23)</f>
        <v>5.739404954691496E-3</v>
      </c>
      <c r="D23" s="1">
        <f>$B$2*(($B$3*B22)-($B$3/$B$4)*B22^2)</f>
        <v>4.0967010937927725E-3</v>
      </c>
      <c r="E23" s="1">
        <f>$B$2*($B$5*B22)</f>
        <v>5.7604820382542725E-4</v>
      </c>
      <c r="F23" s="1">
        <f>$B$2*(($B$3*(B22+D23))-($B$3/$B$4)*(B22+D23)^2)</f>
        <v>4.3254001486616178E-3</v>
      </c>
      <c r="G23" s="1">
        <f>$B$2*(($B$5*(B22+D23)))</f>
        <v>6.1107499817735552E-4</v>
      </c>
    </row>
    <row r="24" spans="1:7" x14ac:dyDescent="0.35">
      <c r="A24" s="1">
        <f t="shared" si="0"/>
        <v>7.4999999999999997E-2</v>
      </c>
      <c r="B24" s="1">
        <f>B23+0.5*(D24+F24)</f>
        <v>7.6036463543903712E-2</v>
      </c>
      <c r="C24" s="1">
        <f>C23+0.5*(E24+G24)</f>
        <v>6.3699758733371838E-3</v>
      </c>
      <c r="D24" s="1">
        <f>$B$2*(($B$3*B23)-($B$3/$B$4)*B23^2)</f>
        <v>4.331750177489567E-3</v>
      </c>
      <c r="E24" s="1">
        <f>$B$2*($B$5*B23)</f>
        <v>6.1205268663691982E-4</v>
      </c>
      <c r="F24" s="1">
        <f>$B$2*(($B$3*(B23+D24))-($B$3/$B$4)*(B23+D24)^2)</f>
        <v>4.5709578139623433E-3</v>
      </c>
      <c r="G24" s="1">
        <f>$B$2*(($B$5*(B23+D24)))</f>
        <v>6.4908915065445565E-4</v>
      </c>
    </row>
    <row r="25" spans="1:7" x14ac:dyDescent="0.35">
      <c r="A25" s="1">
        <f t="shared" si="0"/>
        <v>0.08</v>
      </c>
      <c r="B25" s="1">
        <f>B24+0.5*(D25+F25)</f>
        <v>8.0738919899572978E-2</v>
      </c>
      <c r="C25" s="1">
        <f>C24+0.5*(E25+G25)</f>
        <v>7.0396565580239335E-3</v>
      </c>
      <c r="D25" s="1">
        <f>$B$2*(($B$3*B24)-($B$3/$B$4)*B24^2)</f>
        <v>4.5775254704967005E-3</v>
      </c>
      <c r="E25" s="1">
        <f>$B$2*($B$5*B24)</f>
        <v>6.5011176330037666E-4</v>
      </c>
      <c r="F25" s="1">
        <f>$B$2*(($B$3*(B24+D25))-($B$3/$B$4)*(B24+D25)^2)</f>
        <v>4.8273872408418341E-3</v>
      </c>
      <c r="G25" s="1">
        <f>$B$2*(($B$5*(B24+D25)))</f>
        <v>6.8924960607312351E-4</v>
      </c>
    </row>
    <row r="26" spans="1:7" x14ac:dyDescent="0.35">
      <c r="A26" s="1">
        <f t="shared" si="0"/>
        <v>8.5000000000000006E-2</v>
      </c>
      <c r="B26" s="1">
        <f>B25+0.5*(D26+F26)</f>
        <v>8.5703393415100512E-2</v>
      </c>
      <c r="C26" s="1">
        <f>C25+0.5*(E26+G26)</f>
        <v>7.7506403810620669E-3</v>
      </c>
      <c r="D26" s="1">
        <f>$B$2*(($B$3*B25)-($B$3/$B$4)*B25^2)</f>
        <v>4.8341655898911763E-3</v>
      </c>
      <c r="E26" s="1">
        <f>$B$2*($B$5*B25)</f>
        <v>6.903177651413489E-4</v>
      </c>
      <c r="F26" s="1">
        <f>$B$2*(($B$3*(B25+D26))-($B$3/$B$4)*(B25+D26)^2)</f>
        <v>5.0947814411638828E-3</v>
      </c>
      <c r="G26" s="1">
        <f>$B$2*(($B$5*(B25+D26)))</f>
        <v>7.3164988093491856E-4</v>
      </c>
    </row>
    <row r="27" spans="1:7" x14ac:dyDescent="0.35">
      <c r="A27" s="1">
        <f t="shared" si="0"/>
        <v>9.0000000000000011E-2</v>
      </c>
      <c r="B27" s="1">
        <f>B26+0.5*(D27+F27)</f>
        <v>9.094086356720528E-2</v>
      </c>
      <c r="C27" s="1">
        <f>C26+0.5*(E27+G27)</f>
        <v>8.5052144248551446E-3</v>
      </c>
      <c r="D27" s="1">
        <f>$B$2*(($B$3*B26)-($B$3/$B$4)*B26^2)</f>
        <v>5.1017614254895531E-3</v>
      </c>
      <c r="E27" s="1">
        <f>$B$2*($B$5*B26)</f>
        <v>7.3276401369910945E-4</v>
      </c>
      <c r="F27" s="1">
        <f>$B$2*(($B$3*(B26+D27))-($B$3/$B$4)*(B26+D27)^2)</f>
        <v>5.3731788787199876E-3</v>
      </c>
      <c r="G27" s="1">
        <f>$B$2*(($B$5*(B26+D27)))</f>
        <v>7.7638407388704511E-4</v>
      </c>
    </row>
    <row r="28" spans="1:7" x14ac:dyDescent="0.35">
      <c r="A28" s="1">
        <f t="shared" si="0"/>
        <v>9.5000000000000015E-2</v>
      </c>
      <c r="B28" s="1">
        <f>B27+0.5*(D28+F28)</f>
        <v>9.6462316197093792E-2</v>
      </c>
      <c r="C28" s="1">
        <f>C27+0.5*(E28+G28)</f>
        <v>9.3057598009945904E-3</v>
      </c>
      <c r="D28" s="1">
        <f>$B$2*(($B$3*B27)-($B$3/$B$4)*B27^2)</f>
        <v>5.3803491555180494E-3</v>
      </c>
      <c r="E28" s="1">
        <f>$B$2*($B$5*B27)</f>
        <v>7.7754438349960514E-4</v>
      </c>
      <c r="F28" s="1">
        <f>$B$2*(($B$3*(B27+D28))-($B$3/$B$4)*(B27+D28)^2)</f>
        <v>5.6625561042589782E-3</v>
      </c>
      <c r="G28" s="1">
        <f>$B$2*(($B$5*(B27+D28)))</f>
        <v>8.2354636877928454E-4</v>
      </c>
    </row>
    <row r="29" spans="1:7" x14ac:dyDescent="0.35">
      <c r="A29" s="1">
        <f t="shared" si="0"/>
        <v>0.10000000000000002</v>
      </c>
      <c r="B29" s="1">
        <f>B28+0.5*(D29+F29)</f>
        <v>0.10227867768267788</v>
      </c>
      <c r="C29" s="1">
        <f>C28+0.5*(E29+G29)</f>
        <v>1.0154751439350114E-2</v>
      </c>
      <c r="D29" s="1">
        <f>$B$2*(($B$3*B28)-($B$3/$B$4)*B28^2)</f>
        <v>5.6699028936542384E-3</v>
      </c>
      <c r="E29" s="1">
        <f>$B$2*($B$5*B28)</f>
        <v>8.2475280348515189E-4</v>
      </c>
      <c r="F29" s="1">
        <f>$B$2*(($B$3*(B28+D29))-($B$3/$B$4)*(B28+D29)^2)</f>
        <v>5.9628200775139577E-3</v>
      </c>
      <c r="G29" s="1">
        <f>$B$2*(($B$5*(B28+D29)))</f>
        <v>8.7323047322589566E-4</v>
      </c>
    </row>
    <row r="30" spans="1:7" x14ac:dyDescent="0.35">
      <c r="A30" s="1">
        <f t="shared" si="0"/>
        <v>0.10500000000000002</v>
      </c>
      <c r="B30" s="1">
        <f>B29+0.5*(D30+F30)</f>
        <v>0.10840074132476044</v>
      </c>
      <c r="C30" s="1">
        <f>C29+0.5*(E30+G30)</f>
        <v>1.1054757281584414E-2</v>
      </c>
      <c r="D30" s="1">
        <f>$B$2*(($B$3*B29)-($B$3/$B$4)*B29^2)</f>
        <v>5.9703270286325608E-3</v>
      </c>
      <c r="E30" s="1">
        <f>$B$2*($B$5*B29)</f>
        <v>8.7448269418689589E-4</v>
      </c>
      <c r="F30" s="1">
        <f>$B$2*(($B$3*(B29+D30))-($B$3/$B$4)*(B29+D30)^2)</f>
        <v>6.2738002555325365E-3</v>
      </c>
      <c r="G30" s="1">
        <f>$B$2*(($B$5*(B29+D30)))</f>
        <v>9.255289902817043E-4</v>
      </c>
    </row>
    <row r="31" spans="1:7" x14ac:dyDescent="0.35">
      <c r="A31" s="1">
        <f t="shared" si="0"/>
        <v>0.11000000000000003</v>
      </c>
      <c r="B31" s="1">
        <f>B30+0.5*(D31+F31)</f>
        <v>0.11483908576661706</v>
      </c>
      <c r="C31" s="1">
        <f>C30+0.5*(E31+G31)</f>
        <v>1.200843681154925E-2</v>
      </c>
      <c r="D31" s="1">
        <f>$B$2*(($B$3*B30)-($B$3/$B$4)*B30^2)</f>
        <v>6.2814483364057195E-3</v>
      </c>
      <c r="E31" s="1">
        <f>$B$2*($B$5*B30)</f>
        <v>9.2682633832670168E-4</v>
      </c>
      <c r="F31" s="1">
        <f>$B$2*(($B$3*(B30+D31))-($B$3/$B$4)*(B30+D31)^2)</f>
        <v>6.5952405473075331E-3</v>
      </c>
      <c r="G31" s="1">
        <f>$B$2*(($B$5*(B30+D31)))</f>
        <v>9.8053272160297062E-4</v>
      </c>
    </row>
    <row r="32" spans="1:7" x14ac:dyDescent="0.35">
      <c r="A32" s="1">
        <f t="shared" si="0"/>
        <v>0.11500000000000003</v>
      </c>
      <c r="B32" s="1">
        <f>B31+0.5*(D32+F32)</f>
        <v>0.12160398537785522</v>
      </c>
      <c r="C32" s="1">
        <f>C31+0.5*(E32+G32)</f>
        <v>1.3018538853906291E-2</v>
      </c>
      <c r="D32" s="1">
        <f>$B$2*(($B$3*B31)-($B$3/$B$4)*B31^2)</f>
        <v>6.6030079654887741E-3</v>
      </c>
      <c r="E32" s="1">
        <f>$B$2*($B$5*B31)</f>
        <v>9.8187418330457571E-4</v>
      </c>
      <c r="F32" s="1">
        <f>$B$2*(($B$3*(B31+D32))-($B$3/$B$4)*(B31+D32)^2)</f>
        <v>6.9267912569875465E-3</v>
      </c>
      <c r="G32" s="1">
        <f>$B$2*(($B$5*(B31+D32)))</f>
        <v>1.0383299014095049E-3</v>
      </c>
    </row>
    <row r="33" spans="1:7" x14ac:dyDescent="0.35">
      <c r="A33" s="1">
        <f t="shared" si="0"/>
        <v>0.12000000000000004</v>
      </c>
      <c r="B33" s="1">
        <f>B32+0.5*(D33+F33)</f>
        <v>0.12870531266770335</v>
      </c>
      <c r="C33" s="1">
        <f>C32+0.5*(E33+G33)</f>
        <v>1.4087898572250172E-2</v>
      </c>
      <c r="D33" s="1">
        <f>$B$2*(($B$3*B32)-($B$3/$B$4)*B32^2)</f>
        <v>6.9346534182969264E-3</v>
      </c>
      <c r="E33" s="1">
        <f>$B$2*($B$5*B32)</f>
        <v>1.0397140749806623E-3</v>
      </c>
      <c r="F33" s="1">
        <f>$B$2*(($B$3*(B32+D33))-($B$3/$B$4)*(B32+D33)^2)</f>
        <v>7.2680011613993666E-3</v>
      </c>
      <c r="G33" s="1">
        <f>$B$2*(($B$5*(B32+D33)))</f>
        <v>1.099005361707101E-3</v>
      </c>
    </row>
    <row r="34" spans="1:7" x14ac:dyDescent="0.35">
      <c r="A34" s="1">
        <f t="shared" si="0"/>
        <v>0.12500000000000003</v>
      </c>
      <c r="B34" s="1">
        <f>B33+0.5*(D34+F34)</f>
        <v>0.13615243295082743</v>
      </c>
      <c r="C34" s="1">
        <f>C33+0.5*(E34+G34)</f>
        <v>1.5219433599192924E-2</v>
      </c>
      <c r="D34" s="1">
        <f>$B$2*(($B$3*B33)-($B$3/$B$4)*B33^2)</f>
        <v>7.2759306745937401E-3</v>
      </c>
      <c r="E34" s="1">
        <f>$B$2*($B$5*B33)</f>
        <v>1.1004304233088638E-3</v>
      </c>
      <c r="F34" s="1">
        <f>$B$2*(($B$3*(B33+D34))-($B$3/$B$4)*(B33+D34)^2)</f>
        <v>7.6183098916544336E-3</v>
      </c>
      <c r="G34" s="1">
        <f>$B$2*(($B$5*(B33+D34)))</f>
        <v>1.16263963057664E-3</v>
      </c>
    </row>
    <row r="35" spans="1:7" x14ac:dyDescent="0.35">
      <c r="A35" s="1">
        <f t="shared" si="0"/>
        <v>0.13000000000000003</v>
      </c>
      <c r="B35" s="1">
        <f>B34+0.5*(D35+F35)</f>
        <v>0.14395409167057063</v>
      </c>
      <c r="C35" s="1">
        <f>C34+0.5*(E35+G35)</f>
        <v>1.6416139233502946E-2</v>
      </c>
      <c r="D35" s="1">
        <f>$B$2*(($B$3*B34)-($B$3/$B$4)*B34^2)</f>
        <v>7.6262766270056475E-3</v>
      </c>
      <c r="E35" s="1">
        <f>$B$2*($B$5*B34)</f>
        <v>1.1641033017295746E-3</v>
      </c>
      <c r="F35" s="1">
        <f>$B$2*(($B$3*(B34+D35))-($B$3/$B$4)*(B34+D35)^2)</f>
        <v>7.9770408124807488E-3</v>
      </c>
      <c r="G35" s="1">
        <f>$B$2*(($B$5*(B34+D35)))</f>
        <v>1.2293079668904729E-3</v>
      </c>
    </row>
    <row r="36" spans="1:7" x14ac:dyDescent="0.35">
      <c r="A36" s="1">
        <f t="shared" si="0"/>
        <v>0.13500000000000004</v>
      </c>
      <c r="B36" s="1">
        <f>B35+0.5*(D36+F36)</f>
        <v>0.15211829498949175</v>
      </c>
      <c r="C36" s="1">
        <f>C35+0.5*(E36+G36)</f>
        <v>1.7681082643681088E-2</v>
      </c>
      <c r="D36" s="1">
        <f>$B$2*(($B$3*B35)-($B$3/$B$4)*B35^2)</f>
        <v>7.9850120221672816E-3</v>
      </c>
      <c r="E36" s="1">
        <f>$B$2*($B$5*B35)</f>
        <v>1.230807483783379E-3</v>
      </c>
      <c r="F36" s="1">
        <f>$B$2*(($B$3*(B35+D36))-($B$3/$B$4)*(B35+D36)^2)</f>
        <v>8.3433946156749785E-3</v>
      </c>
      <c r="G36" s="1">
        <f>$B$2*(($B$5*(B35+D36)))</f>
        <v>1.2990793365729092E-3</v>
      </c>
    </row>
    <row r="37" spans="1:7" x14ac:dyDescent="0.35">
      <c r="A37" s="1">
        <f t="shared" si="0"/>
        <v>0.14000000000000004</v>
      </c>
      <c r="B37" s="1">
        <f>B36+0.5*(D37+F37)</f>
        <v>0.16065218448352789</v>
      </c>
      <c r="C37" s="1">
        <f>C36+0.5*(E37+G37)</f>
        <v>1.9017396023494181E-2</v>
      </c>
      <c r="D37" s="1">
        <f>$B$2*(($B$3*B36)-($B$3/$B$4)*B36^2)</f>
        <v>8.3513351234942544E-3</v>
      </c>
      <c r="E37" s="1">
        <f>$B$2*($B$5*B36)</f>
        <v>1.3006114221601544E-3</v>
      </c>
      <c r="F37" s="1">
        <f>$B$2*(($B$3*(B36+D37))-($B$3/$B$4)*(B36+D37)^2)</f>
        <v>8.7164438645780246E-3</v>
      </c>
      <c r="G37" s="1">
        <f>$B$2*(($B$5*(B36+D37)))</f>
        <v>1.3720153374660305E-3</v>
      </c>
    </row>
    <row r="38" spans="1:7" x14ac:dyDescent="0.35">
      <c r="A38" s="1">
        <f t="shared" si="0"/>
        <v>0.14500000000000005</v>
      </c>
      <c r="B38" s="1">
        <f>B37+0.5*(D38+F38)</f>
        <v>0.16956190702110113</v>
      </c>
      <c r="C38" s="1">
        <f>C37+0.5*(E38+G38)</f>
        <v>2.0428268653146394E-2</v>
      </c>
      <c r="D38" s="1">
        <f>$B$2*(($B$3*B37)-($B$3/$B$4)*B37^2)</f>
        <v>8.7243163317071611E-3</v>
      </c>
      <c r="E38" s="1">
        <f>$B$2*($B$5*B37)</f>
        <v>1.3735761773341635E-3</v>
      </c>
      <c r="F38" s="1">
        <f>$B$2*(($B$3*(B37+D38))-($B$3/$B$4)*(B37+D38)^2)</f>
        <v>9.0951287434393093E-3</v>
      </c>
      <c r="G38" s="1">
        <f>$B$2*(($B$5*(B37+D38)))</f>
        <v>1.4481690819702598E-3</v>
      </c>
    </row>
    <row r="39" spans="1:7" x14ac:dyDescent="0.35">
      <c r="A39" s="1">
        <f t="shared" si="0"/>
        <v>0.15000000000000005</v>
      </c>
      <c r="B39" s="1">
        <f>B38+0.5*(D39+F39)</f>
        <v>0.17885248116773211</v>
      </c>
      <c r="C39" s="1">
        <f>C38+0.5*(E39+G39)</f>
        <v>2.1916937830094171E-2</v>
      </c>
      <c r="D39" s="1">
        <f>$B$2*(($B$3*B38)-($B$3/$B$4)*B38^2)</f>
        <v>9.1028940157571962E-3</v>
      </c>
      <c r="E39" s="1">
        <f>$B$2*($B$5*B38)</f>
        <v>1.4497543050304147E-3</v>
      </c>
      <c r="F39" s="1">
        <f>$B$2*(($B$3*(B38+D39))-($B$3/$B$4)*(B38+D39)^2)</f>
        <v>9.4782542775047728E-3</v>
      </c>
      <c r="G39" s="1">
        <f>$B$2*(($B$5*(B38+D39)))</f>
        <v>1.5275840488651387E-3</v>
      </c>
    </row>
    <row r="40" spans="1:7" x14ac:dyDescent="0.35">
      <c r="A40" s="1">
        <f t="shared" si="0"/>
        <v>0.15500000000000005</v>
      </c>
      <c r="B40" s="1">
        <f>B39+0.5*(D40+F40)</f>
        <v>0.18852766172442731</v>
      </c>
      <c r="C40" s="1">
        <f>C39+0.5*(E40+G40)</f>
        <v>2.3486678646101489E-2</v>
      </c>
      <c r="D40" s="1">
        <f>$B$2*(($B$3*B39)-($B$3/$B$4)*B39^2)</f>
        <v>9.4858718182945015E-3</v>
      </c>
      <c r="E40" s="1">
        <f>$B$2*($B$5*B39)</f>
        <v>1.5291887139841096E-3</v>
      </c>
      <c r="F40" s="1">
        <f>$B$2*(($B$3*(B39+D40))-($B$3/$B$4)*(B39+D40)^2)</f>
        <v>9.8644892950958685E-3</v>
      </c>
      <c r="G40" s="1">
        <f>$B$2*(($B$5*(B39+D40)))</f>
        <v>1.6102929180305276E-3</v>
      </c>
    </row>
    <row r="41" spans="1:7" x14ac:dyDescent="0.35">
      <c r="A41" s="1">
        <f t="shared" si="0"/>
        <v>0.16000000000000006</v>
      </c>
      <c r="B41" s="1">
        <f>B40+0.5*(D41+F41)</f>
        <v>0.19858980427693199</v>
      </c>
      <c r="C41" s="1">
        <f>C40+0.5*(E41+G41)</f>
        <v>2.5140792602033134E-2</v>
      </c>
      <c r="D41" s="1">
        <f>$B$2*(($B$3*B40)-($B$3/$B$4)*B40^2)</f>
        <v>9.8719177047469596E-3</v>
      </c>
      <c r="E41" s="1">
        <f>$B$2*($B$5*B40)</f>
        <v>1.6119115077438534E-3</v>
      </c>
      <c r="F41" s="1">
        <f>$B$2*(($B$3*(B40+D41))-($B$3/$B$4)*(B40+D41)^2)</f>
        <v>1.0252367400262408E-2</v>
      </c>
      <c r="G41" s="1">
        <f>$B$2*(($B$5*(B40+D41)))</f>
        <v>1.6963164041194402E-3</v>
      </c>
    </row>
    <row r="42" spans="1:7" x14ac:dyDescent="0.35">
      <c r="A42" s="1">
        <f t="shared" si="0"/>
        <v>0.16500000000000006</v>
      </c>
      <c r="B42" s="1">
        <f>B41+0.5*(D42+F42)</f>
        <v>0.20903973189400488</v>
      </c>
      <c r="C42" s="1">
        <f>C41+0.5*(E42+G42)</f>
        <v>2.6882595069069454E-2</v>
      </c>
      <c r="D42" s="1">
        <f>$B$2*(($B$3*B41)-($B$3/$B$4)*B41^2)</f>
        <v>1.0259565021883582E-2</v>
      </c>
      <c r="E42" s="1">
        <f>$B$2*($B$5*B41)</f>
        <v>1.6979428265677685E-3</v>
      </c>
      <c r="F42" s="1">
        <f>$B$2*(($B$3*(B41+D42))-($B$3/$B$4)*(B41+D42)^2)</f>
        <v>1.0640290212262201E-2</v>
      </c>
      <c r="G42" s="1">
        <f>$B$2*(($B$5*(B41+D42)))</f>
        <v>1.7856621075048732E-3</v>
      </c>
    </row>
    <row r="43" spans="1:7" x14ac:dyDescent="0.35">
      <c r="A43" s="1">
        <f t="shared" si="0"/>
        <v>0.17000000000000007</v>
      </c>
      <c r="B43" s="1">
        <f>B42+0.5*(D43+F43)</f>
        <v>0.21987660635585216</v>
      </c>
      <c r="C43" s="1">
        <f>C42+0.5*(E43+G43)</f>
        <v>2.8715401624389094E-2</v>
      </c>
      <c r="D43" s="1">
        <f>$B$2*(($B$3*B42)-($B$3/$B$4)*B42^2)</f>
        <v>1.0647215818923497E-2</v>
      </c>
      <c r="E43" s="1">
        <f>$B$2*($B$5*B42)</f>
        <v>1.7872897076937416E-3</v>
      </c>
      <c r="F43" s="1">
        <f>$B$2*(($B$3*(B42+D43))-($B$3/$B$4)*(B42+D43)^2)</f>
        <v>1.1026533104771061E-2</v>
      </c>
      <c r="G43" s="1">
        <f>$B$2*(($B$5*(B42+D43)))</f>
        <v>1.8783234029455377E-3</v>
      </c>
    </row>
    <row r="44" spans="1:7" x14ac:dyDescent="0.35">
      <c r="A44" s="1">
        <f t="shared" si="0"/>
        <v>0.17500000000000007</v>
      </c>
      <c r="B44" s="1">
        <f>B43+0.5*(D44+F44)</f>
        <v>0.23109780650722139</v>
      </c>
      <c r="C44" s="1">
        <f>C43+0.5*(E44+G44)</f>
        <v>3.0642513310705183E-2</v>
      </c>
      <c r="D44" s="1">
        <f>$B$2*(($B$3*B43)-($B$3/$B$4)*B43^2)</f>
        <v>1.1033146660480555E-2</v>
      </c>
      <c r="E44" s="1">
        <f>$B$2*($B$5*B43)</f>
        <v>1.879944984342536E-3</v>
      </c>
      <c r="F44" s="1">
        <f>$B$2*(($B$3*(B43+D44))-($B$3/$B$4)*(B43+D44)^2)</f>
        <v>1.1409253642257899E-2</v>
      </c>
      <c r="G44" s="1">
        <f>$B$2*(($B$5*(B43+D44)))</f>
        <v>1.9742783882896447E-3</v>
      </c>
    </row>
    <row r="45" spans="1:7" x14ac:dyDescent="0.35">
      <c r="A45" s="1">
        <f t="shared" si="0"/>
        <v>0.18000000000000008</v>
      </c>
      <c r="B45" s="1">
        <f>B44+0.5*(D45+F45)</f>
        <v>0.24269881650098274</v>
      </c>
      <c r="C45" s="1">
        <f>C44+0.5*(E45+G45)</f>
        <v>3.2667200892050635E-2</v>
      </c>
      <c r="D45" s="1">
        <f>$B$2*(($B$3*B44)-($B$3/$B$4)*B44^2)</f>
        <v>1.1415517124844897E-2</v>
      </c>
      <c r="E45" s="1">
        <f>$B$2*($B$5*B44)</f>
        <v>1.9758862456367428E-3</v>
      </c>
      <c r="F45" s="1">
        <f>$B$2*(($B$3*(B44+D45))-($B$3/$B$4)*(B44+D45)^2)</f>
        <v>1.1786502862677819E-2</v>
      </c>
      <c r="G45" s="1">
        <f>$B$2*(($B$5*(B44+D45)))</f>
        <v>2.0734889170541666E-3</v>
      </c>
    </row>
    <row r="46" spans="1:7" x14ac:dyDescent="0.35">
      <c r="A46" s="1">
        <f t="shared" si="0"/>
        <v>0.18500000000000008</v>
      </c>
      <c r="B46" s="1">
        <f>B45+0.5*(D46+F46)</f>
        <v>0.25467312681449739</v>
      </c>
      <c r="C46" s="1">
        <f>C45+0.5*(E46+G46)</f>
        <v>3.4792688202476094E-2</v>
      </c>
      <c r="D46" s="1">
        <f>$B$2*(($B$3*B45)-($B$3/$B$4)*B45^2)</f>
        <v>1.1792381132645181E-2</v>
      </c>
      <c r="E46" s="1">
        <f>$B$2*($B$5*B45)</f>
        <v>2.0750748810834025E-3</v>
      </c>
      <c r="F46" s="1">
        <f>$B$2*(($B$3*(B45+D46))-($B$3/$B$4)*(B45+D46)^2)</f>
        <v>1.2156239494384134E-2</v>
      </c>
      <c r="G46" s="1">
        <f>$B$2*(($B$5*(B45+D46)))</f>
        <v>2.1758997397675187E-3</v>
      </c>
    </row>
    <row r="47" spans="1:7" x14ac:dyDescent="0.35">
      <c r="A47" s="1">
        <f t="shared" si="0"/>
        <v>0.19000000000000009</v>
      </c>
      <c r="B47" s="1">
        <f>B46+0.5*(D47+F47)</f>
        <v>0.26701215097006675</v>
      </c>
      <c r="C47" s="1">
        <f>C46+0.5*(E47+G47)</f>
        <v>3.7022134709325985E-2</v>
      </c>
      <c r="D47" s="1">
        <f>$B$2*(($B$3*B46)-($B$3/$B$4)*B46^2)</f>
        <v>1.2161701189693742E-2</v>
      </c>
      <c r="E47" s="1">
        <f>$B$2*($B$5*B46)</f>
        <v>2.1774552342639524E-3</v>
      </c>
      <c r="F47" s="1">
        <f>$B$2*(($B$3*(B46+D47))-($B$3/$B$4)*(B46+D47)^2)</f>
        <v>1.2516347121445028E-2</v>
      </c>
      <c r="G47" s="1">
        <f>$B$2*(($B$5*(B46+D47)))</f>
        <v>2.2814377794358339E-3</v>
      </c>
    </row>
    <row r="48" spans="1:7" x14ac:dyDescent="0.35">
      <c r="A48" s="1">
        <f t="shared" si="0"/>
        <v>0.19500000000000009</v>
      </c>
      <c r="B48" s="1">
        <f>B47+0.5*(D48+F48)</f>
        <v>0.27970516086055663</v>
      </c>
      <c r="C48" s="1">
        <f>C47+0.5*(E48+G48)</f>
        <v>3.935861743786484E-2</v>
      </c>
      <c r="D48" s="1">
        <f>$B$2*(($B$3*B47)-($B$3/$B$4)*B47^2)</f>
        <v>1.2521365554336347E-2</v>
      </c>
      <c r="E48" s="1">
        <f>$B$2*($B$5*B47)</f>
        <v>2.2829538907940708E-3</v>
      </c>
      <c r="F48" s="1">
        <f>$B$2*(($B$3*(B47+D48))-($B$3/$B$4)*(B47+D48)^2)</f>
        <v>1.2864654226643438E-2</v>
      </c>
      <c r="G48" s="1">
        <f>$B$2*(($B$5*(B47+D48)))</f>
        <v>2.3900115662836468E-3</v>
      </c>
    </row>
    <row r="49" spans="1:7" x14ac:dyDescent="0.35">
      <c r="A49" s="1">
        <f t="shared" si="0"/>
        <v>0.20000000000000009</v>
      </c>
      <c r="B49" s="1">
        <f>B48+0.5*(D49+F49)</f>
        <v>0.29273924346188412</v>
      </c>
      <c r="C49" s="1">
        <f>C48+0.5*(E49+G49)</f>
        <v>4.1805112428513619E-2</v>
      </c>
      <c r="D49" s="1">
        <f>$B$2*(($B$3*B48)-($B$3/$B$4)*B48^2)</f>
        <v>1.2869208255209059E-2</v>
      </c>
      <c r="E49" s="1">
        <f>$B$2*($B$5*B48)</f>
        <v>2.3914791253577591E-3</v>
      </c>
      <c r="F49" s="1">
        <f>$B$2*(($B$3*(B48+D49))-($B$3/$B$4)*(B48+D49)^2)</f>
        <v>1.3198956947445967E-2</v>
      </c>
      <c r="G49" s="1">
        <f>$B$2*(($B$5*(B48+D49)))</f>
        <v>2.5015108559397962E-3</v>
      </c>
    </row>
    <row r="50" spans="1:7" x14ac:dyDescent="0.35">
      <c r="A50" s="1">
        <f t="shared" si="0"/>
        <v>0.2050000000000001</v>
      </c>
      <c r="B50" s="1">
        <f>B49+0.5*(D50+F50)</f>
        <v>0.30609928149797239</v>
      </c>
      <c r="C50" s="1">
        <f>C49+0.5*(E50+G50)</f>
        <v>4.4364475921023827E-2</v>
      </c>
      <c r="D50" s="1">
        <f>$B$2*(($B$3*B49)-($B$3/$B$4)*B49^2)</f>
        <v>1.3203031792069712E-2</v>
      </c>
      <c r="E50" s="1">
        <f>$B$2*($B$5*B49)</f>
        <v>2.5029205315991094E-3</v>
      </c>
      <c r="F50" s="1">
        <f>$B$2*(($B$3*(B49+D50))-($B$3/$B$4)*(B49+D50)^2)</f>
        <v>1.3517044280106765E-2</v>
      </c>
      <c r="G50" s="1">
        <f>$B$2*(($B$5*(B49+D50)))</f>
        <v>2.6158064534213053E-3</v>
      </c>
    </row>
    <row r="51" spans="1:7" x14ac:dyDescent="0.35">
      <c r="A51" s="1">
        <f t="shared" si="0"/>
        <v>0.2100000000000001</v>
      </c>
      <c r="B51" s="1">
        <f>B50+0.5*(D51+F51)</f>
        <v>0.31976796030690807</v>
      </c>
      <c r="C51" s="1">
        <f>C50+0.5*(E51+G51)</f>
        <v>4.7039425480714256E-2</v>
      </c>
      <c r="D51" s="1">
        <f>$B$2*(($B$3*B50)-($B$3/$B$4)*B50^2)</f>
        <v>1.352063225327766E-2</v>
      </c>
      <c r="E51" s="1">
        <f>$B$2*($B$5*B50)</f>
        <v>2.617148856807664E-3</v>
      </c>
      <c r="F51" s="1">
        <f>$B$2*(($B$3*(B50+D51))-($B$3/$B$4)*(B50+D51)^2)</f>
        <v>1.3816725364593736E-2</v>
      </c>
      <c r="G51" s="1">
        <f>$B$2*(($B$5*(B50+D51)))</f>
        <v>2.7327502625731875E-3</v>
      </c>
    </row>
    <row r="52" spans="1:7" x14ac:dyDescent="0.35">
      <c r="A52" s="1">
        <f t="shared" si="0"/>
        <v>0.21500000000000011</v>
      </c>
      <c r="B52" s="1">
        <f>B51+0.5*(D52+F52)</f>
        <v>0.33372580273937946</v>
      </c>
      <c r="C52" s="1">
        <f>C51+0.5*(E52+G52)</f>
        <v>4.9832521299550112E-2</v>
      </c>
      <c r="D52" s="1">
        <f>$B$2*(($B$3*B51)-($B$3/$B$4)*B51^2)</f>
        <v>1.3819826482289669E-2</v>
      </c>
      <c r="E52" s="1">
        <f>$B$2*($B$5*B51)</f>
        <v>2.7340160606240636E-3</v>
      </c>
      <c r="F52" s="1">
        <f>$B$2*(($B$3*(B51+D52))-($B$3/$B$4)*(B51+D52)^2)</f>
        <v>1.4095858382653145E-2</v>
      </c>
      <c r="G52" s="1">
        <f>$B$2*(($B$5*(B51+D52)))</f>
        <v>2.8521755770476408E-3</v>
      </c>
    </row>
    <row r="53" spans="1:7" x14ac:dyDescent="0.35">
      <c r="A53" s="1">
        <f t="shared" si="0"/>
        <v>0.22000000000000011</v>
      </c>
      <c r="B53" s="1">
        <f>B52+0.5*(D53+F53)</f>
        <v>0.34795123340672018</v>
      </c>
      <c r="C53" s="1">
        <f>C52+0.5*(E53+G53)</f>
        <v>5.2746147918505702E-2</v>
      </c>
      <c r="D53" s="1">
        <f>$B$2*(($B$3*B52)-($B$3/$B$4)*B52^2)</f>
        <v>1.4098480826642302E-2</v>
      </c>
      <c r="E53" s="1">
        <f>$B$2*($B$5*B52)</f>
        <v>2.8533556134216942E-3</v>
      </c>
      <c r="F53" s="1">
        <f>$B$2*(($B$3*(B52+D53))-($B$3/$B$4)*(B52+D53)^2)</f>
        <v>1.435238050803914E-2</v>
      </c>
      <c r="G53" s="1">
        <f>$B$2*(($B$5*(B52+D53)))</f>
        <v>2.9738976244894863E-3</v>
      </c>
    </row>
    <row r="54" spans="1:7" x14ac:dyDescent="0.35">
      <c r="A54" s="1">
        <f t="shared" si="0"/>
        <v>0.22500000000000012</v>
      </c>
      <c r="B54" s="1">
        <f>B53+0.5*(D54+F54)</f>
        <v>0.36242067299580039</v>
      </c>
      <c r="C54" s="1">
        <f>C53+0.5*(E54+G54)</f>
        <v>5.5782496626528573E-2</v>
      </c>
      <c r="D54" s="1">
        <f>$B$2*(($B$3*B53)-($B$3/$B$4)*B53^2)</f>
        <v>1.4354540911207843E-2</v>
      </c>
      <c r="E54" s="1">
        <f>$B$2*($B$5*B53)</f>
        <v>2.9749830456274572E-3</v>
      </c>
      <c r="F54" s="1">
        <f>$B$2*(($B$3*(B53+D54))-($B$3/$B$4)*(B53+D54)^2)</f>
        <v>1.4584338266952553E-2</v>
      </c>
      <c r="G54" s="1">
        <f>$B$2*(($B$5*(B53+D54)))</f>
        <v>3.0977143704182847E-3</v>
      </c>
    </row>
    <row r="55" spans="1:7" x14ac:dyDescent="0.35">
      <c r="A55" s="1">
        <f t="shared" si="0"/>
        <v>0.23000000000000012</v>
      </c>
      <c r="B55" s="1">
        <f>B54+0.5*(D55+F55)</f>
        <v>0.37710866269649762</v>
      </c>
      <c r="C55" s="1">
        <f>C54+0.5*(E55+G55)</f>
        <v>5.8943548794829874E-2</v>
      </c>
      <c r="D55" s="1">
        <f>$B$2*(($B$3*B54)-($B$3/$B$4)*B54^2)</f>
        <v>1.4586061798177327E-2</v>
      </c>
      <c r="E55" s="1">
        <f>$B$2*($B$5*B54)</f>
        <v>3.098696754114093E-3</v>
      </c>
      <c r="F55" s="1">
        <f>$B$2*(($B$3*(B54+D55))-($B$3/$B$4)*(B54+D55)^2)</f>
        <v>1.4789917603217146E-2</v>
      </c>
      <c r="G55" s="1">
        <f>$B$2*(($B$5*(B54+D55)))</f>
        <v>3.2234075824885094E-3</v>
      </c>
    </row>
    <row r="56" spans="1:7" x14ac:dyDescent="0.35">
      <c r="A56" s="1">
        <f t="shared" si="0"/>
        <v>0.23500000000000013</v>
      </c>
      <c r="B56" s="1">
        <f>B55+0.5*(D56+F56)</f>
        <v>0.39198801806434591</v>
      </c>
      <c r="C56" s="1">
        <f>C55+0.5*(E56+G56)</f>
        <v>6.2231060402626527E-2</v>
      </c>
      <c r="D56" s="1">
        <f>$B$2*(($B$3*B55)-($B$3/$B$4)*B55^2)</f>
        <v>1.4791237834292379E-2</v>
      </c>
      <c r="E56" s="1">
        <f>$B$2*($B$5*B55)</f>
        <v>3.2242790660550547E-3</v>
      </c>
      <c r="F56" s="1">
        <f>$B$2*(($B$3*(B55+D56))-($B$3/$B$4)*(B55+D56)^2)</f>
        <v>1.4967472901404169E-2</v>
      </c>
      <c r="G56" s="1">
        <f>$B$2*(($B$5*(B55+D56)))</f>
        <v>3.3507441495382547E-3</v>
      </c>
    </row>
    <row r="57" spans="1:7" x14ac:dyDescent="0.35">
      <c r="A57" s="1">
        <f t="shared" si="0"/>
        <v>0.24000000000000013</v>
      </c>
      <c r="B57" s="1">
        <f>B56+0.5*(D57+F57)</f>
        <v>0.4070300108902799</v>
      </c>
      <c r="C57" s="1">
        <f>C56+0.5*(E57+G57)</f>
        <v>6.5646548001508057E-2</v>
      </c>
      <c r="D57" s="1">
        <f>$B$2*(($B$3*B56)-($B$3/$B$4)*B56^2)</f>
        <v>1.4968431445933895E-2</v>
      </c>
      <c r="E57" s="1">
        <f>$B$2*($B$5*B56)</f>
        <v>3.3514975544501574E-3</v>
      </c>
      <c r="F57" s="1">
        <f>$B$2*(($B$3*(B56+D57))-($B$3/$B$4)*(B56+D57)^2)</f>
        <v>1.5115554205934131E-2</v>
      </c>
      <c r="G57" s="1">
        <f>$B$2*(($B$5*(B56+D57)))</f>
        <v>3.479477643312892E-3</v>
      </c>
    </row>
    <row r="58" spans="1:7" x14ac:dyDescent="0.35">
      <c r="A58" s="1">
        <f t="shared" si="0"/>
        <v>0.24500000000000013</v>
      </c>
      <c r="B58" s="1">
        <f>B57+0.5*(D58+F58)</f>
        <v>0.42220457689854296</v>
      </c>
      <c r="C58" s="1">
        <f>C57+0.5*(E58+G58)</f>
        <v>6.9191276350169723E-2</v>
      </c>
      <c r="D58" s="1">
        <f>$B$2*(($B$3*B57)-($B$3/$B$4)*B57^2)</f>
        <v>1.5116200128600717E-2</v>
      </c>
      <c r="E58" s="1">
        <f>$B$2*($B$5*B57)</f>
        <v>3.4801065931118931E-3</v>
      </c>
      <c r="F58" s="1">
        <f>$B$2*(($B$3*(B57+D58))-($B$3/$B$4)*(B57+D58)^2)</f>
        <v>1.5232931887925379E-2</v>
      </c>
      <c r="G58" s="1">
        <f>$B$2*(($B$5*(B57+D58)))</f>
        <v>3.6093501042114289E-3</v>
      </c>
    </row>
    <row r="59" spans="1:7" x14ac:dyDescent="0.35">
      <c r="A59" s="1">
        <f t="shared" si="0"/>
        <v>0.25000000000000011</v>
      </c>
      <c r="B59" s="1">
        <f>B58+0.5*(D59+F59)</f>
        <v>0.43748054637220285</v>
      </c>
      <c r="C59" s="1">
        <f>C58+0.5*(E59+G59)</f>
        <v>7.2866247929464528E-2</v>
      </c>
      <c r="D59" s="1">
        <f>$B$2*(($B$3*B58)-($B$3/$B$4)*B58^2)</f>
        <v>1.5233320891756599E-2</v>
      </c>
      <c r="E59" s="1">
        <f>$B$2*($B$5*B58)</f>
        <v>3.6098491324825423E-3</v>
      </c>
      <c r="F59" s="1">
        <f>$B$2*(($B$3*(B58+D59))-($B$3/$B$4)*(B58+D59)^2)</f>
        <v>1.5318618055563156E-2</v>
      </c>
      <c r="G59" s="1">
        <f>$B$2*(($B$5*(B58+D59)))</f>
        <v>3.7400940261070616E-3</v>
      </c>
    </row>
    <row r="60" spans="1:7" x14ac:dyDescent="0.35">
      <c r="A60" s="1">
        <f t="shared" si="0"/>
        <v>0.25500000000000012</v>
      </c>
      <c r="B60" s="1">
        <f>B59+0.5*(D60+F60)</f>
        <v>0.45282589414318247</v>
      </c>
      <c r="C60" s="1">
        <f>C59+0.5*(E60+G60)</f>
        <v>7.6672194519956521E-2</v>
      </c>
      <c r="D60" s="1">
        <f>$B$2*(($B$3*B59)-($B$3/$B$4)*B59^2)</f>
        <v>1.5318811464246379E-2</v>
      </c>
      <c r="E60" s="1">
        <f>$B$2*($B$5*B59)</f>
        <v>3.740458671482334E-3</v>
      </c>
      <c r="F60" s="1">
        <f>$B$2*(($B$3*(B59+D60))-($B$3/$B$4)*(B59+D60)^2)</f>
        <v>1.5371884077712845E-2</v>
      </c>
      <c r="G60" s="1">
        <f>$B$2*(($B$5*(B59+D60)))</f>
        <v>3.8714345095016405E-3</v>
      </c>
    </row>
    <row r="61" spans="1:7" x14ac:dyDescent="0.35">
      <c r="A61" s="1">
        <f t="shared" si="0"/>
        <v>0.26000000000000012</v>
      </c>
      <c r="B61" s="1">
        <f>B60+0.5*(D61+F61)</f>
        <v>0.46820800480890185</v>
      </c>
      <c r="C61" s="1">
        <f>C60+0.5*(E61+G61)</f>
        <v>8.0609570991037938E-2</v>
      </c>
      <c r="D61" s="1">
        <f>$B$2*(($B$3*B60)-($B$3/$B$4)*B60^2)</f>
        <v>1.5371947639111948E-2</v>
      </c>
      <c r="E61" s="1">
        <f>$B$2*($B$5*B60)</f>
        <v>3.8716613949242103E-3</v>
      </c>
      <c r="F61" s="1">
        <f>$B$2*(($B$3*(B60+D61))-($B$3/$B$4)*(B60+D61)^2)</f>
        <v>1.5392273692326775E-2</v>
      </c>
      <c r="G61" s="1">
        <f>$B$2*(($B$5*(B60+D61)))</f>
        <v>4.0030915472386167E-3</v>
      </c>
    </row>
    <row r="62" spans="1:7" x14ac:dyDescent="0.35">
      <c r="A62" s="1">
        <f t="shared" si="0"/>
        <v>0.26500000000000012</v>
      </c>
      <c r="B62" s="1">
        <f>B61+0.5*(D62+F62)</f>
        <v>0.48359394857625254</v>
      </c>
      <c r="C62" s="1">
        <f>C61+0.5*(E62+G62)</f>
        <v>8.4678551413069764E-2</v>
      </c>
      <c r="D62" s="1">
        <f>$B$2*(($B$3*B61)-($B$3/$B$4)*B61^2)</f>
        <v>1.5392276237592444E-2</v>
      </c>
      <c r="E62" s="1">
        <f>$B$2*($B$5*B61)</f>
        <v>4.0031784411161111E-3</v>
      </c>
      <c r="F62" s="1">
        <f>$B$2*(($B$3*(B61+D62))-($B$3/$B$4)*(B61+D62)^2)</f>
        <v>1.5379611297108924E-2</v>
      </c>
      <c r="G62" s="1">
        <f>$B$2*(($B$5*(B61+D62)))</f>
        <v>4.1347824029475261E-3</v>
      </c>
    </row>
    <row r="63" spans="1:7" x14ac:dyDescent="0.35">
      <c r="A63" s="1">
        <f t="shared" si="0"/>
        <v>0.27000000000000013</v>
      </c>
      <c r="B63" s="1">
        <f>B62+0.5*(D63+F63)</f>
        <v>0.4989507628068508</v>
      </c>
      <c r="C63" s="1">
        <f>C62+0.5*(E63+G63)</f>
        <v>8.8879027562989751E-2</v>
      </c>
      <c r="D63" s="1">
        <f>$B$2*(($B$3*B62)-($B$3/$B$4)*B62^2)</f>
        <v>1.5379623296614842E-2</v>
      </c>
      <c r="E63" s="1">
        <f>$B$2*($B$5*B62)</f>
        <v>4.1347282603269595E-3</v>
      </c>
      <c r="F63" s="1">
        <f>$B$2*(($B$3*(B62+D63))-($B$3/$B$4)*(B62+D63)^2)</f>
        <v>1.5334005164581667E-2</v>
      </c>
      <c r="G63" s="1">
        <f>$B$2*(($B$5*(B62+D63)))</f>
        <v>4.266224039513016E-3</v>
      </c>
    </row>
    <row r="64" spans="1:7" x14ac:dyDescent="0.35">
      <c r="A64" s="1">
        <f t="shared" si="0"/>
        <v>0.27500000000000013</v>
      </c>
      <c r="B64" s="1">
        <f>B63+0.5*(D64+F64)</f>
        <v>0.51424573416060471</v>
      </c>
      <c r="C64" s="1">
        <f>C63+0.5*(E64+G64)</f>
        <v>9.3210609850633411E-2</v>
      </c>
      <c r="D64" s="1">
        <f>$B$2*(($B$3*B63)-($B$3/$B$4)*B63^2)</f>
        <v>1.5334097226920258E-2</v>
      </c>
      <c r="E64" s="1">
        <f>$B$2*($B$5*B63)</f>
        <v>4.2660290219985741E-3</v>
      </c>
      <c r="F64" s="1">
        <f>$B$2*(($B$3*(B63+D64))-($B$3/$B$4)*(B63+D64)^2)</f>
        <v>1.5255845480587445E-2</v>
      </c>
      <c r="G64" s="1">
        <f>$B$2*(($B$5*(B63+D64)))</f>
        <v>4.3971355532887429E-3</v>
      </c>
    </row>
    <row r="65" spans="1:7" x14ac:dyDescent="0.35">
      <c r="A65" s="1">
        <f t="shared" si="0"/>
        <v>0.28000000000000014</v>
      </c>
      <c r="B65" s="1">
        <f>B64+0.5*(D65+F65)</f>
        <v>0.52944667621593844</v>
      </c>
      <c r="C65" s="1">
        <f>C64+0.5*(E65+G65)</f>
        <v>9.7672630648963324E-2</v>
      </c>
      <c r="D65" s="1">
        <f>$B$2*(($B$3*B64)-($B$3/$B$4)*B64^2)</f>
        <v>1.5256086843683599E-2</v>
      </c>
      <c r="E65" s="1">
        <f>$B$2*($B$5*B64)</f>
        <v>4.3968010270731698E-3</v>
      </c>
      <c r="F65" s="1">
        <f>$B$2*(($B$3*(B64+D65))-($B$3/$B$4)*(B64+D65)^2)</f>
        <v>1.5145797266983908E-2</v>
      </c>
      <c r="G65" s="1">
        <f>$B$2*(($B$5*(B64+D65)))</f>
        <v>4.5272405695866652E-3</v>
      </c>
    </row>
    <row r="66" spans="1:7" x14ac:dyDescent="0.35">
      <c r="A66" s="1">
        <f t="shared" si="0"/>
        <v>0.28500000000000014</v>
      </c>
      <c r="B66" s="1">
        <f>B65+0.5*(D66+F66)</f>
        <v>0.54452219758543607</v>
      </c>
      <c r="C66" s="1">
        <f>C65+0.5*(E66+G66)</f>
        <v>0.10226414996787395</v>
      </c>
      <c r="D66" s="1">
        <f>$B$2*(($B$3*B65)-($B$3/$B$4)*B65^2)</f>
        <v>1.514625433084092E-2</v>
      </c>
      <c r="E66" s="1">
        <f>$B$2*($B$5*B65)</f>
        <v>4.5267690816462739E-3</v>
      </c>
      <c r="F66" s="1">
        <f>$B$2*(($B$3*(B65+D66))-($B$3/$B$4)*(B65+D66)^2)</f>
        <v>1.5004788408154295E-2</v>
      </c>
      <c r="G66" s="1">
        <f>$B$2*(($B$5*(B65+D66)))</f>
        <v>4.6562695561749639E-3</v>
      </c>
    </row>
    <row r="67" spans="1:7" x14ac:dyDescent="0.35">
      <c r="A67" s="1">
        <f t="shared" si="0"/>
        <v>0.29000000000000015</v>
      </c>
      <c r="B67" s="1">
        <f>B66+0.5*(D67+F67)</f>
        <v>0.55944195583855849</v>
      </c>
      <c r="C67" s="1">
        <f>C66+0.5*(E67+G67)</f>
        <v>0.10698396336957974</v>
      </c>
      <c r="D67" s="1">
        <f>$B$2*(($B$3*B66)-($B$3/$B$4)*B66^2)</f>
        <v>1.500552335679887E-2</v>
      </c>
      <c r="E67" s="1">
        <f>$B$2*($B$5*B66)</f>
        <v>4.655664789355478E-3</v>
      </c>
      <c r="F67" s="1">
        <f>$B$2*(($B$3*(B66+D67))-($B$3/$B$4)*(B66+D67)^2)</f>
        <v>1.483399314944601E-2</v>
      </c>
      <c r="G67" s="1">
        <f>$B$2*(($B$5*(B66+D67)))</f>
        <v>4.7839620140561088E-3</v>
      </c>
    </row>
    <row r="68" spans="1:7" x14ac:dyDescent="0.35">
      <c r="A68" s="1">
        <f t="shared" si="0"/>
        <v>0.29500000000000015</v>
      </c>
      <c r="B68" s="1">
        <f>B67+0.5*(D68+F68)</f>
        <v>0.57417689297474339</v>
      </c>
      <c r="C68" s="1">
        <f>C67+0.5*(E68+G68)</f>
        <v>0.11183061198506508</v>
      </c>
      <c r="D68" s="1">
        <f>$B$2*(($B$3*B67)-($B$3/$B$4)*B67^2)</f>
        <v>1.4835062705418242E-2</v>
      </c>
      <c r="E68" s="1">
        <f>$B$2*($B$5*B67)</f>
        <v>4.7832287224196749E-3</v>
      </c>
      <c r="F68" s="1">
        <f>$B$2*(($B$3*(B67+D68))-($B$3/$B$4)*(B67+D68)^2)</f>
        <v>1.4634811566951518E-2</v>
      </c>
      <c r="G68" s="1">
        <f>$B$2*(($B$5*(B67+D68)))</f>
        <v>4.9100685085510009E-3</v>
      </c>
    </row>
    <row r="69" spans="1:7" x14ac:dyDescent="0.35">
      <c r="A69" s="1">
        <f t="shared" si="0"/>
        <v>0.30000000000000016</v>
      </c>
      <c r="B69" s="1">
        <f>B68+0.5*(D69+F69)</f>
        <v>0.58869944874071412</v>
      </c>
      <c r="C69" s="1">
        <f>C68+0.5*(E69+G69)</f>
        <v>0.11680239445678778</v>
      </c>
      <c r="D69" s="1">
        <f>$B$2*(($B$3*B68)-($B$3/$B$4)*B68^2)</f>
        <v>1.4636265915471744E-2</v>
      </c>
      <c r="E69" s="1">
        <f>$B$2*($B$5*B68)</f>
        <v>4.9092124349340563E-3</v>
      </c>
      <c r="F69" s="1">
        <f>$B$2*(($B$3*(B68+D69))-($B$3/$B$4)*(B68+D69)^2)</f>
        <v>1.4408845616469806E-2</v>
      </c>
      <c r="G69" s="1">
        <f>$B$2*(($B$5*(B68+D69)))</f>
        <v>5.0343525085113396E-3</v>
      </c>
    </row>
    <row r="70" spans="1:7" x14ac:dyDescent="0.35">
      <c r="A70" s="1">
        <f t="shared" si="0"/>
        <v>0.30500000000000016</v>
      </c>
      <c r="B70" s="1">
        <f>B69+0.5*(D70+F70)</f>
        <v>0.60298374873042904</v>
      </c>
      <c r="C70" s="1">
        <f>C69+0.5*(E70+G70)</f>
        <v>0.12189738060370571</v>
      </c>
      <c r="D70" s="1">
        <f>$B$2*(($B$3*B69)-($B$3/$B$4)*B69^2)</f>
        <v>1.4410727528613415E-2</v>
      </c>
      <c r="E70" s="1">
        <f>$B$2*($B$5*B69)</f>
        <v>5.0333802867331056E-3</v>
      </c>
      <c r="F70" s="1">
        <f>$B$2*(($B$3*(B69+D70))-($B$3/$B$4)*(B69+D70)^2)</f>
        <v>1.4157872450816416E-2</v>
      </c>
      <c r="G70" s="1">
        <f>$B$2*(($B$5*(B69+D70)))</f>
        <v>5.1565920071027505E-3</v>
      </c>
    </row>
    <row r="71" spans="1:7" x14ac:dyDescent="0.35">
      <c r="A71" s="1">
        <f t="shared" si="0"/>
        <v>0.31000000000000016</v>
      </c>
      <c r="B71" s="1">
        <f>B70+0.5*(D71+F71)</f>
        <v>0.61700576491667636</v>
      </c>
      <c r="C71" s="1">
        <f>C70+0.5*(E71+G71)</f>
        <v>0.12711342658142763</v>
      </c>
      <c r="D71" s="1">
        <f>$B$2*(($B$3*B70)-($B$3/$B$4)*B70^2)</f>
        <v>1.4160216626139293E-2</v>
      </c>
      <c r="E71" s="1">
        <f>$B$2*($B$5*B70)</f>
        <v>5.1555110516451688E-3</v>
      </c>
      <c r="F71" s="1">
        <f>$B$2*(($B$3*(B70+D71))-($B$3/$B$4)*(B70+D71)^2)</f>
        <v>1.388381574635531E-2</v>
      </c>
      <c r="G71" s="1">
        <f>$B$2*(($B$5*(B70+D71)))</f>
        <v>5.2765809037986586E-3</v>
      </c>
    </row>
    <row r="72" spans="1:7" x14ac:dyDescent="0.35">
      <c r="A72" s="1">
        <f t="shared" si="0"/>
        <v>0.31500000000000017</v>
      </c>
      <c r="B72" s="1">
        <f>B71+0.5*(D72+F72)</f>
        <v>0.63074344701013407</v>
      </c>
      <c r="C72" s="1">
        <f>C71+0.5*(E72+G72)</f>
        <v>0.13244819129331528</v>
      </c>
      <c r="D72" s="1">
        <f>$B$2*(($B$3*B71)-($B$3/$B$4)*B71^2)</f>
        <v>1.3886648385981606E-2</v>
      </c>
      <c r="E72" s="1">
        <f>$B$2*($B$5*B71)</f>
        <v>5.2753992900375826E-3</v>
      </c>
      <c r="F72" s="1">
        <f>$B$2*(($B$3*(B71+D72))-($B$3/$B$4)*(B71+D72)^2)</f>
        <v>1.3588715800933895E-2</v>
      </c>
      <c r="G72" s="1">
        <f>$B$2*(($B$5*(B71+D72)))</f>
        <v>5.3941301337377253E-3</v>
      </c>
    </row>
    <row r="73" spans="1:7" x14ac:dyDescent="0.35">
      <c r="A73" s="1">
        <f t="shared" si="0"/>
        <v>0.32000000000000017</v>
      </c>
      <c r="B73" s="1">
        <f>B72+0.5*(D73+F73)</f>
        <v>0.64417682379510488</v>
      </c>
      <c r="C73" s="1">
        <f>C72+0.5*(E73+G73)</f>
        <v>0.13789915379786621</v>
      </c>
      <c r="D73" s="1">
        <f>$B$2*(($B$3*B72)-($B$3/$B$4)*B72^2)</f>
        <v>1.3592054412698045E-2</v>
      </c>
      <c r="E73" s="1">
        <f>$B$2*($B$5*B72)</f>
        <v>5.3928564719366466E-3</v>
      </c>
      <c r="F73" s="1">
        <f>$B$2*(($B$3*(B72+D73))-($B$3/$B$4)*(B72+D73)^2)</f>
        <v>1.3274699157243677E-2</v>
      </c>
      <c r="G73" s="1">
        <f>$B$2*(($B$5*(B72+D73)))</f>
        <v>5.5090685371652149E-3</v>
      </c>
    </row>
    <row r="74" spans="1:7" x14ac:dyDescent="0.35">
      <c r="A74" s="1">
        <f t="shared" si="0"/>
        <v>0.32500000000000018</v>
      </c>
      <c r="B74" s="1">
        <f>B73+0.5*(D74+F74)</f>
        <v>0.65728807432312075</v>
      </c>
      <c r="C74" s="1">
        <f>C73+0.5*(E74+G74)</f>
        <v>0.14346363145361773</v>
      </c>
      <c r="D74" s="1">
        <f>$B$2*(($B$3*B73)-($B$3/$B$4)*B73^2)</f>
        <v>1.3278552585583511E-2</v>
      </c>
      <c r="E74" s="1">
        <f>$B$2*($B$5*B73)</f>
        <v>5.5077118434481466E-3</v>
      </c>
      <c r="F74" s="1">
        <f>$B$2*(($B$3*(B73+D74))-($B$3/$B$4)*(B73+D74)^2)</f>
        <v>1.2943948470448219E-2</v>
      </c>
      <c r="G74" s="1">
        <f>$B$2*(($B$5*(B73+D74)))</f>
        <v>5.6212434680548862E-3</v>
      </c>
    </row>
    <row r="75" spans="1:7" x14ac:dyDescent="0.35">
      <c r="A75" s="1">
        <f t="shared" ref="A75:A138" si="1">A74+$B$2</f>
        <v>0.33000000000000018</v>
      </c>
      <c r="B75" s="1">
        <f>B74+0.5*(D75+F75)</f>
        <v>0.67006156953123008</v>
      </c>
      <c r="C75" s="1">
        <f>C74+0.5*(E75+G75)</f>
        <v>0.14913879854483605</v>
      </c>
      <c r="D75" s="1">
        <f>$B$2*(($B$3*B74)-($B$3/$B$4)*B74^2)</f>
        <v>1.2948317135819237E-2</v>
      </c>
      <c r="E75" s="1">
        <f>$B$2*($B$5*B74)</f>
        <v>5.6198130354626818E-3</v>
      </c>
      <c r="F75" s="1">
        <f>$B$2*(($B$3*(B74+D75))-($B$3/$B$4)*(B74+D75)^2)</f>
        <v>1.2598673280399347E-2</v>
      </c>
      <c r="G75" s="1">
        <f>$B$2*(($B$5*(B74+D75)))</f>
        <v>5.7305211469739371E-3</v>
      </c>
    </row>
    <row r="76" spans="1:7" x14ac:dyDescent="0.35">
      <c r="A76" s="1">
        <f t="shared" si="1"/>
        <v>0.33500000000000019</v>
      </c>
      <c r="B76" s="1">
        <f>B75+0.5*(D76+F76)</f>
        <v>0.68248388547015426</v>
      </c>
      <c r="C76" s="1">
        <f>C75+0.5*(E76+G76)</f>
        <v>0.15492170513889528</v>
      </c>
      <c r="D76" s="1">
        <f>$B$2*(($B$3*B75)-($B$3/$B$4)*B75^2)</f>
        <v>1.260354960636585E-2</v>
      </c>
      <c r="E76" s="1">
        <f>$B$2*($B$5*B75)</f>
        <v>5.7290264194920174E-3</v>
      </c>
      <c r="F76" s="1">
        <f>$B$2*(($B$3*(B75+D76))-($B$3/$B$4)*(B75+D76)^2)</f>
        <v>1.2241082271482533E-2</v>
      </c>
      <c r="G76" s="1">
        <f>$B$2*(($B$5*(B75+D76)))</f>
        <v>5.8367867686264455E-3</v>
      </c>
    </row>
    <row r="77" spans="1:7" x14ac:dyDescent="0.35">
      <c r="A77" s="1">
        <f t="shared" si="1"/>
        <v>0.34000000000000019</v>
      </c>
      <c r="B77" s="1">
        <f>B76+0.5*(D77+F77)</f>
        <v>0.69454378986253562</v>
      </c>
      <c r="C77" s="1">
        <f>C76+0.5*(E77+G77)</f>
        <v>0.16080929593885535</v>
      </c>
      <c r="D77" s="1">
        <f>$B$2*(($B$3*B76)-($B$3/$B$4)*B76^2)</f>
        <v>1.2246451272569861E-2</v>
      </c>
      <c r="E77" s="1">
        <f>$B$2*($B$5*B76)</f>
        <v>5.8352372207698192E-3</v>
      </c>
      <c r="F77" s="1">
        <f>$B$2*(($B$3*(B76+D77))-($B$3/$B$4)*(B76+D77)^2)</f>
        <v>1.1873357512192944E-2</v>
      </c>
      <c r="G77" s="1">
        <f>$B$2*(($B$5*(B76+D77)))</f>
        <v>5.9399443791502918E-3</v>
      </c>
    </row>
    <row r="78" spans="1:7" x14ac:dyDescent="0.35">
      <c r="A78" s="1">
        <f t="shared" si="1"/>
        <v>0.3450000000000002</v>
      </c>
      <c r="B78" s="1">
        <f>B77+0.5*(D78+F78)</f>
        <v>0.70623220415222276</v>
      </c>
      <c r="C78" s="1">
        <f>C77+0.5*(E78+G78)</f>
        <v>0.16679842891154453</v>
      </c>
      <c r="D78" s="1">
        <f>$B$2*(($B$3*B77)-($B$3/$B$4)*B77^2)</f>
        <v>1.1879197512168189E-2</v>
      </c>
      <c r="E78" s="1">
        <f>$B$2*($B$5*B77)</f>
        <v>5.93834940332468E-3</v>
      </c>
      <c r="F78" s="1">
        <f>$B$2*(($B$3*(B77+D78))-($B$3/$B$4)*(B77+D78)^2)</f>
        <v>1.1497631067206124E-2</v>
      </c>
      <c r="G78" s="1">
        <f>$B$2*(($B$5*(B77+D78)))</f>
        <v>6.0399165420537172E-3</v>
      </c>
    </row>
    <row r="79" spans="1:7" x14ac:dyDescent="0.35">
      <c r="A79" s="1">
        <f t="shared" si="1"/>
        <v>0.3500000000000002</v>
      </c>
      <c r="B79" s="1">
        <f>B78+0.5*(D79+F79)</f>
        <v>0.71754214354609636</v>
      </c>
      <c r="C79" s="1">
        <f>C78+0.5*(E79+G79)</f>
        <v>0.17288589349160063</v>
      </c>
      <c r="D79" s="1">
        <f>$B$2*(($B$3*B78)-($B$3/$B$4)*B78^2)</f>
        <v>1.1503914515692078E-2</v>
      </c>
      <c r="E79" s="1">
        <f>$B$2*($B$5*B78)</f>
        <v>6.0382853455015041E-3</v>
      </c>
      <c r="F79" s="1">
        <f>$B$2*(($B$3*(B78+D79))-($B$3/$B$4)*(B78+D79)^2)</f>
        <v>1.1115964272055181E-2</v>
      </c>
      <c r="G79" s="1">
        <f>$B$2*(($B$5*(B78+D79)))</f>
        <v>6.1366438146106721E-3</v>
      </c>
    </row>
    <row r="80" spans="1:7" x14ac:dyDescent="0.35">
      <c r="A80" s="1">
        <f t="shared" si="1"/>
        <v>0.3550000000000002</v>
      </c>
      <c r="B80" s="1">
        <f>B79+0.5*(D80+F80)</f>
        <v>0.72846863778927984</v>
      </c>
      <c r="C80" s="1">
        <f>C79+0.5*(E80+G80)</f>
        <v>0.17906842818455093</v>
      </c>
      <c r="D80" s="1">
        <f>$B$2*(($B$3*B79)-($B$3/$B$4)*B79^2)</f>
        <v>1.1122658627173983E-2</v>
      </c>
      <c r="E80" s="1">
        <f>$B$2*($B$5*B79)</f>
        <v>6.134985327319124E-3</v>
      </c>
      <c r="F80" s="1">
        <f>$B$2*(($B$3*(B79+D80))-($B$3/$B$4)*(B79+D80)^2)</f>
        <v>1.0730329859193E-2</v>
      </c>
      <c r="G80" s="1">
        <f>$B$2*(($B$5*(B79+D80)))</f>
        <v>6.2300840585814612E-3</v>
      </c>
    </row>
    <row r="81" spans="1:7" x14ac:dyDescent="0.35">
      <c r="A81" s="1">
        <f t="shared" si="1"/>
        <v>0.36000000000000021</v>
      </c>
      <c r="B81" s="1">
        <f>B80+0.5*(D81+F81)</f>
        <v>0.73900863555591945</v>
      </c>
      <c r="C81" s="1">
        <f>C80+0.5*(E81+G81)</f>
        <v>0.18534273741625859</v>
      </c>
      <c r="D81" s="1">
        <f>$B$2*(($B$3*B80)-($B$3/$B$4)*B80^2)</f>
        <v>1.0737398505103926E-2</v>
      </c>
      <c r="E81" s="1">
        <f>$B$2*($B$5*B80)</f>
        <v>6.2284068530983425E-3</v>
      </c>
      <c r="F81" s="1">
        <f>$B$2*(($B$3*(B80+D81))-($B$3/$B$4)*(B80+D81)^2)</f>
        <v>1.0342597028175193E-2</v>
      </c>
      <c r="G81" s="1">
        <f>$B$2*(($B$5*(B80+D81)))</f>
        <v>6.3202116103169819E-3</v>
      </c>
    </row>
    <row r="82" spans="1:7" x14ac:dyDescent="0.35">
      <c r="A82" s="1">
        <f t="shared" si="1"/>
        <v>0.36500000000000021</v>
      </c>
      <c r="B82" s="1">
        <f>B81+0.5*(D82+F82)</f>
        <v>0.74916089538782449</v>
      </c>
      <c r="C82" s="1">
        <f>C81+0.5*(E82+G82)</f>
        <v>0.19170550750111107</v>
      </c>
      <c r="D82" s="1">
        <f>$B$2*(($B$3*B81)-($B$3/$B$4)*B81^2)</f>
        <v>1.0350000198681313E-2</v>
      </c>
      <c r="E82" s="1">
        <f>$B$2*($B$5*B81)</f>
        <v>6.3185238340031117E-3</v>
      </c>
      <c r="F82" s="1">
        <f>$B$2*(($B$3*(B81+D82))-($B$3/$B$4)*(B81+D82)^2)</f>
        <v>9.9545194651287309E-3</v>
      </c>
      <c r="G82" s="1">
        <f>$B$2*(($B$5*(B81+D82)))</f>
        <v>6.4070163357018359E-3</v>
      </c>
    </row>
    <row r="83" spans="1:7" x14ac:dyDescent="0.35">
      <c r="A83" s="1">
        <f t="shared" si="1"/>
        <v>0.37000000000000022</v>
      </c>
      <c r="B83" s="1">
        <f>B82+0.5*(D83+F83)</f>
        <v>0.75892586608162993</v>
      </c>
      <c r="C83" s="1">
        <f>C82+0.5*(E83+G83)</f>
        <v>0.19815342162643343</v>
      </c>
      <c r="D83" s="1">
        <f>$B$2*(($B$3*B82)-($B$3/$B$4)*B82^2)</f>
        <v>9.9622151477133641E-3</v>
      </c>
      <c r="E83" s="1">
        <f>$B$2*($B$5*B82)</f>
        <v>6.4053256555658992E-3</v>
      </c>
      <c r="F83" s="1">
        <f>$B$2*(($B$3*(B82+D83))-($B$3/$B$4)*(B82+D83)^2)</f>
        <v>9.5677262398975674E-3</v>
      </c>
      <c r="G83" s="1">
        <f>$B$2*(($B$5*(B82+D83)))</f>
        <v>6.4905025950788486E-3</v>
      </c>
    </row>
    <row r="84" spans="1:7" x14ac:dyDescent="0.35">
      <c r="A84" s="1">
        <f t="shared" si="1"/>
        <v>0.37500000000000022</v>
      </c>
      <c r="B84" s="1">
        <f>B83+0.5*(D84+F84)</f>
        <v>0.76830555932317923</v>
      </c>
      <c r="C84" s="1">
        <f>C83+0.5*(E84+G84)</f>
        <v>0.20468317377512027</v>
      </c>
      <c r="D84" s="1">
        <f>$B$2*(($B$3*B83)-($B$3/$B$4)*B83^2)</f>
        <v>9.5756710383384999E-3</v>
      </c>
      <c r="E84" s="1">
        <f>$B$2*($B$5*B83)</f>
        <v>6.488816154997936E-3</v>
      </c>
      <c r="F84" s="1">
        <f>$B$2*(($B$3*(B83+D84))-($B$3/$B$4)*(B83+D84)^2)</f>
        <v>9.1837154447601682E-3</v>
      </c>
      <c r="G84" s="1">
        <f>$B$2*(($B$5*(B83+D84)))</f>
        <v>6.5706881423757291E-3</v>
      </c>
    </row>
    <row r="85" spans="1:7" x14ac:dyDescent="0.35">
      <c r="A85" s="1">
        <f t="shared" si="1"/>
        <v>0.38000000000000023</v>
      </c>
      <c r="B85" s="1">
        <f>B84+0.5*(D85+F85)</f>
        <v>0.7773034172080151</v>
      </c>
      <c r="C85" s="1">
        <f>C84+0.5*(E85+G85)</f>
        <v>0.21129148153184402</v>
      </c>
      <c r="D85" s="1">
        <f>$B$2*(($B$3*B84)-($B$3/$B$4)*B84^2)</f>
        <v>9.1918653825914642E-3</v>
      </c>
      <c r="E85" s="1">
        <f>$B$2*($B$5*B84)</f>
        <v>6.5690125322131823E-3</v>
      </c>
      <c r="F85" s="1">
        <f>$B$2*(($B$3*(B84+D85))-($B$3/$B$4)*(B84+D85)^2)</f>
        <v>8.8038503870801945E-3</v>
      </c>
      <c r="G85" s="1">
        <f>$B$2*(($B$5*(B84+D85)))</f>
        <v>6.6476029812343384E-3</v>
      </c>
    </row>
    <row r="86" spans="1:7" x14ac:dyDescent="0.35">
      <c r="A86" s="1">
        <f t="shared" si="1"/>
        <v>0.38500000000000023</v>
      </c>
      <c r="B86" s="1">
        <f>B85+0.5*(D86+F86)</f>
        <v>0.78592417708204632</v>
      </c>
      <c r="C86" s="1">
        <f>C85+0.5*(E86+G86)</f>
        <v>0.21797509773997664</v>
      </c>
      <c r="D86" s="1">
        <f>$B$2*(($B$3*B85)-($B$3/$B$4)*B85^2)</f>
        <v>8.8121616383873488E-3</v>
      </c>
      <c r="E86" s="1">
        <f>$B$2*($B$5*B85)</f>
        <v>6.6459442171285287E-3</v>
      </c>
      <c r="F86" s="1">
        <f>$B$2*(($B$3*(B85+D86))-($B$3/$B$4)*(B85+D86)^2)</f>
        <v>8.4293581096750534E-3</v>
      </c>
      <c r="G86" s="1">
        <f>$B$2*(($B$5*(B85+D86)))</f>
        <v>6.7212881991367416E-3</v>
      </c>
    </row>
    <row r="87" spans="1:7" x14ac:dyDescent="0.35">
      <c r="A87" s="1">
        <f t="shared" si="1"/>
        <v>0.39000000000000024</v>
      </c>
      <c r="B87" s="1">
        <f>B86+0.5*(D87+F87)</f>
        <v>0.79417373589919571</v>
      </c>
      <c r="C87" s="1">
        <f>C86+0.5*(E87+G87)</f>
        <v>0.22473082099622255</v>
      </c>
      <c r="D87" s="1">
        <f>$B$2*(($B$3*B86)-($B$3/$B$4)*B86^2)</f>
        <v>8.4377876478133815E-3</v>
      </c>
      <c r="E87" s="1">
        <f>$B$2*($B$5*B86)</f>
        <v>6.719651714051496E-3</v>
      </c>
      <c r="F87" s="1">
        <f>$B$2*(($B$3*(B86+D87))-($B$3/$B$4)*(B86+D87)^2)</f>
        <v>8.0613299864854601E-3</v>
      </c>
      <c r="G87" s="1">
        <f>$B$2*(($B$5*(B86+D87)))</f>
        <v>6.7917947984402994E-3</v>
      </c>
    </row>
    <row r="88" spans="1:7" x14ac:dyDescent="0.35">
      <c r="A88" s="1">
        <f t="shared" si="1"/>
        <v>0.39500000000000024</v>
      </c>
      <c r="B88" s="1">
        <f>B87+0.5*(D88+F88)</f>
        <v>0.80205901603490781</v>
      </c>
      <c r="C88" s="1">
        <f>C87+0.5*(E88+G88)</f>
        <v>0.23155550498768115</v>
      </c>
      <c r="D88" s="1">
        <f>$B$2*(($B$3*B87)-($B$3/$B$4)*B87^2)</f>
        <v>8.069836145140296E-3</v>
      </c>
      <c r="E88" s="1">
        <f>$B$2*($B$5*B87)</f>
        <v>6.7901854419381239E-3</v>
      </c>
      <c r="F88" s="1">
        <f>$B$2*(($B$3*(B87+D88))-($B$3/$B$4)*(B87+D88)^2)</f>
        <v>7.7007241262839442E-3</v>
      </c>
      <c r="G88" s="1">
        <f>$B$2*(($B$5*(B87+D88)))</f>
        <v>6.8591825409790733E-3</v>
      </c>
    </row>
    <row r="89" spans="1:7" x14ac:dyDescent="0.35">
      <c r="A89" s="1">
        <f t="shared" si="1"/>
        <v>0.40000000000000024</v>
      </c>
      <c r="B89" s="1">
        <f>B88+0.5*(D89+F89)</f>
        <v>0.80958783422644098</v>
      </c>
      <c r="C89" s="1">
        <f>C88+0.5*(E89+G89)</f>
        <v>0.23844606669150695</v>
      </c>
      <c r="D89" s="1">
        <f>$B$2*(($B$3*B88)-($B$3/$B$4)*B88^2)</f>
        <v>7.7092670707237599E-3</v>
      </c>
      <c r="E89" s="1">
        <f>$B$2*($B$5*B88)</f>
        <v>6.8576045870984616E-3</v>
      </c>
      <c r="F89" s="1">
        <f>$B$2*(($B$3*(B88+D89))-($B$3/$B$4)*(B88+D89)^2)</f>
        <v>7.3483693123426262E-3</v>
      </c>
      <c r="G89" s="1">
        <f>$B$2*(($B$5*(B88+D89)))</f>
        <v>6.9235188205531498E-3</v>
      </c>
    </row>
    <row r="90" spans="1:7" x14ac:dyDescent="0.35">
      <c r="A90" s="1">
        <f t="shared" si="1"/>
        <v>0.40500000000000025</v>
      </c>
      <c r="B90" s="1">
        <f>B89+0.5*(D90+F90)</f>
        <v>0.81676877504211798</v>
      </c>
      <c r="C90" s="1">
        <f>C89+0.5*(E90+G90)</f>
        <v>0.24539949347047069</v>
      </c>
      <c r="D90" s="1">
        <f>$B$2*(($B$3*B89)-($B$3/$B$4)*B89^2)</f>
        <v>7.3569114216738198E-3</v>
      </c>
      <c r="E90" s="1">
        <f>$B$2*($B$5*B89)</f>
        <v>6.921975982636071E-3</v>
      </c>
      <c r="F90" s="1">
        <f>$B$2*(($B$3*(B89+D90))-($B$3/$B$4)*(B89+D90)^2)</f>
        <v>7.0049702096801085E-3</v>
      </c>
      <c r="G90" s="1">
        <f>$B$2*(($B$5*(B89+D90)))</f>
        <v>6.9848775752913818E-3</v>
      </c>
    </row>
    <row r="91" spans="1:7" x14ac:dyDescent="0.35">
      <c r="A91" s="1">
        <f t="shared" si="1"/>
        <v>0.41000000000000025</v>
      </c>
      <c r="B91" s="1">
        <f>B90+0.5*(D91+F91)</f>
        <v>0.82361107001986622</v>
      </c>
      <c r="C91" s="1">
        <f>C90+0.5*(E91+G91)</f>
        <v>0.25241284910857686</v>
      </c>
      <c r="D91" s="1">
        <f>$B$2*(($B$3*B90)-($B$3/$B$4)*B90^2)</f>
        <v>7.0134763733554987E-3</v>
      </c>
      <c r="E91" s="1">
        <f>$B$2*($B$5*B90)</f>
        <v>6.9833730266101093E-3</v>
      </c>
      <c r="F91" s="1">
        <f>$B$2*(($B$3*(B90+D91))-($B$3/$B$4)*(B90+D91)^2)</f>
        <v>6.6711135821410751E-3</v>
      </c>
      <c r="G91" s="1">
        <f>$B$2*(($B$5*(B90+D91)))</f>
        <v>7.0433382496022977E-3</v>
      </c>
    </row>
    <row r="92" spans="1:7" x14ac:dyDescent="0.35">
      <c r="A92" s="1">
        <f t="shared" si="1"/>
        <v>0.41500000000000026</v>
      </c>
      <c r="B92" s="1">
        <f>B91+0.5*(D92+F92)</f>
        <v>0.83012448336659328</v>
      </c>
      <c r="C92" s="1">
        <f>C91+0.5*(E92+G92)</f>
        <v>0.25948327883954969</v>
      </c>
      <c r="D92" s="1">
        <f>$B$2*(($B$3*B91)-($B$3/$B$4)*B91^2)</f>
        <v>6.6795514158947272E-3</v>
      </c>
      <c r="E92" s="1">
        <f>$B$2*($B$5*B91)</f>
        <v>7.0418746486698557E-3</v>
      </c>
      <c r="F92" s="1">
        <f>$B$2*(($B$3*(B91+D92))-($B$3/$B$4)*(B91+D92)^2)</f>
        <v>6.3472752775594367E-3</v>
      </c>
      <c r="G92" s="1">
        <f>$B$2*(($B$5*(B91+D92)))</f>
        <v>7.0989848132757558E-3</v>
      </c>
    </row>
    <row r="93" spans="1:7" x14ac:dyDescent="0.35">
      <c r="A93" s="1">
        <f t="shared" si="1"/>
        <v>0.42000000000000026</v>
      </c>
      <c r="B93" s="1">
        <f>B92+0.5*(D93+F93)</f>
        <v>0.83631920487884126</v>
      </c>
      <c r="C93" s="1">
        <f>C92+0.5*(E93+G93)</f>
        <v>0.26660801342759349</v>
      </c>
      <c r="D93" s="1">
        <f>$B$2*(($B$3*B92)-($B$3/$B$4)*B92^2)</f>
        <v>6.3556152653578123E-3</v>
      </c>
      <c r="E93" s="1">
        <f>$B$2*($B$5*B92)</f>
        <v>7.0975643327843728E-3</v>
      </c>
      <c r="F93" s="1">
        <f>$B$2*(($B$3*(B92+D93))-($B$3/$B$4)*(B92+D93)^2)</f>
        <v>6.0338277591381485E-3</v>
      </c>
      <c r="G93" s="1">
        <f>$B$2*(($B$5*(B92+D93)))</f>
        <v>7.1519048433031822E-3</v>
      </c>
    </row>
    <row r="94" spans="1:7" x14ac:dyDescent="0.35">
      <c r="A94" s="1">
        <f t="shared" si="1"/>
        <v>0.42500000000000027</v>
      </c>
      <c r="B94" s="1">
        <f>B93+0.5*(D94+F94)</f>
        <v>0.84220575053498603</v>
      </c>
      <c r="C94" s="1">
        <f>C93+0.5*(E94+G94)</f>
        <v>0.27378437236453773</v>
      </c>
      <c r="D94" s="1">
        <f>$B$2*(($B$3*B93)-($B$3/$B$4)*B93^2)</f>
        <v>6.0420433286905786E-3</v>
      </c>
      <c r="E94" s="1">
        <f>$B$2*($B$5*B93)</f>
        <v>7.1505292017140934E-3</v>
      </c>
      <c r="F94" s="1">
        <f>$B$2*(($B$3*(B93+D94))-($B$3/$B$4)*(B93+D94)^2)</f>
        <v>5.7310479835989718E-3</v>
      </c>
      <c r="G94" s="1">
        <f>$B$2*(($B$5*(B93+D94)))</f>
        <v>7.2021886721743977E-3</v>
      </c>
    </row>
    <row r="95" spans="1:7" x14ac:dyDescent="0.35">
      <c r="A95" s="1">
        <f t="shared" si="1"/>
        <v>0.43000000000000027</v>
      </c>
      <c r="B95" s="1">
        <f>B94+0.5*(D95+F95)</f>
        <v>0.84779487102195983</v>
      </c>
      <c r="C95" s="1">
        <f>C94+0.5*(E95+G95)</f>
        <v>0.28100976625047486</v>
      </c>
      <c r="D95" s="1">
        <f>$B$2*(($B$3*B94)-($B$3/$B$4)*B94^2)</f>
        <v>5.7391155235096214E-3</v>
      </c>
      <c r="E95" s="1">
        <f>$B$2*($B$5*B94)</f>
        <v>7.200859167074131E-3</v>
      </c>
      <c r="F95" s="1">
        <f>$B$2*(($B$3*(B94+D95))-($B$3/$B$4)*(B94+D95)^2)</f>
        <v>5.4391254504379738E-3</v>
      </c>
      <c r="G95" s="1">
        <f>$B$2*(($B$5*(B94+D95)))</f>
        <v>7.249928604800138E-3</v>
      </c>
    </row>
    <row r="96" spans="1:7" x14ac:dyDescent="0.35">
      <c r="A96" s="1">
        <f t="shared" si="1"/>
        <v>0.43500000000000028</v>
      </c>
      <c r="B96" s="1">
        <f>B95+0.5*(D96+F96)</f>
        <v>0.85309746829598143</v>
      </c>
      <c r="C96" s="1">
        <f>C95+0.5*(E96+G96)</f>
        <v>0.28828169842649792</v>
      </c>
      <c r="D96" s="1">
        <f>$B$2*(($B$3*B95)-($B$3/$B$4)*B95^2)</f>
        <v>5.4470242772683974E-3</v>
      </c>
      <c r="E96" s="1">
        <f>$B$2*($B$5*B95)</f>
        <v>7.2486461472377559E-3</v>
      </c>
      <c r="F96" s="1">
        <f>$B$2*(($B$3*(B95+D96))-($B$3/$B$4)*(B95+D96)^2)</f>
        <v>5.1581702707748176E-3</v>
      </c>
      <c r="G96" s="1">
        <f>$B$2*(($B$5*(B95+D96)))</f>
        <v>7.2952182048084012E-3</v>
      </c>
    </row>
    <row r="97" spans="1:7" x14ac:dyDescent="0.35">
      <c r="A97" s="1">
        <f t="shared" si="1"/>
        <v>0.44000000000000028</v>
      </c>
      <c r="B97" s="1">
        <f>B96+0.5*(D97+F97)</f>
        <v>0.85812452013707385</v>
      </c>
      <c r="C97" s="1">
        <f>C96+0.5*(E97+G97)</f>
        <v>0.29559776592834769</v>
      </c>
      <c r="D97" s="1">
        <f>$B$2*(($B$3*B96)-($B$3/$B$4)*B96^2)</f>
        <v>5.1658825541821421E-3</v>
      </c>
      <c r="E97" s="1">
        <f>$B$2*($B$5*B96)</f>
        <v>7.2939833539306413E-3</v>
      </c>
      <c r="F97" s="1">
        <f>$B$2*(($B$3*(B96+D97))-($B$3/$B$4)*(B96+D97)^2)</f>
        <v>4.8882211280026327E-3</v>
      </c>
      <c r="G97" s="1">
        <f>$B$2*(($B$5*(B96+D97)))</f>
        <v>7.3381516497688986E-3</v>
      </c>
    </row>
    <row r="98" spans="1:7" x14ac:dyDescent="0.35">
      <c r="A98" s="1">
        <f t="shared" si="1"/>
        <v>0.44500000000000028</v>
      </c>
      <c r="B98" s="1">
        <f>B97+0.5*(D98+F98)</f>
        <v>0.86288701254051814</v>
      </c>
      <c r="C98" s="1">
        <f>C97+0.5*(E98+G98)</f>
        <v>0.30295565982888678</v>
      </c>
      <c r="D98" s="1">
        <f>$B$2*(($B$3*B97)-($B$3/$B$4)*B97^2)</f>
        <v>4.8957317817850841E-3</v>
      </c>
      <c r="E98" s="1">
        <f>$B$2*($B$5*B97)</f>
        <v>7.3369646471719823E-3</v>
      </c>
      <c r="F98" s="1">
        <f>$B$2*(($B$3*(B97+D98))-($B$3/$B$4)*(B97+D98)^2)</f>
        <v>4.6292530251034062E-3</v>
      </c>
      <c r="G98" s="1">
        <f>$B$2*(($B$5*(B97+D98)))</f>
        <v>7.3788231539062433E-3</v>
      </c>
    </row>
    <row r="99" spans="1:7" x14ac:dyDescent="0.35">
      <c r="A99" s="1">
        <f t="shared" si="1"/>
        <v>0.45000000000000029</v>
      </c>
      <c r="B99" s="1">
        <f>B98+0.5*(D99+F99)</f>
        <v>0.86739587969357757</v>
      </c>
      <c r="C99" s="1">
        <f>C98+0.5*(E99+G99)</f>
        <v>0.31035316503552629</v>
      </c>
      <c r="D99" s="1">
        <f>$B$2*(($B$3*B98)-($B$3/$B$4)*B98^2)</f>
        <v>4.6365495714815186E-3</v>
      </c>
      <c r="E99" s="1">
        <f>$B$2*($B$5*B98)</f>
        <v>7.3776839572214301E-3</v>
      </c>
      <c r="F99" s="1">
        <f>$B$2*(($B$3*(B98+D99))-($B$3/$B$4)*(B98+D99)^2)</f>
        <v>4.3811847346372891E-3</v>
      </c>
      <c r="G99" s="1">
        <f>$B$2*(($B$5*(B98+D99)))</f>
        <v>7.4173264560575972E-3</v>
      </c>
    </row>
    <row r="100" spans="1:7" x14ac:dyDescent="0.35">
      <c r="A100" s="1">
        <f t="shared" si="1"/>
        <v>0.45500000000000029</v>
      </c>
      <c r="B100" s="1">
        <f>B99+0.5*(D100+F100)</f>
        <v>0.87166195121118117</v>
      </c>
      <c r="C100" s="1">
        <f>C99+0.5*(E100+G100)</f>
        <v>0.31778815960621609</v>
      </c>
      <c r="D100" s="1">
        <f>$B$2*(($B$3*B99)-($B$3/$B$4)*B99^2)</f>
        <v>4.3882571484767756E-3</v>
      </c>
      <c r="E100" s="1">
        <f>$B$2*($B$5*B99)</f>
        <v>7.4162347713800881E-3</v>
      </c>
      <c r="F100" s="1">
        <f>$B$2*(($B$3*(B99+D100))-($B$3/$B$4)*(B99+D100)^2)</f>
        <v>4.1438858867304078E-3</v>
      </c>
      <c r="G100" s="1">
        <f>$B$2*(($B$5*(B99+D100)))</f>
        <v>7.4537543699995648E-3</v>
      </c>
    </row>
    <row r="101" spans="1:7" x14ac:dyDescent="0.35">
      <c r="A101" s="1">
        <f t="shared" si="1"/>
        <v>0.4600000000000003</v>
      </c>
      <c r="B101" s="1">
        <f>B100+0.5*(D101+F101)</f>
        <v>0.87569590624788596</v>
      </c>
      <c r="C101" s="1">
        <f>C100+0.5*(E101+G101)</f>
        <v>0.32525861364454162</v>
      </c>
      <c r="D101" s="1">
        <f>$B$2*(($B$3*B100)-($B$3/$B$4)*B100^2)</f>
        <v>4.1507264257173923E-3</v>
      </c>
      <c r="E101" s="1">
        <f>$B$2*($B$5*B100)</f>
        <v>7.4527096828555994E-3</v>
      </c>
      <c r="F101" s="1">
        <f>$B$2*(($B$3*(B100+D101))-($B$3/$B$4)*(B100+D101)^2)</f>
        <v>3.9171836476922109E-3</v>
      </c>
      <c r="G101" s="1">
        <f>$B$2*(($B$5*(B100+D101)))</f>
        <v>7.4881983937954821E-3</v>
      </c>
    </row>
    <row r="102" spans="1:7" x14ac:dyDescent="0.35">
      <c r="A102" s="1">
        <f t="shared" si="1"/>
        <v>0.4650000000000003</v>
      </c>
      <c r="B102" s="1">
        <f>B101+0.5*(D102+F102)</f>
        <v>0.87950823406331391</v>
      </c>
      <c r="C102" s="1">
        <f>C101+0.5*(E102+G102)</f>
        <v>0.33276258783099127</v>
      </c>
      <c r="D102" s="1">
        <f>$B$2*(($B$3*B101)-($B$3/$B$4)*B101^2)</f>
        <v>3.9237866737423131E-3</v>
      </c>
      <c r="E102" s="1">
        <f>$B$2*($B$5*B101)</f>
        <v>7.4871999984194252E-3</v>
      </c>
      <c r="F102" s="1">
        <f>$B$2*(($B$3*(B101+D102))-($B$3/$B$4)*(B101+D102)^2)</f>
        <v>3.7008689571136257E-3</v>
      </c>
      <c r="G102" s="1">
        <f>$B$2*(($B$5*(B101+D102)))</f>
        <v>7.5207483744799209E-3</v>
      </c>
    </row>
    <row r="103" spans="1:7" x14ac:dyDescent="0.35">
      <c r="A103" s="1">
        <f t="shared" si="1"/>
        <v>0.47000000000000031</v>
      </c>
      <c r="B103" s="1">
        <f>B102+0.5*(D103+F103)</f>
        <v>0.88310920059231335</v>
      </c>
      <c r="C103" s="1">
        <f>C102+0.5*(E103+G103)</f>
        <v>0.3402982316437041</v>
      </c>
      <c r="D103" s="1">
        <f>$B$2*(($B$3*B102)-($B$3/$B$4)*B102^2)</f>
        <v>3.7072307535634687E-3</v>
      </c>
      <c r="E103" s="1">
        <f>$B$2*($B$5*B102)</f>
        <v>7.5197954012413337E-3</v>
      </c>
      <c r="F103" s="1">
        <f>$B$2*(($B$3*(B102+D103))-($B$3/$B$4)*(B102+D103)^2)</f>
        <v>3.4947023044353733E-3</v>
      </c>
      <c r="G103" s="1">
        <f>$B$2*(($B$5*(B102+D103)))</f>
        <v>7.5514922241843021E-3</v>
      </c>
    </row>
    <row r="104" spans="1:7" x14ac:dyDescent="0.35">
      <c r="A104" s="1">
        <f t="shared" si="1"/>
        <v>0.47500000000000031</v>
      </c>
      <c r="B104" s="1">
        <f>B103+0.5*(D104+F104)</f>
        <v>0.88650882055729163</v>
      </c>
      <c r="C104" s="1">
        <f>C103+0.5*(E104+G104)</f>
        <v>0.34786378131808532</v>
      </c>
      <c r="D104" s="1">
        <f>$B$2*(($B$3*B103)-($B$3/$B$4)*B103^2)</f>
        <v>3.500820892852845E-3</v>
      </c>
      <c r="E104" s="1">
        <f>$B$2*($B$5*B103)</f>
        <v>7.5505836650642793E-3</v>
      </c>
      <c r="F104" s="1">
        <f>$B$2*(($B$3*(B103+D104))-($B$3/$B$4)*(B103+D104)^2)</f>
        <v>3.2984190371036881E-3</v>
      </c>
      <c r="G104" s="1">
        <f>$B$2*(($B$5*(B103+D104)))</f>
        <v>7.5805156836981713E-3</v>
      </c>
    </row>
    <row r="105" spans="1:7" x14ac:dyDescent="0.35">
      <c r="A105" s="1">
        <f t="shared" si="1"/>
        <v>0.48000000000000032</v>
      </c>
      <c r="B105" s="1">
        <f>B104+0.5*(D105+F105)</f>
        <v>0.88971683465656426</v>
      </c>
      <c r="C105" s="1">
        <f>C104+0.5*(E105+G105)</f>
        <v>0.35545755759068681</v>
      </c>
      <c r="D105" s="1">
        <f>$B$2*(($B$3*B104)-($B$3/$B$4)*B104^2)</f>
        <v>3.3042939968800857E-3</v>
      </c>
      <c r="E105" s="1">
        <f>$B$2*($B$5*B104)</f>
        <v>7.5796504157648438E-3</v>
      </c>
      <c r="F105" s="1">
        <f>$B$2*(($B$3*(B104+D105))-($B$3/$B$4)*(B104+D105)^2)</f>
        <v>3.1117342016652662E-3</v>
      </c>
      <c r="G105" s="1">
        <f>$B$2*(($B$5*(B104+D105)))</f>
        <v>7.6079021294381682E-3</v>
      </c>
    </row>
    <row r="106" spans="1:7" x14ac:dyDescent="0.35">
      <c r="A106" s="1">
        <f t="shared" si="1"/>
        <v>0.48500000000000032</v>
      </c>
      <c r="B106" s="1">
        <f>B105+0.5*(D106+F106)</f>
        <v>0.89274269136735185</v>
      </c>
      <c r="C106" s="1">
        <f>C105+0.5*(E106+G106)</f>
        <v>0.36307796326876629</v>
      </c>
      <c r="D106" s="1">
        <f>$B$2*(($B$3*B105)-($B$3/$B$4)*B105^2)</f>
        <v>3.1173664949306003E-3</v>
      </c>
      <c r="E106" s="1">
        <f>$B$2*($B$5*B105)</f>
        <v>7.6070789363136236E-3</v>
      </c>
      <c r="F106" s="1">
        <f>$B$2*(($B$3*(B105+D106))-($B$3/$B$4)*(B105+D106)^2)</f>
        <v>2.9343469266444712E-3</v>
      </c>
      <c r="G106" s="1">
        <f>$B$2*(($B$5*(B105+D106)))</f>
        <v>7.6337324198452808E-3</v>
      </c>
    </row>
    <row r="107" spans="1:7" x14ac:dyDescent="0.35">
      <c r="A107" s="1">
        <f t="shared" si="1"/>
        <v>0.49000000000000032</v>
      </c>
      <c r="B107" s="1">
        <f>B106+0.5*(D107+F107)</f>
        <v>0.89559553291357397</v>
      </c>
      <c r="C107" s="1">
        <f>C106+0.5*(E107+G107)</f>
        <v>0.37072348066302996</v>
      </c>
      <c r="D107" s="1">
        <f>$B$2*(($B$3*B106)-($B$3/$B$4)*B106^2)</f>
        <v>2.9397387304834588E-3</v>
      </c>
      <c r="E107" s="1">
        <f>$B$2*($B$5*B106)</f>
        <v>7.6329500111908576E-3</v>
      </c>
      <c r="F107" s="1">
        <f>$B$2*(($B$3*(B106+D107))-($B$3/$B$4)*(B106+D107)^2)</f>
        <v>2.7659443619607329E-3</v>
      </c>
      <c r="G107" s="1">
        <f>$B$2*(($B$5*(B106+D107)))</f>
        <v>7.6580847773364928E-3</v>
      </c>
    </row>
    <row r="108" spans="1:7" x14ac:dyDescent="0.35">
      <c r="A108" s="1">
        <f t="shared" si="1"/>
        <v>0.49500000000000033</v>
      </c>
      <c r="B108" s="1">
        <f>B107+0.5*(D108+F108)</f>
        <v>0.89828418496535811</v>
      </c>
      <c r="C108" s="1">
        <f>C107+0.5*(E108+G108)</f>
        <v>0.37839266891727874</v>
      </c>
      <c r="D108" s="1">
        <f>$B$2*(($B$3*B107)-($B$3/$B$4)*B107^2)</f>
        <v>2.7710989094071438E-3</v>
      </c>
      <c r="E108" s="1">
        <f>$B$2*($B$5*B107)</f>
        <v>7.6573418064110575E-3</v>
      </c>
      <c r="F108" s="1">
        <f>$B$2*(($B$3*(B107+D108))-($B$3/$B$4)*(B107+D108)^2)</f>
        <v>2.6062051941612287E-3</v>
      </c>
      <c r="G108" s="1">
        <f>$B$2*(($B$5*(B107+D108)))</f>
        <v>7.6810347020864894E-3</v>
      </c>
    </row>
    <row r="109" spans="1:7" x14ac:dyDescent="0.35">
      <c r="A109" s="1">
        <f t="shared" si="1"/>
        <v>0.50000000000000033</v>
      </c>
      <c r="B109" s="1">
        <f>B108+0.5*(D109+F109)</f>
        <v>0.90081714965788406</v>
      </c>
      <c r="C109" s="1">
        <f>C108+0.5*(E109+G109)</f>
        <v>0.38608416126505446</v>
      </c>
      <c r="D109" s="1">
        <f>$B$2*(($B$3*B108)-($B$3/$B$4)*B108^2)</f>
        <v>2.6111266250112754E-3</v>
      </c>
      <c r="E109" s="1">
        <f>$B$2*($B$5*B108)</f>
        <v>7.6803297814538119E-3</v>
      </c>
      <c r="F109" s="1">
        <f>$B$2*(($B$3*(B108+D109))-($B$3/$B$4)*(B108+D109)^2)</f>
        <v>2.4548027600406553E-3</v>
      </c>
      <c r="G109" s="1">
        <f>$B$2*(($B$5*(B108+D109)))</f>
        <v>7.7026549140976584E-3</v>
      </c>
    </row>
    <row r="110" spans="1:7" x14ac:dyDescent="0.35">
      <c r="A110" s="1">
        <f t="shared" si="1"/>
        <v>0.50500000000000034</v>
      </c>
      <c r="B110" s="1">
        <f>B109+0.5*(D110+F110)</f>
        <v>0.90320260154069476</v>
      </c>
      <c r="C110" s="1">
        <f>C109+0.5*(E110+G110)</f>
        <v>0.39379666223995308</v>
      </c>
      <c r="D110" s="1">
        <f>$B$2*(($B$3*B109)-($B$3/$B$4)*B109^2)</f>
        <v>2.45949598215212E-3</v>
      </c>
      <c r="E110" s="1">
        <f>$B$2*($B$5*B109)</f>
        <v>7.7019866295749088E-3</v>
      </c>
      <c r="F110" s="1">
        <f>$B$2*(($B$3*(B109+D110))-($B$3/$B$4)*(B109+D110)^2)</f>
        <v>2.3114077834693169E-3</v>
      </c>
      <c r="G110" s="1">
        <f>$B$2*(($B$5*(B109+D110)))</f>
        <v>7.7230153202223093E-3</v>
      </c>
    </row>
    <row r="111" spans="1:7" x14ac:dyDescent="0.35">
      <c r="A111" s="1">
        <f t="shared" si="1"/>
        <v>0.51000000000000034</v>
      </c>
      <c r="B111" s="1">
        <f>B110+0.5*(D111+F111)</f>
        <v>0.90544838609395106</v>
      </c>
      <c r="C111" s="1">
        <f>C110+0.5*(E111+G111)</f>
        <v>0.40152894486305046</v>
      </c>
      <c r="D111" s="1">
        <f>$B$2*(($B$3*B110)-($B$3/$B$4)*B110^2)</f>
        <v>2.3158783448973355E-3</v>
      </c>
      <c r="E111" s="1">
        <f>$B$2*($B$5*B110)</f>
        <v>7.7223822431729408E-3</v>
      </c>
      <c r="F111" s="1">
        <f>$B$2*(($B$3*(B110+D111))-($B$3/$B$4)*(B110+D111)^2)</f>
        <v>2.1756907616152879E-3</v>
      </c>
      <c r="G111" s="1">
        <f>$B$2*(($B$5*(B110+D111)))</f>
        <v>7.7421830030218125E-3</v>
      </c>
    </row>
    <row r="112" spans="1:7" x14ac:dyDescent="0.35">
      <c r="A112" s="1">
        <f t="shared" si="1"/>
        <v>0.51500000000000035</v>
      </c>
      <c r="B112" s="1">
        <f>B111+0.5*(D112+F112)</f>
        <v>0.90756202047447787</v>
      </c>
      <c r="C112" s="1">
        <f>C111+0.5*(E112+G112)</f>
        <v>0.40927984782789023</v>
      </c>
      <c r="D112" s="1">
        <f>$B$2*(($B$3*B111)-($B$3/$B$4)*B111^2)</f>
        <v>2.1799447336758961E-3</v>
      </c>
      <c r="E112" s="1">
        <f>$B$2*($B$5*B111)</f>
        <v>7.741583701103282E-3</v>
      </c>
      <c r="F112" s="1">
        <f>$B$2*(($B$3*(B111+D112))-($B$3/$B$4)*(B111+D112)^2)</f>
        <v>2.0473240273777994E-3</v>
      </c>
      <c r="G112" s="1">
        <f>$B$2*(($B$5*(B111+D112)))</f>
        <v>7.7602222285762107E-3</v>
      </c>
    </row>
    <row r="113" spans="1:7" x14ac:dyDescent="0.35">
      <c r="A113" s="1">
        <f t="shared" si="1"/>
        <v>0.52000000000000035</v>
      </c>
      <c r="B113" s="1">
        <f>B112+0.5*(D113+F113)</f>
        <v>0.90955069618117923</v>
      </c>
      <c r="C113" s="1">
        <f>C112+0.5*(E113+G113)</f>
        <v>0.41704827270071321</v>
      </c>
      <c r="D113" s="1">
        <f>$B$2*(($B$3*B112)-($B$3/$B$4)*B112^2)</f>
        <v>2.0513678985193185E-3</v>
      </c>
      <c r="E113" s="1">
        <f>$B$2*($B$5*B112)</f>
        <v>7.7596552750567862E-3</v>
      </c>
      <c r="F113" s="1">
        <f>$B$2*(($B$3*(B112+D113))-($B$3/$B$4)*(B112+D113)^2)</f>
        <v>1.9259835148834005E-3</v>
      </c>
      <c r="G113" s="1">
        <f>$B$2*(($B$5*(B112+D113)))</f>
        <v>7.7771944705891261E-3</v>
      </c>
    </row>
    <row r="114" spans="1:7" x14ac:dyDescent="0.35">
      <c r="A114" s="1">
        <f t="shared" si="1"/>
        <v>0.52500000000000036</v>
      </c>
      <c r="B114" s="1">
        <f>B113+0.5*(D114+F114)</f>
        <v>0.91142128335594652</v>
      </c>
      <c r="C114" s="1">
        <f>C113+0.5*(E114+G114)</f>
        <v>0.42483318115106877</v>
      </c>
      <c r="D114" s="1">
        <f>$B$2*(($B$3*B113)-($B$3/$B$4)*B113^2)</f>
        <v>1.9298240950797396E-3</v>
      </c>
      <c r="E114" s="1">
        <f>$B$2*($B$5*B113)</f>
        <v>7.7766584523490823E-3</v>
      </c>
      <c r="F114" s="1">
        <f>$B$2*(($B$3*(B113+D114))-($B$3/$B$4)*(B113+D114)^2)</f>
        <v>1.8113502544548333E-3</v>
      </c>
      <c r="G114" s="1">
        <f>$B$2*(($B$5*(B113+D114)))</f>
        <v>7.793158448362013E-3</v>
      </c>
    </row>
    <row r="115" spans="1:7" x14ac:dyDescent="0.35">
      <c r="A115" s="1">
        <f t="shared" si="1"/>
        <v>0.53000000000000036</v>
      </c>
      <c r="B115" s="1">
        <f>B114+0.5*(D115+F115)</f>
        <v>0.91318033646212704</v>
      </c>
      <c r="C115" s="1">
        <f>C114+0.5*(E115+G115)</f>
        <v>0.43263359222563313</v>
      </c>
      <c r="D115" s="1">
        <f>$B$2*(($B$3*B114)-($B$3/$B$4)*B114^2)</f>
        <v>1.8149945897079701E-3</v>
      </c>
      <c r="E115" s="1">
        <f>$B$2*($B$5*B114)</f>
        <v>7.7926519726933428E-3</v>
      </c>
      <c r="F115" s="1">
        <f>$B$2*(($B$3*(B114+D115))-($B$3/$B$4)*(B114+D115)^2)</f>
        <v>1.7031116226529708E-3</v>
      </c>
      <c r="G115" s="1">
        <f>$B$2*(($B$5*(B114+D115)))</f>
        <v>7.8081701764353461E-3</v>
      </c>
    </row>
    <row r="116" spans="1:7" x14ac:dyDescent="0.35">
      <c r="A116" s="1">
        <f t="shared" si="1"/>
        <v>0.53500000000000036</v>
      </c>
      <c r="B116" s="1">
        <f>B115+0.5*(D116+F116)</f>
        <v>0.91483410110762875</v>
      </c>
      <c r="C116" s="1">
        <f>C115+0.5*(E116+G116)</f>
        <v>0.44044857967596346</v>
      </c>
      <c r="D116" s="1">
        <f>$B$2*(($B$3*B115)-($B$3/$B$4)*B115^2)</f>
        <v>1.7065669190980692E-3</v>
      </c>
      <c r="E116" s="1">
        <f>$B$2*($B$5*B115)</f>
        <v>7.8076918767511858E-3</v>
      </c>
      <c r="F116" s="1">
        <f>$B$2*(($B$3*(B115+D116))-($B$3/$B$4)*(B115+D116)^2)</f>
        <v>1.6009623719054479E-3</v>
      </c>
      <c r="G116" s="1">
        <f>$B$2*(($B$5*(B115+D116)))</f>
        <v>7.8222830239094744E-3</v>
      </c>
    </row>
    <row r="117" spans="1:7" x14ac:dyDescent="0.35">
      <c r="A117" s="1">
        <f t="shared" si="1"/>
        <v>0.54000000000000037</v>
      </c>
      <c r="B117" s="1">
        <f>B116+0.5*(D117+F117)</f>
        <v>0.91638852180357755</v>
      </c>
      <c r="C117" s="1">
        <f>C116+0.5*(E117+G117)</f>
        <v>0.44827726934902995</v>
      </c>
      <c r="D117" s="1">
        <f>$B$2*(($B$3*B116)-($B$3/$B$4)*B116^2)</f>
        <v>1.6042359289476504E-3</v>
      </c>
      <c r="E117" s="1">
        <f>$B$2*($B$5*B116)</f>
        <v>7.8218315644702253E-3</v>
      </c>
      <c r="F117" s="1">
        <f>$B$2*(($B$3*(B116+D117))-($B$3/$B$4)*(B116+D117)^2)</f>
        <v>1.504605462950055E-3</v>
      </c>
      <c r="G117" s="1">
        <f>$B$2*(($B$5*(B116+D117)))</f>
        <v>7.8355477816627293E-3</v>
      </c>
    </row>
    <row r="118" spans="1:7" x14ac:dyDescent="0.35">
      <c r="A118" s="1">
        <f t="shared" si="1"/>
        <v>0.54500000000000037</v>
      </c>
      <c r="B118" s="1">
        <f>B117+0.5*(D118+F118)</f>
        <v>0.91784925047194055</v>
      </c>
      <c r="C118" s="1">
        <f>C117+0.5*(E118+G118)</f>
        <v>0.45611883664767888</v>
      </c>
      <c r="D118" s="1">
        <f>$B$2*(($B$3*B117)-($B$3/$B$4)*B117^2)</f>
        <v>1.5077046148213925E-3</v>
      </c>
      <c r="E118" s="1">
        <f>$B$2*($B$5*B117)</f>
        <v>7.8351218614205881E-3</v>
      </c>
      <c r="F118" s="1">
        <f>$B$2*(($B$3*(B117+D118))-($B$3/$B$4)*(B117+D118)^2)</f>
        <v>1.4137527219046397E-3</v>
      </c>
      <c r="G118" s="1">
        <f>$B$2*(($B$5*(B117+D118)))</f>
        <v>7.8480127358773119E-3</v>
      </c>
    </row>
    <row r="119" spans="1:7" x14ac:dyDescent="0.35">
      <c r="A119" s="1">
        <f t="shared" si="1"/>
        <v>0.55000000000000038</v>
      </c>
      <c r="B119" s="1">
        <f>B118+0.5*(D119+F119)</f>
        <v>0.91922165553658375</v>
      </c>
      <c r="C119" s="1">
        <f>C118+0.5*(E119+G119)</f>
        <v>0.46397250406667845</v>
      </c>
      <c r="D119" s="1">
        <f>$B$2*(($B$3*B118)-($B$3/$B$4)*B118^2)</f>
        <v>1.4166847870082132E-3</v>
      </c>
      <c r="E119" s="1">
        <f>$B$2*($B$5*B118)</f>
        <v>7.8476110915350911E-3</v>
      </c>
      <c r="F119" s="1">
        <f>$B$2*(($B$3*(B118+D119))-($B$3/$B$4)*(B118+D119)^2)</f>
        <v>1.3281253422782768E-3</v>
      </c>
      <c r="G119" s="1">
        <f>$B$2*(($B$5*(B118+D119)))</f>
        <v>7.8597237464640111E-3</v>
      </c>
    </row>
    <row r="120" spans="1:7" x14ac:dyDescent="0.35">
      <c r="A120" s="1">
        <f t="shared" si="1"/>
        <v>0.55500000000000038</v>
      </c>
      <c r="B120" s="1">
        <f>B119+0.5*(D120+F120)</f>
        <v>0.92051083145177992</v>
      </c>
      <c r="C120" s="1">
        <f>C119+0.5*(E120+G120)</f>
        <v>0.47183753880866941</v>
      </c>
      <c r="D120" s="1">
        <f>$B$2*(($B$3*B119)-($B$3/$B$4)*B119^2)</f>
        <v>1.3308975796825441E-3</v>
      </c>
      <c r="E120" s="1">
        <f>$B$2*($B$5*B119)</f>
        <v>7.8593451548377921E-3</v>
      </c>
      <c r="F120" s="1">
        <f>$B$2*(($B$3*(B119+D120))-($B$3/$B$4)*(B119+D120)^2)</f>
        <v>1.2474542507096942E-3</v>
      </c>
      <c r="G120" s="1">
        <f>$B$2*(($B$5*(B119+D120)))</f>
        <v>7.8707243291440774E-3</v>
      </c>
    </row>
    <row r="121" spans="1:7" x14ac:dyDescent="0.35">
      <c r="A121" s="1">
        <f t="shared" si="1"/>
        <v>0.56000000000000039</v>
      </c>
      <c r="B121" s="1">
        <f>B120+0.5*(D121+F121)</f>
        <v>0.92172160854020613</v>
      </c>
      <c r="C121" s="1">
        <f>C120+0.5*(E121+G121)</f>
        <v>0.47971325048317615</v>
      </c>
      <c r="D121" s="1">
        <f>$B$2*(($B$3*B120)-($B$3/$B$4)*B120^2)</f>
        <v>1.2500738231627563E-3</v>
      </c>
      <c r="E121" s="1">
        <f>$B$2*($B$5*B120)</f>
        <v>7.8703676089127185E-3</v>
      </c>
      <c r="F121" s="1">
        <f>$B$2*(($B$3*(B120+D121))-($B$3/$B$4)*(B120+D121)^2)</f>
        <v>1.1714803536896313E-3</v>
      </c>
      <c r="G121" s="1">
        <f>$B$2*(($B$5*(B120+D121)))</f>
        <v>7.8810557401007598E-3</v>
      </c>
    </row>
    <row r="122" spans="1:7" x14ac:dyDescent="0.35">
      <c r="A122" s="1">
        <f t="shared" si="1"/>
        <v>0.56500000000000039</v>
      </c>
      <c r="B122" s="1">
        <f>B121+0.5*(D122+F122)</f>
        <v>0.92285856302898883</v>
      </c>
      <c r="C122" s="1">
        <f>C121+0.5*(E122+G122)</f>
        <v>0.4875989888908126</v>
      </c>
      <c r="D122" s="1">
        <f>$B$2*(($B$3*B121)-($B$3/$B$4)*B121^2)</f>
        <v>1.173954296541586E-3</v>
      </c>
      <c r="E122" s="1">
        <f>$B$2*($B$5*B121)</f>
        <v>7.8807197530187632E-3</v>
      </c>
      <c r="F122" s="1">
        <f>$B$2*(($B$3*(B121+D122))-($B$3/$B$4)*(B121+D122)^2)</f>
        <v>1.099954681023876E-3</v>
      </c>
      <c r="G122" s="1">
        <f>$B$2*(($B$5*(B121+D122)))</f>
        <v>7.8907570622541931E-3</v>
      </c>
    </row>
    <row r="123" spans="1:7" x14ac:dyDescent="0.35">
      <c r="A123" s="1">
        <f t="shared" si="1"/>
        <v>0.5700000000000004</v>
      </c>
      <c r="B123" s="1">
        <f>B122+0.5*(D123+F123)</f>
        <v>0.92392602718739514</v>
      </c>
      <c r="C123" s="1">
        <f>C122+0.5*(E123+G123)</f>
        <v>0.49549414189393237</v>
      </c>
      <c r="D123" s="1">
        <f>$B$2*(($B$3*B122)-($B$3/$B$4)*B122^2)</f>
        <v>1.1022898764695909E-3</v>
      </c>
      <c r="E123" s="1">
        <f>$B$2*($B$5*B122)</f>
        <v>7.8904407138978543E-3</v>
      </c>
      <c r="F123" s="1">
        <f>$B$2*(($B$3*(B122+D123))-($B$3/$B$4)*(B122+D123)^2)</f>
        <v>1.0326384403429145E-3</v>
      </c>
      <c r="G123" s="1">
        <f>$B$2*(($B$5*(B122+D123)))</f>
        <v>7.8998652923416689E-3</v>
      </c>
    </row>
    <row r="124" spans="1:7" x14ac:dyDescent="0.35">
      <c r="A124" s="1">
        <f t="shared" si="1"/>
        <v>0.5750000000000004</v>
      </c>
      <c r="B124" s="1">
        <f>B123+0.5*(D124+F124)</f>
        <v>0.92492809948339805</v>
      </c>
      <c r="C124" s="1">
        <f>C123+0.5*(E124+G124)</f>
        <v>0.50339813337420936</v>
      </c>
      <c r="D124" s="1">
        <f>$B$2*(($B$3*B123)-($B$3/$B$4)*B123^2)</f>
        <v>1.0348415964280466E-3</v>
      </c>
      <c r="E124" s="1">
        <f>$B$2*($B$5*B123)</f>
        <v>7.8995675324522278E-3</v>
      </c>
      <c r="F124" s="1">
        <f>$B$2*(($B$3*(B123+D124))-($B$3/$B$4)*(B123+D124)^2)</f>
        <v>9.6930299557787872E-4</v>
      </c>
      <c r="G124" s="1">
        <f>$B$2*(($B$5*(B123+D124)))</f>
        <v>7.908415428101688E-3</v>
      </c>
    </row>
    <row r="125" spans="1:7" x14ac:dyDescent="0.35">
      <c r="A125" s="1">
        <f t="shared" si="1"/>
        <v>0.5800000000000004</v>
      </c>
      <c r="B125" s="1">
        <f>B124+0.5*(D125+F125)</f>
        <v>0.92586865468862611</v>
      </c>
      <c r="C125" s="1">
        <f>C124+0.5*(E125+G125)</f>
        <v>0.51131042127698323</v>
      </c>
      <c r="D125" s="1">
        <f>$B$2*(($B$3*B124)-($B$3/$B$4)*B124^2)</f>
        <v>9.7138062944440056E-4</v>
      </c>
      <c r="E125" s="1">
        <f>$B$2*($B$5*B124)</f>
        <v>7.9081352505830527E-3</v>
      </c>
      <c r="F125" s="1">
        <f>$B$2*(($B$3*(B124+D125))-($B$3/$B$4)*(B124+D125)^2)</f>
        <v>9.0972978101171447E-4</v>
      </c>
      <c r="G125" s="1">
        <f>$B$2*(($B$5*(B124+D125)))</f>
        <v>7.9164405549648018E-3</v>
      </c>
    </row>
    <row r="126" spans="1:7" x14ac:dyDescent="0.35">
      <c r="A126" s="1">
        <f t="shared" si="1"/>
        <v>0.58500000000000041</v>
      </c>
      <c r="B126" s="1">
        <f>B125+0.5*(D126+F126)</f>
        <v>0.92675135387221619</v>
      </c>
      <c r="C126" s="1">
        <f>C125+0.5*(E126+G126)</f>
        <v>0.51923049574165114</v>
      </c>
      <c r="D126" s="1">
        <f>$B$2*(($B$3*B125)-($B$3/$B$4)*B125^2)</f>
        <v>9.1168820589471622E-4</v>
      </c>
      <c r="E126" s="1">
        <f>$B$2*($B$5*B125)</f>
        <v>7.9161769975877525E-3</v>
      </c>
      <c r="F126" s="1">
        <f>$B$2*(($B$3*(B125+D126))-($B$3/$B$4)*(B125+D126)^2)</f>
        <v>8.5371016128535262E-4</v>
      </c>
      <c r="G126" s="1">
        <f>$B$2*(($B$5*(B125+D126)))</f>
        <v>7.9239719317481527E-3</v>
      </c>
    </row>
    <row r="127" spans="1:7" x14ac:dyDescent="0.35">
      <c r="A127" s="1">
        <f t="shared" si="1"/>
        <v>0.59000000000000041</v>
      </c>
      <c r="B127" s="1">
        <f>B126+0.5*(D127+F127)</f>
        <v>0.92757965423391908</v>
      </c>
      <c r="C127" s="1">
        <f>C126+0.5*(E127+G127)</f>
        <v>0.52715787731692199</v>
      </c>
      <c r="D127" s="1">
        <f>$B$2*(($B$3*B126)-($B$3/$B$4)*B126^2)</f>
        <v>8.5555547680987948E-4</v>
      </c>
      <c r="E127" s="1">
        <f>$B$2*($B$5*B126)</f>
        <v>7.9237240756074474E-3</v>
      </c>
      <c r="F127" s="1">
        <f>$B$2*(($B$3*(B126+D127))-($B$3/$B$4)*(B126+D127)^2)</f>
        <v>8.0104524659585508E-4</v>
      </c>
      <c r="G127" s="1">
        <f>$B$2*(($B$5*(B126+D127)))</f>
        <v>7.9310390749341726E-3</v>
      </c>
    </row>
    <row r="128" spans="1:7" x14ac:dyDescent="0.35">
      <c r="A128" s="1">
        <f t="shared" si="1"/>
        <v>0.59500000000000042</v>
      </c>
      <c r="B128" s="1">
        <f>B127+0.5*(D128+F128)</f>
        <v>0.92835681873553222</v>
      </c>
      <c r="C128" s="1">
        <f>C127+0.5*(E128+G128)</f>
        <v>0.53509211525936617</v>
      </c>
      <c r="D128" s="1">
        <f>$B$2*(($B$3*B127)-($B$3/$B$4)*B127^2)</f>
        <v>8.0278333195898282E-4</v>
      </c>
      <c r="E128" s="1">
        <f>$B$2*($B$5*B127)</f>
        <v>7.9308060437000092E-3</v>
      </c>
      <c r="F128" s="1">
        <f>$B$2*(($B$3*(B127+D128))-($B$3/$B$4)*(B127+D128)^2)</f>
        <v>7.5154567126726416E-4</v>
      </c>
      <c r="G128" s="1">
        <f>$B$2*(($B$5*(B127+D128)))</f>
        <v>7.9376698411882576E-3</v>
      </c>
    </row>
    <row r="129" spans="1:7" x14ac:dyDescent="0.35">
      <c r="A129" s="1">
        <f t="shared" si="1"/>
        <v>0.60000000000000042</v>
      </c>
      <c r="B129" s="1">
        <f>B128+0.5*(D129+F129)</f>
        <v>0.92908592549744828</v>
      </c>
      <c r="C129" s="1">
        <f>C128+0.5*(E129+G129)</f>
        <v>0.54303278591337845</v>
      </c>
      <c r="D129" s="1">
        <f>$B$2*(($B$3*B128)-($B$3/$B$4)*B128^2)</f>
        <v>7.5318218092667699E-4</v>
      </c>
      <c r="E129" s="1">
        <f>$B$2*($B$5*B128)</f>
        <v>7.9374508001887993E-3</v>
      </c>
      <c r="F129" s="1">
        <f>$B$2*(($B$3*(B128+D129))-($B$3/$B$4)*(B128+D129)^2)</f>
        <v>7.0503134290534676E-4</v>
      </c>
      <c r="G129" s="1">
        <f>$B$2*(($B$5*(B128+D129)))</f>
        <v>7.9438905078357235E-3</v>
      </c>
    </row>
    <row r="130" spans="1:7" x14ac:dyDescent="0.35">
      <c r="A130" s="1">
        <f t="shared" si="1"/>
        <v>0.60500000000000043</v>
      </c>
      <c r="B130" s="1">
        <f>B129+0.5*(D130+F130)</f>
        <v>0.92976987693389468</v>
      </c>
      <c r="C130" s="1">
        <f>C129+0.5*(E130+G130)</f>
        <v>0.55097949117041811</v>
      </c>
      <c r="D130" s="1">
        <f>$B$2*(($B$3*B129)-($B$3/$B$4)*B129^2)</f>
        <v>7.0657170443075398E-4</v>
      </c>
      <c r="E130" s="1">
        <f>$B$2*($B$5*B129)</f>
        <v>7.9436846630031831E-3</v>
      </c>
      <c r="F130" s="1">
        <f>$B$2*(($B$3*(B129+D130))-($B$3/$B$4)*(B129+D130)^2)</f>
        <v>6.613311684620538E-4</v>
      </c>
      <c r="G130" s="1">
        <f>$B$2*(($B$5*(B129+D130)))</f>
        <v>7.9497258510760668E-3</v>
      </c>
    </row>
    <row r="131" spans="1:7" x14ac:dyDescent="0.35">
      <c r="A131" s="1">
        <f t="shared" si="1"/>
        <v>0.61000000000000043</v>
      </c>
      <c r="B131" s="1">
        <f>B130+0.5*(D131+F131)</f>
        <v>0.93041140860637972</v>
      </c>
      <c r="C131" s="1">
        <f>C130+0.5*(E131+G131)</f>
        <v>0.55893185700519199</v>
      </c>
      <c r="D131" s="1">
        <f>$B$2*(($B$3*B130)-($B$3/$B$4)*B130^2)</f>
        <v>6.6278058223885768E-4</v>
      </c>
      <c r="E131" s="1">
        <f>$B$2*($B$5*B130)</f>
        <v>7.9495324477847993E-3</v>
      </c>
      <c r="F131" s="1">
        <f>$B$2*(($B$3*(B130+D131))-($B$3/$B$4)*(B130+D131)^2)</f>
        <v>6.2028276273118799E-4</v>
      </c>
      <c r="G131" s="1">
        <f>$B$2*(($B$5*(B130+D131)))</f>
        <v>7.9551992217629427E-3</v>
      </c>
    </row>
    <row r="132" spans="1:7" x14ac:dyDescent="0.35">
      <c r="A132" s="1">
        <f t="shared" si="1"/>
        <v>0.61500000000000044</v>
      </c>
      <c r="B132" s="1">
        <f>B131+0.5*(D132+F132)</f>
        <v>0.93101309778003349</v>
      </c>
      <c r="C132" s="1">
        <f>C131+0.5*(E132+G132)</f>
        <v>0.56688953208629533</v>
      </c>
      <c r="D132" s="1">
        <f>$B$2*(($B$3*B131)-($B$3/$B$4)*B131^2)</f>
        <v>6.2164620323759581E-4</v>
      </c>
      <c r="E132" s="1">
        <f>$B$2*($B$5*B131)</f>
        <v>7.9550175435845454E-3</v>
      </c>
      <c r="F132" s="1">
        <f>$B$2*(($B$3*(B131+D132))-($B$3/$B$4)*(B131+D132)^2)</f>
        <v>5.8173214406995297E-4</v>
      </c>
      <c r="G132" s="1">
        <f>$B$2*(($B$5*(B131+D132)))</f>
        <v>7.9603326186222286E-3</v>
      </c>
    </row>
    <row r="133" spans="1:7" x14ac:dyDescent="0.35">
      <c r="A133" s="1">
        <f t="shared" si="1"/>
        <v>0.62000000000000044</v>
      </c>
      <c r="B133" s="1">
        <f>B132+0.5*(D133+F133)</f>
        <v>0.93157737167201571</v>
      </c>
      <c r="C133" s="1">
        <f>C132+0.5*(E133+G133)</f>
        <v>0.57485218645871416</v>
      </c>
      <c r="D133" s="1">
        <f>$B$2*(($B$3*B132)-($B$3/$B$4)*B132^2)</f>
        <v>5.8301436247802489E-4</v>
      </c>
      <c r="E133" s="1">
        <f>$B$2*($B$5*B132)</f>
        <v>7.9601619860192856E-3</v>
      </c>
      <c r="F133" s="1">
        <f>$B$2*(($B$3*(B132+D133))-($B$3/$B$4)*(B132+D133)^2)</f>
        <v>5.4553342148629721E-4</v>
      </c>
      <c r="G133" s="1">
        <f>$B$2*(($B$5*(B132+D133)))</f>
        <v>7.9651467588184727E-3</v>
      </c>
    </row>
    <row r="134" spans="1:7" x14ac:dyDescent="0.35">
      <c r="A134" s="1">
        <f t="shared" si="1"/>
        <v>0.62500000000000044</v>
      </c>
      <c r="B134" s="1">
        <f>B133+0.5*(D134+F134)</f>
        <v>0.93210651538502109</v>
      </c>
      <c r="C134" s="1">
        <f>C133+0.5*(E134+G134)</f>
        <v>0.58281951029551848</v>
      </c>
      <c r="D134" s="1">
        <f>$B$2*(($B$3*B133)-($B$3/$B$4)*B133^2)</f>
        <v>5.4673894936507316E-4</v>
      </c>
      <c r="E134" s="1">
        <f>$B$2*($B$5*B133)</f>
        <v>7.9649865277957345E-3</v>
      </c>
      <c r="F134" s="1">
        <f>$B$2*(($B$3*(B133+D134))-($B$3/$B$4)*(B133+D134)^2)</f>
        <v>5.1154847664580672E-4</v>
      </c>
      <c r="G134" s="1">
        <f>$B$2*(($B$5*(B133+D134)))</f>
        <v>7.9696611458128057E-3</v>
      </c>
    </row>
    <row r="135" spans="1:7" x14ac:dyDescent="0.35">
      <c r="A135" s="1">
        <f t="shared" si="1"/>
        <v>0.63000000000000045</v>
      </c>
      <c r="B135" s="1">
        <f>B134+0.5*(D135+F135)</f>
        <v>0.9326026795222202</v>
      </c>
      <c r="C135" s="1">
        <f>C134+0.5*(E135+G135)</f>
        <v>0.59079121271603108</v>
      </c>
      <c r="D135" s="1">
        <f>$B$2*(($B$3*B134)-($B$3/$B$4)*B134^2)</f>
        <v>5.1268163056991331E-4</v>
      </c>
      <c r="E135" s="1">
        <f>$B$2*($B$5*B134)</f>
        <v>7.96951070654193E-3</v>
      </c>
      <c r="F135" s="1">
        <f>$B$2*(($B$3*(B134+D135))-($B$3/$B$4)*(B134+D135)^2)</f>
        <v>4.7964664382825538E-4</v>
      </c>
      <c r="G135" s="1">
        <f>$B$2*(($B$5*(B134+D135)))</f>
        <v>7.9738941344833034E-3</v>
      </c>
    </row>
    <row r="136" spans="1:7" x14ac:dyDescent="0.35">
      <c r="A136" s="1">
        <f t="shared" si="1"/>
        <v>0.63500000000000045</v>
      </c>
      <c r="B136" s="1">
        <f>B135+0.5*(D136+F136)</f>
        <v>0.9330678874827788</v>
      </c>
      <c r="C136" s="1">
        <f>C135+0.5*(E136+G136)</f>
        <v>0.5987670206677399</v>
      </c>
      <c r="D136" s="1">
        <f>$B$2*(($B$3*B135)-($B$3/$B$4)*B135^2)</f>
        <v>4.8071153071856722E-4</v>
      </c>
      <c r="E136" s="1">
        <f>$B$2*($B$5*B135)</f>
        <v>7.9737529099149825E-3</v>
      </c>
      <c r="F136" s="1">
        <f>$B$2*(($B$3*(B135+D136))-($B$3/$B$4)*(B135+D136)^2)</f>
        <v>4.4970439039857977E-4</v>
      </c>
      <c r="G136" s="1">
        <f>$B$2*(($B$5*(B135+D136)))</f>
        <v>7.9778629935026261E-3</v>
      </c>
    </row>
    <row r="137" spans="1:7" x14ac:dyDescent="0.35">
      <c r="A137" s="1">
        <f t="shared" si="1"/>
        <v>0.64000000000000046</v>
      </c>
      <c r="B137" s="1">
        <f>B136+0.5*(D137+F137)</f>
        <v>0.93350404243947271</v>
      </c>
      <c r="C137" s="1">
        <f>C136+0.5*(E137+G137)</f>
        <v>0.60674667786922265</v>
      </c>
      <c r="D137" s="1">
        <f>$B$2*(($B$3*B136)-($B$3/$B$4)*B136^2)</f>
        <v>4.5070491344307407E-4</v>
      </c>
      <c r="E137" s="1">
        <f>$B$2*($B$5*B136)</f>
        <v>7.9777304379777588E-3</v>
      </c>
      <c r="F137" s="1">
        <f>$B$2*(($B$3*(B136+D137))-($B$3/$B$4)*(B136+D137)^2)</f>
        <v>4.2160499994482238E-4</v>
      </c>
      <c r="G137" s="1">
        <f>$B$2*(($B$5*(B136+D137)))</f>
        <v>7.9815839649876978E-3</v>
      </c>
    </row>
    <row r="138" spans="1:7" x14ac:dyDescent="0.35">
      <c r="A138" s="1">
        <f t="shared" si="1"/>
        <v>0.64500000000000046</v>
      </c>
      <c r="B138" s="1">
        <f>B137+0.5*(D138+F138)</f>
        <v>0.93391293400189201</v>
      </c>
      <c r="C138" s="1">
        <f>C137+0.5*(E138+G138)</f>
        <v>0.61472994381137791</v>
      </c>
      <c r="D138" s="1">
        <f>$B$2*(($B$3*B137)-($B$3/$B$4)*B137^2)</f>
        <v>4.2254486496650756E-4</v>
      </c>
      <c r="E138" s="1">
        <f>$B$2*($B$5*B137)</f>
        <v>7.9814595628574913E-3</v>
      </c>
      <c r="F138" s="1">
        <f>$B$2*(($B$3*(B137+D138))-($B$3/$B$4)*(B137+D138)^2)</f>
        <v>3.9523825987201281E-4</v>
      </c>
      <c r="G138" s="1">
        <f>$B$2*(($B$5*(B137+D138)))</f>
        <v>7.9850723214529556E-3</v>
      </c>
    </row>
    <row r="139" spans="1:7" x14ac:dyDescent="0.35">
      <c r="A139" s="1">
        <f t="shared" ref="A139:A202" si="2">A138+$B$2</f>
        <v>0.65000000000000047</v>
      </c>
      <c r="B139" s="1">
        <f>B138+0.5*(D139+F139)</f>
        <v>0.93429624457036697</v>
      </c>
      <c r="C139" s="1">
        <f>C138+0.5*(E139+G139)</f>
        <v>0.62271659281429226</v>
      </c>
      <c r="D139" s="1">
        <f>$B$2*(($B$3*B138)-($B$3/$B$4)*B138^2)</f>
        <v>3.9612098202875147E-4</v>
      </c>
      <c r="E139" s="1">
        <f>$B$2*($B$5*B138)</f>
        <v>7.9849555857161771E-3</v>
      </c>
      <c r="F139" s="1">
        <f>$B$2*(($B$3*(B138+D139))-($B$3/$B$4)*(B138+D139)^2)</f>
        <v>3.7050015492122944E-4</v>
      </c>
      <c r="G139" s="1">
        <f>$B$2*(($B$5*(B138+D139)))</f>
        <v>7.9883424201125236E-3</v>
      </c>
    </row>
    <row r="140" spans="1:7" x14ac:dyDescent="0.35">
      <c r="A140" s="1">
        <f t="shared" si="2"/>
        <v>0.65500000000000047</v>
      </c>
      <c r="B140" s="1">
        <f>B139+0.5*(D140+F140)</f>
        <v>0.93465555538708767</v>
      </c>
      <c r="C140" s="1">
        <f>C139+0.5*(E140+G140)</f>
        <v>0.6307064131371245</v>
      </c>
      <c r="D140" s="1">
        <f>$B$2*(($B$3*B139)-($B$3/$B$4)*B139^2)</f>
        <v>3.7132906563769552E-4</v>
      </c>
      <c r="E140" s="1">
        <f>$B$2*($B$5*B139)</f>
        <v>7.9882328910766374E-3</v>
      </c>
      <c r="F140" s="1">
        <f>$B$2*(($B$3*(B139+D140))-($B$3/$B$4)*(B139+D140)^2)</f>
        <v>3.4729256780365427E-4</v>
      </c>
      <c r="G140" s="1">
        <f>$B$2*(($B$5*(B139+D140)))</f>
        <v>7.9914077545878408E-3</v>
      </c>
    </row>
    <row r="141" spans="1:7" x14ac:dyDescent="0.35">
      <c r="A141" s="1">
        <f t="shared" si="2"/>
        <v>0.66000000000000048</v>
      </c>
      <c r="B141" s="1">
        <f>B140+0.5*(D141+F141)</f>
        <v>0.93499235229195998</v>
      </c>
      <c r="C141" s="1">
        <f>C140+0.5*(E141+G141)</f>
        <v>0.63869920613844755</v>
      </c>
      <c r="D141" s="1">
        <f>$B$2*(($B$3*B140)-($B$3/$B$4)*B140^2)</f>
        <v>3.4807082184952877E-4</v>
      </c>
      <c r="E141" s="1">
        <f>$B$2*($B$5*B140)</f>
        <v>7.991304998559599E-3</v>
      </c>
      <c r="F141" s="1">
        <f>$B$2*(($B$3*(B140+D141))-($B$3/$B$4)*(B140+D141)^2)</f>
        <v>3.2552298789500611E-4</v>
      </c>
      <c r="G141" s="1">
        <f>$B$2*(($B$5*(B140+D141)))</f>
        <v>7.9942810040864141E-3</v>
      </c>
    </row>
    <row r="142" spans="1:7" x14ac:dyDescent="0.35">
      <c r="A142" s="1">
        <f t="shared" si="2"/>
        <v>0.66500000000000048</v>
      </c>
      <c r="B142" s="1">
        <f>B141+0.5*(D142+F142)</f>
        <v>0.93530803119159045</v>
      </c>
      <c r="C142" s="1">
        <f>C141+0.5*(E142+G142)</f>
        <v>0.64669478548455783</v>
      </c>
      <c r="D142" s="1">
        <f>$B$2*(($B$3*B141)-($B$3/$B$4)*B141^2)</f>
        <v>3.2625357053651884E-4</v>
      </c>
      <c r="E142" s="1">
        <f>$B$2*($B$5*B141)</f>
        <v>7.9941846120962588E-3</v>
      </c>
      <c r="F142" s="1">
        <f>$B$2*(($B$3*(B141+D142))-($B$3/$B$4)*(B141+D142)^2)</f>
        <v>3.0510422872442433E-4</v>
      </c>
      <c r="G142" s="1">
        <f>$B$2*(($B$5*(B141+D142)))</f>
        <v>7.9969740801243451E-3</v>
      </c>
    </row>
    <row r="143" spans="1:7" x14ac:dyDescent="0.35">
      <c r="A143" s="1">
        <f t="shared" si="2"/>
        <v>0.67000000000000048</v>
      </c>
      <c r="B143" s="1">
        <f>B142+0.5*(D143+F143)</f>
        <v>0.9356039032504383</v>
      </c>
      <c r="C143" s="1">
        <f>C142+0.5*(E143+G143)</f>
        <v>0.65469297640333723</v>
      </c>
      <c r="D143" s="1">
        <f>$B$2*(($B$3*B142)-($B$3/$B$4)*B142^2)</f>
        <v>3.0578996288689987E-4</v>
      </c>
      <c r="E143" s="1">
        <f>$B$2*($B$5*B142)</f>
        <v>7.9968836666880986E-3</v>
      </c>
      <c r="F143" s="1">
        <f>$B$2*(($B$3*(B142+D143))-($B$3/$B$4)*(B142+D143)^2)</f>
        <v>2.8595415480869412E-4</v>
      </c>
      <c r="G143" s="1">
        <f>$B$2*(($B$5*(B142+D143)))</f>
        <v>7.9994981708707818E-3</v>
      </c>
    </row>
    <row r="144" spans="1:7" x14ac:dyDescent="0.35">
      <c r="A144" s="1">
        <f t="shared" si="2"/>
        <v>0.67500000000000049</v>
      </c>
      <c r="B144" s="1">
        <f>B143+0.5*(D144+F144)</f>
        <v>0.93588119981364981</v>
      </c>
      <c r="C144" s="1">
        <f>C143+0.5*(E144+G144)</f>
        <v>0.66269361498133106</v>
      </c>
      <c r="D144" s="1">
        <f>$B$2*(($B$3*B143)-($B$3/$B$4)*B143^2)</f>
        <v>2.8659770819801979E-4</v>
      </c>
      <c r="E144" s="1">
        <f>$B$2*($B$5*B143)</f>
        <v>7.9994133727912479E-3</v>
      </c>
      <c r="F144" s="1">
        <f>$B$2*(($B$3*(B143+D144))-($B$3/$B$4)*(B143+D144)^2)</f>
        <v>2.6799541822494891E-4</v>
      </c>
      <c r="G144" s="1">
        <f>$B$2*(($B$5*(B143+D144)))</f>
        <v>8.0018637831963408E-3</v>
      </c>
    </row>
    <row r="145" spans="1:7" x14ac:dyDescent="0.35">
      <c r="A145" s="1">
        <f t="shared" si="2"/>
        <v>0.68000000000000049</v>
      </c>
      <c r="B145" s="1">
        <f>B144+0.5*(D145+F145)</f>
        <v>0.93614107707142247</v>
      </c>
      <c r="C145" s="1">
        <f>C144+0.5*(E145+G145)</f>
        <v>0.67069654750178953</v>
      </c>
      <c r="D145" s="1">
        <f>$B$2*(($B$3*B144)-($B$3/$B$4)*B144^2)</f>
        <v>2.6859931036457677E-4</v>
      </c>
      <c r="E145" s="1">
        <f>$B$2*($B$5*B144)</f>
        <v>8.0017842584067054E-3</v>
      </c>
      <c r="F145" s="1">
        <f>$B$2*(($B$3*(B144+D145))-($B$3/$B$4)*(B144+D145)^2)</f>
        <v>2.5115520518083302E-4</v>
      </c>
      <c r="G145" s="1">
        <f>$B$2*(($B$5*(B144+D145)))</f>
        <v>8.0040807825103241E-3</v>
      </c>
    </row>
    <row r="146" spans="1:7" x14ac:dyDescent="0.35">
      <c r="A146" s="1">
        <f t="shared" si="2"/>
        <v>0.6850000000000005</v>
      </c>
      <c r="B146" s="1">
        <f>B145+0.5*(D146+F146)</f>
        <v>0.93638462047494941</v>
      </c>
      <c r="C146" s="1">
        <f>C145+0.5*(E146+G146)</f>
        <v>0.6787016298215065</v>
      </c>
      <c r="D146" s="1">
        <f>$B$2*(($B$3*B145)-($B$3/$B$4)*B145^2)</f>
        <v>2.5172181432814967E-4</v>
      </c>
      <c r="E146" s="1">
        <f>$B$2*($B$5*B145)</f>
        <v>8.0040062089606623E-3</v>
      </c>
      <c r="F146" s="1">
        <f>$B$2*(($B$3*(B145+D146))-($B$3/$B$4)*(B145+D146)^2)</f>
        <v>2.3536499272582391E-4</v>
      </c>
      <c r="G146" s="1">
        <f>$B$2*(($B$5*(B145+D146)))</f>
        <v>8.0061584304731686E-3</v>
      </c>
    </row>
    <row r="147" spans="1:7" x14ac:dyDescent="0.35">
      <c r="A147" s="1">
        <f t="shared" si="2"/>
        <v>0.6900000000000005</v>
      </c>
      <c r="B147" s="1">
        <f>B146+0.5*(D147+F147)</f>
        <v>0.93661284891409446</v>
      </c>
      <c r="C147" s="1">
        <f>C146+0.5*(E147+G147)</f>
        <v>0.68670872678437256</v>
      </c>
      <c r="D147" s="1">
        <f>$B$2*(($B$3*B146)-($B$3/$B$4)*B146^2)</f>
        <v>2.3589656263898641E-4</v>
      </c>
      <c r="E147" s="1">
        <f>$B$2*($B$5*B146)</f>
        <v>8.0060885050608176E-3</v>
      </c>
      <c r="F147" s="1">
        <f>$B$2*(($B$3*(B146+D147))-($B$3/$B$4)*(B146+D147)^2)</f>
        <v>2.2056031565114155E-4</v>
      </c>
      <c r="G147" s="1">
        <f>$B$2*(($B$5*(B146+D147)))</f>
        <v>8.0081054206713811E-3</v>
      </c>
    </row>
    <row r="148" spans="1:7" x14ac:dyDescent="0.35">
      <c r="A148" s="1">
        <f t="shared" si="2"/>
        <v>0.69500000000000051</v>
      </c>
      <c r="B148" s="1">
        <f>B147+0.5*(D148+F148)</f>
        <v>0.93682671866695777</v>
      </c>
      <c r="C148" s="1">
        <f>C147+0.5*(E148+G148)</f>
        <v>0.69471771166965135</v>
      </c>
      <c r="D148" s="1">
        <f>$B$2*(($B$3*B147)-($B$3/$B$4)*B147^2)</f>
        <v>2.2105896218280741E-4</v>
      </c>
      <c r="E148" s="1">
        <f>$B$2*($B$5*B147)</f>
        <v>8.0080398582155071E-3</v>
      </c>
      <c r="F148" s="1">
        <f>$B$2*(($B$3*(B147+D148))-($B$3/$B$4)*(B147+D148)^2)</f>
        <v>2.0668054354371358E-4</v>
      </c>
      <c r="G148" s="1">
        <f>$B$2*(($B$5*(B147+D148)))</f>
        <v>8.0099299123421713E-3</v>
      </c>
    </row>
    <row r="149" spans="1:7" x14ac:dyDescent="0.35">
      <c r="A149" s="1">
        <f t="shared" si="2"/>
        <v>0.70000000000000051</v>
      </c>
      <c r="B149" s="1">
        <f>B148+0.5*(D149+F149)</f>
        <v>0.937027127131426</v>
      </c>
      <c r="C149" s="1">
        <f>C148+0.5*(E149+G149)</f>
        <v>0.70272846567306979</v>
      </c>
      <c r="D149" s="1">
        <f>$B$2*(($B$3*B148)-($B$3/$B$4)*B148^2)</f>
        <v>2.071482610435993E-4</v>
      </c>
      <c r="E149" s="1">
        <f>$B$2*($B$5*B148)</f>
        <v>8.0098684446024901E-3</v>
      </c>
      <c r="F149" s="1">
        <f>$B$2*(($B$3*(B148+D149))-($B$3/$B$4)*(B148+D149)^2)</f>
        <v>1.9366866789276573E-4</v>
      </c>
      <c r="G149" s="1">
        <f>$B$2*(($B$5*(B148+D149)))</f>
        <v>8.011639562234411E-3</v>
      </c>
    </row>
    <row r="150" spans="1:7" x14ac:dyDescent="0.35">
      <c r="A150" s="1">
        <f t="shared" si="2"/>
        <v>0.70500000000000052</v>
      </c>
      <c r="B150" s="1">
        <f>B149+0.5*(D150+F150)</f>
        <v>0.93721491634867393</v>
      </c>
      <c r="C150" s="1">
        <f>C149+0.5*(E150+G150)</f>
        <v>0.71074087741890235</v>
      </c>
      <c r="D150" s="1">
        <f>$B$2*(($B$3*B149)-($B$3/$B$4)*B149^2)</f>
        <v>1.9410733540481395E-4</v>
      </c>
      <c r="E150" s="1">
        <f>$B$2*($B$5*B149)</f>
        <v>8.0115819369736916E-3</v>
      </c>
      <c r="F150" s="1">
        <f>$B$2*(($B$3*(B149+D150))-($B$3/$B$4)*(B149+D150)^2)</f>
        <v>1.8147109909100401E-4</v>
      </c>
      <c r="G150" s="1">
        <f>$B$2*(($B$5*(B149+D150)))</f>
        <v>8.0132415546914047E-3</v>
      </c>
    </row>
    <row r="151" spans="1:7" x14ac:dyDescent="0.35">
      <c r="A151" s="1">
        <f t="shared" si="2"/>
        <v>0.71000000000000052</v>
      </c>
      <c r="B151" s="1">
        <f>B150+0.5*(D151+F151)</f>
        <v>0.93739087632840568</v>
      </c>
      <c r="C151" s="1">
        <f>C150+0.5*(E151+G151)</f>
        <v>0.71875484250131261</v>
      </c>
      <c r="D151" s="1">
        <f>$B$2*(($B$3*B150)-($B$3/$B$4)*B150^2)</f>
        <v>1.8188248633538073E-4</v>
      </c>
      <c r="E151" s="1">
        <f>$B$2*($B$5*B150)</f>
        <v>8.0131875347811618E-3</v>
      </c>
      <c r="F151" s="1">
        <f>$B$2*(($B$3*(B150+D151))-($B$3/$B$4)*(B150+D151)^2)</f>
        <v>1.7003747312815953E-4</v>
      </c>
      <c r="G151" s="1">
        <f>$B$2*(($B$5*(B150+D151)))</f>
        <v>8.014742630039328E-3</v>
      </c>
    </row>
    <row r="152" spans="1:7" x14ac:dyDescent="0.35">
      <c r="A152" s="1">
        <f t="shared" si="2"/>
        <v>0.71500000000000052</v>
      </c>
      <c r="B152" s="1">
        <f>B151+0.5*(D152+F152)</f>
        <v>0.93755574818540488</v>
      </c>
      <c r="C152" s="1">
        <f>C151+0.5*(E152+G152)</f>
        <v>0.72677026305329828</v>
      </c>
      <c r="D152" s="1">
        <f>$B$2*(($B$3*B151)-($B$3/$B$4)*B151^2)</f>
        <v>1.7042324626085126E-4</v>
      </c>
      <c r="E152" s="1">
        <f>$B$2*($B$5*B151)</f>
        <v>8.0146919926078683E-3</v>
      </c>
      <c r="F152" s="1">
        <f>$B$2*(($B$3*(B151+D152))-($B$3/$B$4)*(B151+D152)^2)</f>
        <v>1.5932046773745157E-4</v>
      </c>
      <c r="G152" s="1">
        <f>$B$2*(($B$5*(B151+D152)))</f>
        <v>8.0161491113633996E-3</v>
      </c>
    </row>
    <row r="153" spans="1:7" x14ac:dyDescent="0.35">
      <c r="A153" s="1">
        <f t="shared" si="2"/>
        <v>0.72000000000000053</v>
      </c>
      <c r="B153" s="1">
        <f>B152+0.5*(D153+F153)</f>
        <v>0.93771022709671037</v>
      </c>
      <c r="C153" s="1">
        <f>C152+0.5*(E153+G153)</f>
        <v>0.73478704734166667</v>
      </c>
      <c r="D153" s="1">
        <f>$B$2*(($B$3*B152)-($B$3/$B$4)*B152^2)</f>
        <v>1.5968219488351031E-4</v>
      </c>
      <c r="E153" s="1">
        <f>$B$2*($B$5*B152)</f>
        <v>8.0161016469852114E-3</v>
      </c>
      <c r="F153" s="1">
        <f>$B$2*(($B$3*(B152+D153))-($B$3/$B$4)*(B152+D153)^2)</f>
        <v>1.4927562772754755E-4</v>
      </c>
      <c r="G153" s="1">
        <f>$B$2*(($B$5*(B152+D153)))</f>
        <v>8.0174669297514659E-3</v>
      </c>
    </row>
    <row r="154" spans="1:7" x14ac:dyDescent="0.35">
      <c r="A154" s="1">
        <f t="shared" si="2"/>
        <v>0.72500000000000053</v>
      </c>
      <c r="B154" s="1">
        <f>B153+0.5*(D154+F154)</f>
        <v>0.93785496508845889</v>
      </c>
      <c r="C154" s="1">
        <f>C153+0.5*(E154+G154)</f>
        <v>0.74280510938654631</v>
      </c>
      <c r="D154" s="1">
        <f>$B$2*(($B$3*B153)-($B$3/$B$4)*B153^2)</f>
        <v>1.4961478428606511E-4</v>
      </c>
      <c r="E154" s="1">
        <f>$B$2*($B$5*B153)</f>
        <v>8.0174224416768736E-3</v>
      </c>
      <c r="F154" s="1">
        <f>$B$2*(($B$3*(B153+D154))-($B$3/$B$4)*(B153+D154)^2)</f>
        <v>1.3986119921097995E-4</v>
      </c>
      <c r="G154" s="1">
        <f>$B$2*(($B$5*(B153+D154)))</f>
        <v>8.0187016480825195E-3</v>
      </c>
    </row>
    <row r="155" spans="1:7" x14ac:dyDescent="0.35">
      <c r="A155" s="1">
        <f t="shared" si="2"/>
        <v>0.73000000000000054</v>
      </c>
      <c r="B155" s="1">
        <f>B154+0.5*(D155+F155)</f>
        <v>0.9379905736611367</v>
      </c>
      <c r="C155" s="1">
        <f>C154+0.5*(E155+G155)</f>
        <v>0.75082436860401691</v>
      </c>
      <c r="D155" s="1">
        <f>$B$2*(($B$3*B154)-($B$3/$B$4)*B154^2)</f>
        <v>1.4017917293195127E-4</v>
      </c>
      <c r="E155" s="1">
        <f>$B$2*($B$5*B154)</f>
        <v>8.0186599515063225E-3</v>
      </c>
      <c r="F155" s="1">
        <f>$B$2*(($B$3*(B154+D155))-($B$3/$B$4)*(B154+D155)^2)</f>
        <v>1.3103797242369986E-4</v>
      </c>
      <c r="G155" s="1">
        <f>$B$2*(($B$5*(B154+D155)))</f>
        <v>8.0198584834348923E-3</v>
      </c>
    </row>
    <row r="156" spans="1:7" x14ac:dyDescent="0.35">
      <c r="A156" s="1">
        <f t="shared" si="2"/>
        <v>0.73500000000000054</v>
      </c>
      <c r="B156" s="1">
        <f>B155+0.5*(D156+F156)</f>
        <v>0.93811762626167572</v>
      </c>
      <c r="C156" s="1">
        <f>C155+0.5*(E156+G156)</f>
        <v>0.75884474947051139</v>
      </c>
      <c r="D156" s="1">
        <f>$B$2*(($B$3*B155)-($B$3/$B$4)*B155^2)</f>
        <v>1.3133606825847189E-4</v>
      </c>
      <c r="E156" s="1">
        <f>$B$2*($B$5*B155)</f>
        <v>8.0198194048027183E-3</v>
      </c>
      <c r="F156" s="1">
        <f>$B$2*(($B$3*(B155+D156))-($B$3/$B$4)*(B155+D156)^2)</f>
        <v>1.2276913281959346E-4</v>
      </c>
      <c r="G156" s="1">
        <f>$B$2*(($B$5*(B155+D156)))</f>
        <v>8.0209423281863285E-3</v>
      </c>
    </row>
    <row r="157" spans="1:7" x14ac:dyDescent="0.35">
      <c r="A157" s="1">
        <f t="shared" si="2"/>
        <v>0.74000000000000055</v>
      </c>
      <c r="B157" s="1">
        <f>B156+0.5*(D157+F157)</f>
        <v>0.93823666061050837</v>
      </c>
      <c r="C157" s="1">
        <f>C156+0.5*(E157+G157)</f>
        <v>0.76686618120771777</v>
      </c>
      <c r="D157" s="1">
        <f>$B$2*(($B$3*B156)-($B$3/$B$4)*B156^2)</f>
        <v>1.2304857754817712E-4</v>
      </c>
      <c r="E157" s="1">
        <f>$B$2*($B$5*B156)</f>
        <v>8.0209057045373278E-3</v>
      </c>
      <c r="F157" s="1">
        <f>$B$2*(($B$3*(B156+D157))-($B$3/$B$4)*(B156+D157)^2)</f>
        <v>1.1502012011710861E-4</v>
      </c>
      <c r="G157" s="1">
        <f>$B$2*(($B$5*(B156+D157)))</f>
        <v>8.0219577698753645E-3</v>
      </c>
    </row>
    <row r="158" spans="1:7" x14ac:dyDescent="0.35">
      <c r="A158" s="1">
        <f t="shared" si="2"/>
        <v>0.74500000000000055</v>
      </c>
      <c r="B158" s="1">
        <f>B157+0.5*(D158+F158)</f>
        <v>0.93834818089137229</v>
      </c>
      <c r="C158" s="1">
        <f>C157+0.5*(E158+G158)</f>
        <v>0.77488859748677297</v>
      </c>
      <c r="D158" s="1">
        <f>$B$2*(($B$3*B157)-($B$3/$B$4)*B157^2)</f>
        <v>1.1528206675630593E-4</v>
      </c>
      <c r="E158" s="1">
        <f>$B$2*($B$5*B157)</f>
        <v>8.0219234482198469E-3</v>
      </c>
      <c r="F158" s="1">
        <f>$B$2*(($B$3*(B157+D158))-($B$3/$B$4)*(B157+D158)^2)</f>
        <v>1.0775849497160372E-4</v>
      </c>
      <c r="G158" s="1">
        <f>$B$2*(($B$5*(B157+D158)))</f>
        <v>8.0229091098906122E-3</v>
      </c>
    </row>
    <row r="159" spans="1:7" x14ac:dyDescent="0.35">
      <c r="A159" s="1">
        <f t="shared" si="2"/>
        <v>0.75000000000000056</v>
      </c>
      <c r="B159" s="1">
        <f>B158+0.5*(D159+F159)</f>
        <v>0.93845265981133019</v>
      </c>
      <c r="C159" s="1">
        <f>C158+0.5*(E159+G159)</f>
        <v>0.7829119361506095</v>
      </c>
      <c r="D159" s="1">
        <f>$B$2*(($B$3*B158)-($B$3/$B$4)*B158^2)</f>
        <v>1.0800402696927946E-4</v>
      </c>
      <c r="E159" s="1">
        <f>$B$2*($B$5*B158)</f>
        <v>8.0228769466212328E-3</v>
      </c>
      <c r="F159" s="1">
        <f>$B$2*(($B$3*(B158+D159))-($B$3/$B$4)*(B158+D159)^2)</f>
        <v>1.0095381294657813E-4</v>
      </c>
      <c r="G159" s="1">
        <f>$B$2*(($B$5*(B158+D159)))</f>
        <v>8.0238003810518214E-3</v>
      </c>
    </row>
    <row r="160" spans="1:7" x14ac:dyDescent="0.35">
      <c r="A160" s="1">
        <f t="shared" si="2"/>
        <v>0.75500000000000056</v>
      </c>
      <c r="B160" s="1">
        <f>B159+0.5*(D160+F160)</f>
        <v>0.93855054053814391</v>
      </c>
      <c r="C160" s="1">
        <f>C159+0.5*(E160+G160)</f>
        <v>0.79093613895337478</v>
      </c>
      <c r="D160" s="1">
        <f>$B$2*(($B$3*B159)-($B$3/$B$4)*B159^2)</f>
        <v>1.0118394816776011E-4</v>
      </c>
      <c r="E160" s="1">
        <f>$B$2*($B$5*B159)</f>
        <v>8.0237702413868735E-3</v>
      </c>
      <c r="F160" s="1">
        <f>$B$2*(($B$3*(B159+D160))-($B$3/$B$4)*(B159+D160)^2)</f>
        <v>9.4577505459678696E-5</v>
      </c>
      <c r="G160" s="1">
        <f>$B$2*(($B$5*(B159+D160)))</f>
        <v>8.024635364143707E-3</v>
      </c>
    </row>
    <row r="161" spans="1:7" x14ac:dyDescent="0.35">
      <c r="A161" s="1">
        <f t="shared" si="2"/>
        <v>0.76000000000000056</v>
      </c>
      <c r="B161" s="1">
        <f>B160+0.5*(D161+F161)</f>
        <v>0.9386422385218206</v>
      </c>
      <c r="C161" s="1">
        <f>C160+0.5*(E161+G161)</f>
        <v>0.79896115131590584</v>
      </c>
      <c r="D161" s="1">
        <f>$B$2*(($B$3*B160)-($B$3/$B$4)*B160^2)</f>
        <v>9.4793199970801825E-5</v>
      </c>
      <c r="E161" s="1">
        <f>$B$2*($B$5*B160)</f>
        <v>8.0246071216011315E-3</v>
      </c>
      <c r="F161" s="1">
        <f>$B$2*(($B$3*(B160+D161))-($B$3/$B$4)*(B160+D161)^2)</f>
        <v>8.8602767382610638E-5</v>
      </c>
      <c r="G161" s="1">
        <f>$B$2*(($B$5*(B160+D161)))</f>
        <v>8.0254176034608819E-3</v>
      </c>
    </row>
    <row r="162" spans="1:7" x14ac:dyDescent="0.35">
      <c r="A162" s="1">
        <f t="shared" si="2"/>
        <v>0.76500000000000057</v>
      </c>
      <c r="B162" s="1">
        <f>B161+0.5*(D162+F162)</f>
        <v>0.93872814320683151</v>
      </c>
      <c r="C162" s="1">
        <f>C161+0.5*(E162+G162)</f>
        <v>0.8069869220962963</v>
      </c>
      <c r="D162" s="1">
        <f>$B$2*(($B$3*B161)-($B$3/$B$4)*B161^2)</f>
        <v>8.8804919040770257E-5</v>
      </c>
      <c r="E162" s="1">
        <f>$B$2*($B$5*B161)</f>
        <v>8.0253911393615672E-3</v>
      </c>
      <c r="F162" s="1">
        <f>$B$2*(($B$3*(B161+D162))-($B$3/$B$4)*(B161+D162)^2)</f>
        <v>8.3004450980972422E-5</v>
      </c>
      <c r="G162" s="1">
        <f>$B$2*(($B$5*(B161+D162)))</f>
        <v>8.0261504214193639E-3</v>
      </c>
    </row>
    <row r="163" spans="1:7" x14ac:dyDescent="0.35">
      <c r="A163" s="1">
        <f t="shared" si="2"/>
        <v>0.77000000000000057</v>
      </c>
      <c r="B163" s="1">
        <f>B162+0.5*(D163+F163)</f>
        <v>0.93880861964119189</v>
      </c>
      <c r="C163" s="1">
        <f>C162+0.5*(E163+G163)</f>
        <v>0.81501340337464934</v>
      </c>
      <c r="D163" s="1">
        <f>$B$2*(($B$3*B162)-($B$3/$B$4)*B162^2)</f>
        <v>8.3193902834963746E-5</v>
      </c>
      <c r="E163" s="1">
        <f>$B$2*($B$5*B162)</f>
        <v>8.0261256244184096E-3</v>
      </c>
      <c r="F163" s="1">
        <f>$B$2*(($B$3*(B162+D163))-($B$3/$B$4)*(B162+D163)^2)</f>
        <v>7.7758965885896814E-5</v>
      </c>
      <c r="G163" s="1">
        <f>$B$2*(($B$5*(B162+D163)))</f>
        <v>8.0268369322876471E-3</v>
      </c>
    </row>
    <row r="164" spans="1:7" x14ac:dyDescent="0.35">
      <c r="A164" s="1">
        <f t="shared" si="2"/>
        <v>0.77500000000000058</v>
      </c>
      <c r="B164" s="1">
        <f>B163+0.5*(D164+F164)</f>
        <v>0.9388840099882898</v>
      </c>
      <c r="C164" s="1">
        <f>C163+0.5*(E164+G164)</f>
        <v>0.82304055025115919</v>
      </c>
      <c r="D164" s="1">
        <f>$B$2*(($B$3*B163)-($B$3/$B$4)*B163^2)</f>
        <v>7.7936509396669967E-5</v>
      </c>
      <c r="E164" s="1">
        <f>$B$2*($B$5*B163)</f>
        <v>8.0268136979321902E-3</v>
      </c>
      <c r="F164" s="1">
        <f>$B$2*(($B$3*(B163+D164))-($B$3/$B$4)*(B163+D164)^2)</f>
        <v>7.2844184799230046E-5</v>
      </c>
      <c r="G164" s="1">
        <f>$B$2*(($B$5*(B163+D164)))</f>
        <v>8.0274800550875318E-3</v>
      </c>
    </row>
    <row r="165" spans="1:7" x14ac:dyDescent="0.35">
      <c r="A165" s="1">
        <f t="shared" si="2"/>
        <v>0.78000000000000058</v>
      </c>
      <c r="B165" s="1">
        <f>B164+0.5*(D165+F165)</f>
        <v>0.93895463494705345</v>
      </c>
      <c r="C165" s="1">
        <f>C164+0.5*(E165+G165)</f>
        <v>0.83106832065671543</v>
      </c>
      <c r="D165" s="1">
        <f>$B$2*(($B$3*B164)-($B$3/$B$4)*B164^2)</f>
        <v>7.3010562886421942E-5</v>
      </c>
      <c r="E165" s="1">
        <f>$B$2*($B$5*B164)</f>
        <v>8.0274582853998785E-3</v>
      </c>
      <c r="F165" s="1">
        <f>$B$2*(($B$3*(B164+D165))-($B$3/$B$4)*(B164+D165)^2)</f>
        <v>6.8239354640970977E-5</v>
      </c>
      <c r="G165" s="1">
        <f>$B$2*(($B$5*(B164+D165)))</f>
        <v>8.0280825257125574E-3</v>
      </c>
    </row>
    <row r="166" spans="1:7" x14ac:dyDescent="0.35">
      <c r="A166" s="1">
        <f t="shared" si="2"/>
        <v>0.78500000000000059</v>
      </c>
      <c r="B166" s="1">
        <f>B165+0.5*(D166+F166)</f>
        <v>0.93902079508576497</v>
      </c>
      <c r="C166" s="1">
        <f>C165+0.5*(E166+G166)</f>
        <v>0.83909667517526876</v>
      </c>
      <c r="D166" s="1">
        <f>$B$2*(($B$3*B165)-($B$3/$B$4)*B165^2)</f>
        <v>6.839526456356993E-5</v>
      </c>
      <c r="E166" s="1">
        <f>$B$2*($B$5*B165)</f>
        <v>8.0280621287973069E-3</v>
      </c>
      <c r="F166" s="1">
        <f>$B$2*(($B$3*(B165+D166))-($B$3/$B$4)*(B165+D166)^2)</f>
        <v>6.3925012859442632E-5</v>
      </c>
      <c r="G166" s="1">
        <f>$B$2*(($B$5*(B165+D166)))</f>
        <v>8.0286469083093257E-3</v>
      </c>
    </row>
    <row r="167" spans="1:7" x14ac:dyDescent="0.35">
      <c r="A167" s="1">
        <f t="shared" si="2"/>
        <v>0.79000000000000059</v>
      </c>
      <c r="B167" s="1">
        <f>B166+0.5*(D167+F167)</f>
        <v>0.93908277209455016</v>
      </c>
      <c r="C167" s="1">
        <f>C166+0.5*(E167+G167)</f>
        <v>0.84712557687724277</v>
      </c>
      <c r="D167" s="1">
        <f>$B$2*(($B$3*B166)-($B$3/$B$4)*B166^2)</f>
        <v>6.4071108937397979E-5</v>
      </c>
      <c r="E167" s="1">
        <f>$B$2*($B$5*B166)</f>
        <v>8.0286277979832905E-3</v>
      </c>
      <c r="F167" s="1">
        <f>$B$2*(($B$3*(B166+D167))-($B$3/$B$4)*(B166+D167)^2)</f>
        <v>5.9882908632893359E-5</v>
      </c>
      <c r="G167" s="1">
        <f>$B$2*(($B$5*(B166+D167)))</f>
        <v>8.029175605964705E-3</v>
      </c>
    </row>
    <row r="168" spans="1:7" x14ac:dyDescent="0.35">
      <c r="A168" s="1">
        <f t="shared" si="2"/>
        <v>0.7950000000000006</v>
      </c>
      <c r="B168" s="1">
        <f>B167+0.5*(D168+F168)</f>
        <v>0.93914082996131021</v>
      </c>
      <c r="C168" s="1">
        <f>C167+0.5*(E168+G168)</f>
        <v>0.85515499116331672</v>
      </c>
      <c r="D168" s="1">
        <f>$B$2*(($B$3*B167)-($B$3/$B$4)*B167^2)</f>
        <v>6.0019804817068589E-5</v>
      </c>
      <c r="E168" s="1">
        <f>$B$2*($B$5*B167)</f>
        <v>8.0291577014084039E-3</v>
      </c>
      <c r="F168" s="1">
        <f>$B$2*(($B$3*(B167+D168))-($B$3/$B$4)*(B167+D168)^2)</f>
        <v>5.6095928702957213E-5</v>
      </c>
      <c r="G168" s="1">
        <f>$B$2*(($B$5*(B167+D168)))</f>
        <v>8.029670870739589E-3</v>
      </c>
    </row>
    <row r="169" spans="1:7" x14ac:dyDescent="0.35">
      <c r="A169" s="1">
        <f t="shared" si="2"/>
        <v>0.8000000000000006</v>
      </c>
      <c r="B169" s="1">
        <f>B168+0.5*(D169+F169)</f>
        <v>0.9391952160756053</v>
      </c>
      <c r="C169" s="1">
        <f>C168+0.5*(E169+G169)</f>
        <v>0.86318488561794515</v>
      </c>
      <c r="D169" s="1">
        <f>$B$2*(($B$3*B168)-($B$3/$B$4)*B168^2)</f>
        <v>5.6224201000478755E-5</v>
      </c>
      <c r="E169" s="1">
        <f>$B$2*($B$5*B168)</f>
        <v>8.0296540961692017E-3</v>
      </c>
      <c r="F169" s="1">
        <f>$B$2*(($B$3*(B168+D169))-($B$3/$B$4)*(B168+D169)^2)</f>
        <v>5.2548027589711669E-5</v>
      </c>
      <c r="G169" s="1">
        <f>$B$2*(($B$5*(B168+D169)))</f>
        <v>8.0301348130877564E-3</v>
      </c>
    </row>
    <row r="170" spans="1:7" x14ac:dyDescent="0.35">
      <c r="A170" s="1">
        <f t="shared" si="2"/>
        <v>0.8050000000000006</v>
      </c>
      <c r="B170" s="1">
        <f>B169+0.5*(D170+F170)</f>
        <v>0.93924616226475599</v>
      </c>
      <c r="C170" s="1">
        <f>C169+0.5*(E170+G170)</f>
        <v>0.87121522987201649</v>
      </c>
      <c r="D170" s="1">
        <f>$B$2*(($B$3*B169)-($B$3/$B$4)*B169^2)</f>
        <v>5.2668216351783315E-5</v>
      </c>
      <c r="E170" s="1">
        <f>$B$2*($B$5*B169)</f>
        <v>8.0301190974464247E-3</v>
      </c>
      <c r="F170" s="1">
        <f>$B$2*(($B$3*(B169+D170))-($B$3/$B$4)*(B169+D170)^2)</f>
        <v>4.9224161949670276E-5</v>
      </c>
      <c r="G170" s="1">
        <f>$B$2*(($B$5*(B169+D170)))</f>
        <v>8.0305694106962318E-3</v>
      </c>
    </row>
    <row r="171" spans="1:7" x14ac:dyDescent="0.35">
      <c r="A171" s="1">
        <f t="shared" si="2"/>
        <v>0.81000000000000061</v>
      </c>
      <c r="B171" s="1">
        <f>B170+0.5*(D171+F171)</f>
        <v>0.9392938857661941</v>
      </c>
      <c r="C171" s="1">
        <f>C170+0.5*(E171+G171)</f>
        <v>0.8792459954740891</v>
      </c>
      <c r="D171" s="1">
        <f>$B$2*(($B$3*B170)-($B$3/$B$4)*B170^2)</f>
        <v>4.9336774028496676E-5</v>
      </c>
      <c r="E171" s="1">
        <f>$B$2*($B$5*B170)</f>
        <v>8.030554687363663E-3</v>
      </c>
      <c r="F171" s="1">
        <f>$B$2*(($B$3*(B170+D171))-($B$3/$B$4)*(B170+D171)^2)</f>
        <v>4.611022884781768E-5</v>
      </c>
      <c r="G171" s="1">
        <f>$B$2*(($B$5*(B170+D171)))</f>
        <v>8.0309765167816075E-3</v>
      </c>
    </row>
    <row r="172" spans="1:7" x14ac:dyDescent="0.35">
      <c r="A172" s="1">
        <f t="shared" si="2"/>
        <v>0.81500000000000061</v>
      </c>
      <c r="B172" s="1">
        <f>B171+0.5*(D172+F172)</f>
        <v>0.93933859013987153</v>
      </c>
      <c r="C172" s="1">
        <f>C171+0.5*(E172+G172)</f>
        <v>0.88727715576967703</v>
      </c>
      <c r="D172" s="1">
        <f>$B$2*(($B$3*B171)-($B$3/$B$4)*B171^2)</f>
        <v>4.6215739629307254E-5</v>
      </c>
      <c r="E172" s="1">
        <f>$B$2*($B$5*B171)</f>
        <v>8.0309627233009599E-3</v>
      </c>
      <c r="F172" s="1">
        <f>$B$2*(($B$3*(B171+D172))-($B$3/$B$4)*(B171+D172)^2)</f>
        <v>4.3193007725497167E-5</v>
      </c>
      <c r="G172" s="1">
        <f>$B$2*(($B$5*(B171+D172)))</f>
        <v>8.0313578678747905E-3</v>
      </c>
    </row>
    <row r="173" spans="1:7" x14ac:dyDescent="0.35">
      <c r="A173" s="1">
        <f t="shared" si="2"/>
        <v>0.82000000000000062</v>
      </c>
      <c r="B173" s="1">
        <f>B172+0.5*(D173+F173)</f>
        <v>0.93938046612432158</v>
      </c>
      <c r="C173" s="1">
        <f>C172+0.5*(E173+G173)</f>
        <v>0.89530868578808742</v>
      </c>
      <c r="D173" s="1">
        <f>$B$2*(($B$3*B172)-($B$3/$B$4)*B172^2)</f>
        <v>4.3291863044041536E-5</v>
      </c>
      <c r="E173" s="1">
        <f>$B$2*($B$5*B172)</f>
        <v>8.0313449456959028E-3</v>
      </c>
      <c r="F173" s="1">
        <f>$B$2*(($B$3*(B172+D173))-($B$3/$B$4)*(B172+D173)^2)</f>
        <v>4.046010585613047E-5</v>
      </c>
      <c r="G173" s="1">
        <f>$B$2*(($B$5*(B172+D173)))</f>
        <v>8.0317150911249288E-3</v>
      </c>
    </row>
    <row r="174" spans="1:7" x14ac:dyDescent="0.35">
      <c r="A174" s="1">
        <f t="shared" si="2"/>
        <v>0.82500000000000062</v>
      </c>
      <c r="B174" s="1">
        <f>B173+0.5*(D174+F174)</f>
        <v>0.93941969243976586</v>
      </c>
      <c r="C174" s="1">
        <f>C173+0.5*(E174+G174)</f>
        <v>0.90334056213634462</v>
      </c>
      <c r="D174" s="1">
        <f>$B$2*(($B$3*B173)-($B$3/$B$4)*B173^2)</f>
        <v>4.0552723797766535E-5</v>
      </c>
      <c r="E174" s="1">
        <f>$B$2*($B$5*B173)</f>
        <v>8.0317029853629492E-3</v>
      </c>
      <c r="F174" s="1">
        <f>$B$2*(($B$3*(B173+D174))-($B$3/$B$4)*(B173+D174)^2)</f>
        <v>3.7899907090821473E-5</v>
      </c>
      <c r="G174" s="1">
        <f>$B$2*(($B$5*(B173+D174)))</f>
        <v>8.0320497111514202E-3</v>
      </c>
    </row>
    <row r="175" spans="1:7" x14ac:dyDescent="0.35">
      <c r="A175" s="1">
        <f t="shared" si="2"/>
        <v>0.83000000000000063</v>
      </c>
      <c r="B175" s="1">
        <f>B174+0.5*(D175+F175)</f>
        <v>0.93945643654146382</v>
      </c>
      <c r="C175" s="1">
        <f>C174+0.5*(E175+G175)</f>
        <v>0.91137276289976032</v>
      </c>
      <c r="D175" s="1">
        <f>$B$2*(($B$3*B174)-($B$3/$B$4)*B174^2)</f>
        <v>3.7986679690407146E-5</v>
      </c>
      <c r="E175" s="1">
        <f>$B$2*($B$5*B174)</f>
        <v>8.0320383703599979E-3</v>
      </c>
      <c r="F175" s="1">
        <f>$B$2*(($B$3*(B174+D175))-($B$3/$B$4)*(B174+D175)^2)</f>
        <v>3.5501523705496752E-5</v>
      </c>
      <c r="G175" s="1">
        <f>$B$2*(($B$5*(B174+D175)))</f>
        <v>8.0323631564713522E-3</v>
      </c>
    </row>
    <row r="176" spans="1:7" x14ac:dyDescent="0.35">
      <c r="A176" s="1">
        <f t="shared" si="2"/>
        <v>0.83500000000000063</v>
      </c>
      <c r="B176" s="1">
        <f>B175+0.5*(D176+F176)</f>
        <v>0.93949085532632126</v>
      </c>
      <c r="C176" s="1">
        <f>C175+0.5*(E176+G176)</f>
        <v>0.91940526754873908</v>
      </c>
      <c r="D176" s="1">
        <f>$B$2*(($B$3*B175)-($B$3/$B$4)*B175^2)</f>
        <v>3.558281854391332E-5</v>
      </c>
      <c r="E176" s="1">
        <f>$B$2*($B$5*B175)</f>
        <v>8.032352532429515E-3</v>
      </c>
      <c r="F176" s="1">
        <f>$B$2*(($B$3*(B175+D176))-($B$3/$B$4)*(B175+D176)^2)</f>
        <v>3.3254751170925799E-5</v>
      </c>
      <c r="G176" s="1">
        <f>$B$2*(($B$5*(B175+D176)))</f>
        <v>8.0326567655280654E-3</v>
      </c>
    </row>
    <row r="177" spans="1:7" x14ac:dyDescent="0.35">
      <c r="A177" s="1">
        <f t="shared" si="2"/>
        <v>0.84000000000000064</v>
      </c>
      <c r="B177" s="1">
        <f>B176+0.5*(D177+F177)</f>
        <v>0.93952309579559801</v>
      </c>
      <c r="C177" s="1">
        <f>C176+0.5*(E177+G177)</f>
        <v>0.92743805685143166</v>
      </c>
      <c r="D177" s="1">
        <f>$B$2*(($B$3*B176)-($B$3/$B$4)*B176^2)</f>
        <v>3.3330912877485018E-5</v>
      </c>
      <c r="E177" s="1">
        <f>$B$2*($B$5*B176)</f>
        <v>8.0326468130400459E-3</v>
      </c>
      <c r="F177" s="1">
        <f>$B$2*(($B$3*(B176+D177))-($B$3/$B$4)*(B176+D177)^2)</f>
        <v>3.1150025675943385E-5</v>
      </c>
      <c r="G177" s="1">
        <f>$B$2*(($B$5*(B176+D177)))</f>
        <v>8.0329317923451497E-3</v>
      </c>
    </row>
    <row r="178" spans="1:7" x14ac:dyDescent="0.35">
      <c r="A178" s="1">
        <f t="shared" si="2"/>
        <v>0.84500000000000064</v>
      </c>
      <c r="B178" s="1">
        <f>B177+0.5*(D178+F178)</f>
        <v>0.93955329567639034</v>
      </c>
      <c r="C178" s="1">
        <f>C177+0.5*(E178+G178)</f>
        <v>0.93547111279187212</v>
      </c>
      <c r="D178" s="1">
        <f>$B$2*(($B$3*B177)-($B$3/$B$4)*B177^2)</f>
        <v>3.1221377341381643E-5</v>
      </c>
      <c r="E178" s="1">
        <f>$B$2*($B$5*B177)</f>
        <v>8.0329224690523626E-3</v>
      </c>
      <c r="F178" s="1">
        <f>$B$2*(($B$3*(B177+D178))-($B$3/$B$4)*(B177+D178)^2)</f>
        <v>2.9178384243264689E-5</v>
      </c>
      <c r="G178" s="1">
        <f>$B$2*(($B$5*(B177+D178)))</f>
        <v>8.0331894118286316E-3</v>
      </c>
    </row>
    <row r="179" spans="1:7" x14ac:dyDescent="0.35">
      <c r="A179" s="1">
        <f t="shared" si="2"/>
        <v>0.85000000000000064</v>
      </c>
      <c r="B179" s="1">
        <f>B178+0.5*(D179+F179)</f>
        <v>0.93958158400440717</v>
      </c>
      <c r="C179" s="1">
        <f>C178+0.5*(E179+G179)</f>
        <v>0.94350441849325817</v>
      </c>
      <c r="D179" s="1">
        <f>$B$2*(($B$3*B178)-($B$3/$B$4)*B178^2)</f>
        <v>2.9245228748235874E-5</v>
      </c>
      <c r="E179" s="1">
        <f>$B$2*($B$5*B178)</f>
        <v>8.0331806780331375E-3</v>
      </c>
      <c r="F179" s="1">
        <f>$B$2*(($B$3*(B178+D179))-($B$3/$B$4)*(B178+D179)^2)</f>
        <v>2.7331427285455234E-5</v>
      </c>
      <c r="G179" s="1">
        <f>$B$2*(($B$5*(B178+D179)))</f>
        <v>8.0334307247389349E-3</v>
      </c>
    </row>
    <row r="180" spans="1:7" x14ac:dyDescent="0.35">
      <c r="A180" s="1">
        <f t="shared" si="2"/>
        <v>0.85500000000000065</v>
      </c>
      <c r="B180" s="1">
        <f>B179+0.5*(D180+F180)</f>
        <v>0.93960808167041032</v>
      </c>
      <c r="C180" s="1">
        <f>C179+0.5*(E180+G180)</f>
        <v>0.95153795814605335</v>
      </c>
      <c r="D180" s="1">
        <f>$B$2*(($B$3*B179)-($B$3/$B$4)*B179^2)</f>
        <v>2.7394048549176376E-5</v>
      </c>
      <c r="E180" s="1">
        <f>$B$2*($B$5*B179)</f>
        <v>8.0334225432376824E-3</v>
      </c>
      <c r="F180" s="1">
        <f>$B$2*(($B$3*(B179+D180))-($B$3/$B$4)*(B179+D180)^2)</f>
        <v>2.5601283457232781E-5</v>
      </c>
      <c r="G180" s="1">
        <f>$B$2*(($B$5*(B179+D180)))</f>
        <v>8.0336567623527765E-3</v>
      </c>
    </row>
    <row r="181" spans="1:7" x14ac:dyDescent="0.35">
      <c r="A181" s="1">
        <f t="shared" si="2"/>
        <v>0.86000000000000065</v>
      </c>
      <c r="B181" s="1">
        <f>B180+0.5*(D181+F181)</f>
        <v>0.93963290193254967</v>
      </c>
      <c r="C181" s="1">
        <f>C180+0.5*(E181+G181)</f>
        <v>0.95957171694061139</v>
      </c>
      <c r="D181" s="1">
        <f>$B$2*(($B$3*B180)-($B$3/$B$4)*B180^2)</f>
        <v>2.5659947610998658E-5</v>
      </c>
      <c r="E181" s="1">
        <f>$B$2*($B$5*B180)</f>
        <v>8.0336490982820079E-3</v>
      </c>
      <c r="F181" s="1">
        <f>$B$2*(($B$3*(B180+D181))-($B$3/$B$4)*(B180+D181)^2)</f>
        <v>2.3980576667730346E-5</v>
      </c>
      <c r="G181" s="1">
        <f>$B$2*(($B$5*(B180+D181)))</f>
        <v>8.0338684908340813E-3</v>
      </c>
    </row>
    <row r="182" spans="1:7" x14ac:dyDescent="0.35">
      <c r="A182" s="1">
        <f t="shared" si="2"/>
        <v>0.86500000000000066</v>
      </c>
      <c r="B182" s="1">
        <f>B181+0.5*(D182+F182)</f>
        <v>0.93965615089669052</v>
      </c>
      <c r="C182" s="1">
        <f>C181+0.5*(E182+G182)</f>
        <v>0.96760568100403899</v>
      </c>
      <c r="D182" s="1">
        <f>$B$2*(($B$3*B181)-($B$3/$B$4)*B181^2)</f>
        <v>2.4035533157444889E-5</v>
      </c>
      <c r="E182" s="1">
        <f>$B$2*($B$5*B181)</f>
        <v>8.0338613115233E-3</v>
      </c>
      <c r="F182" s="1">
        <f>$B$2*(($B$3*(B181+D182))-($B$3/$B$4)*(B181+D182)^2)</f>
        <v>2.2462395124254187E-5</v>
      </c>
      <c r="G182" s="1">
        <f>$B$2*(($B$5*(B181+D182)))</f>
        <v>8.0340668153317946E-3</v>
      </c>
    </row>
    <row r="183" spans="1:7" x14ac:dyDescent="0.35">
      <c r="A183" s="1">
        <f t="shared" si="2"/>
        <v>0.87000000000000066</v>
      </c>
      <c r="B183" s="1">
        <f>B182+0.5*(D183+F183)</f>
        <v>0.93967792796670635</v>
      </c>
      <c r="C183" s="1">
        <f>C182+0.5*(E183+G183)</f>
        <v>0.9756398373410331</v>
      </c>
      <c r="D183" s="1">
        <f>$B$2*(($B$3*B182)-($B$3/$B$4)*B182^2)</f>
        <v>2.2513877746037636E-5</v>
      </c>
      <c r="E183" s="1">
        <f>$B$2*($B$5*B182)</f>
        <v>8.0340600901667031E-3</v>
      </c>
      <c r="F183" s="1">
        <f>$B$2*(($B$3*(B182+D183))-($B$3/$B$4)*(B182+D183)^2)</f>
        <v>2.1040262285652034E-5</v>
      </c>
      <c r="G183" s="1">
        <f>$B$2*(($B$5*(B182+D183)))</f>
        <v>8.0342525838214326E-3</v>
      </c>
    </row>
    <row r="184" spans="1:7" x14ac:dyDescent="0.35">
      <c r="A184" s="1">
        <f t="shared" si="2"/>
        <v>0.87500000000000067</v>
      </c>
      <c r="B184" s="1">
        <f>B183+0.5*(D184+F184)</f>
        <v>0.93969832626659111</v>
      </c>
      <c r="C184" s="1">
        <f>C183+0.5*(E184+G184)</f>
        <v>0.98367417377844391</v>
      </c>
      <c r="D184" s="1">
        <f>$B$2*(($B$3*B183)-($B$3/$B$4)*B183^2)</f>
        <v>2.1088490158556185E-5</v>
      </c>
      <c r="E184" s="1">
        <f>$B$2*($B$5*B183)</f>
        <v>8.034246284115339E-3</v>
      </c>
      <c r="F184" s="1">
        <f>$B$2*(($B$3*(B183+D184))-($B$3/$B$4)*(B183+D184)^2)</f>
        <v>1.9708109610867554E-5</v>
      </c>
      <c r="G184" s="1">
        <f>$B$2*(($B$5*(B183+D184)))</f>
        <v>8.0344265907061948E-3</v>
      </c>
    </row>
    <row r="185" spans="1:7" x14ac:dyDescent="0.35">
      <c r="A185" s="1">
        <f t="shared" si="2"/>
        <v>0.88000000000000067</v>
      </c>
      <c r="B185" s="1">
        <f>B184+0.5*(D185+F185)</f>
        <v>0.93971743303613342</v>
      </c>
      <c r="C185" s="1">
        <f>C184+0.5*(E185+G185)</f>
        <v>0.99170867891332981</v>
      </c>
      <c r="D185" s="1">
        <f>$B$2*(($B$3*B184)-($B$3/$B$4)*B184^2)</f>
        <v>1.9753288090171851E-5</v>
      </c>
      <c r="E185" s="1">
        <f>$B$2*($B$5*B184)</f>
        <v>8.0344206895793541E-3</v>
      </c>
      <c r="F185" s="1">
        <f>$B$2*(($B$3*(B184+D185))-($B$3/$B$4)*(B184+D185)^2)</f>
        <v>1.8460250994429829E-5</v>
      </c>
      <c r="G185" s="1">
        <f>$B$2*(($B$5*(B184+D185)))</f>
        <v>8.0345895801925242E-3</v>
      </c>
    </row>
    <row r="186" spans="1:7" x14ac:dyDescent="0.35">
      <c r="A186" s="1">
        <f t="shared" si="2"/>
        <v>0.88500000000000068</v>
      </c>
      <c r="B186" s="1">
        <f>B185+0.5*(D186+F186)</f>
        <v>0.93973533000179132</v>
      </c>
      <c r="C186" s="1">
        <f>C185+0.5*(E186+G186)</f>
        <v>0.99974334206428628</v>
      </c>
      <c r="D186" s="1">
        <f>$B$2*(($B$3*B185)-($B$3/$B$4)*B185^2)</f>
        <v>1.8502572529177642E-5</v>
      </c>
      <c r="E186" s="1">
        <f>$B$2*($B$5*B185)</f>
        <v>8.0345840524589408E-3</v>
      </c>
      <c r="F186" s="1">
        <f>$B$2*(($B$3*(B185+D186))-($B$3/$B$4)*(B185+D186)^2)</f>
        <v>1.7291358786657442E-5</v>
      </c>
      <c r="G186" s="1">
        <f>$B$2*(($B$5*(B185+D186)))</f>
        <v>8.034742249454066E-3</v>
      </c>
    </row>
    <row r="187" spans="1:7" x14ac:dyDescent="0.35">
      <c r="A187" s="1">
        <f t="shared" si="2"/>
        <v>0.89000000000000068</v>
      </c>
      <c r="B187" s="1">
        <f>B186+0.5*(D187+F187)</f>
        <v>0.9397520937243049</v>
      </c>
      <c r="C187" s="1">
        <f>C186+0.5*(E187+G187)</f>
        <v>1.0077781532258425</v>
      </c>
      <c r="D187" s="1">
        <f>$B$2*(($B$3*B186)-($B$3/$B$4)*B186^2)</f>
        <v>1.7331003724549986E-5</v>
      </c>
      <c r="E187" s="1">
        <f>$B$2*($B$5*B186)</f>
        <v>8.0347370715153164E-3</v>
      </c>
      <c r="F187" s="1">
        <f>$B$2*(($B$3*(B186+D187))-($B$3/$B$4)*(B186+D187)^2)</f>
        <v>1.6196441302671616E-5</v>
      </c>
      <c r="G187" s="1">
        <f>$B$2*(($B$5*(B186+D187)))</f>
        <v>8.0348852515971618E-3</v>
      </c>
    </row>
    <row r="188" spans="1:7" x14ac:dyDescent="0.35">
      <c r="A188" s="1">
        <f t="shared" si="2"/>
        <v>0.89500000000000068</v>
      </c>
      <c r="B188" s="1">
        <f>B187+0.5*(D188+F188)</f>
        <v>0.93976779592449244</v>
      </c>
      <c r="C188" s="1">
        <f>C187+0.5*(E188+G188)</f>
        <v>1.015813103025734</v>
      </c>
      <c r="D188" s="1">
        <f>$B$2*(($B$3*B187)-($B$3/$B$4)*B187^2)</f>
        <v>1.6233578645623583E-5</v>
      </c>
      <c r="E188" s="1">
        <f>$B$2*($B$5*B187)</f>
        <v>8.0348804013428074E-3</v>
      </c>
      <c r="F188" s="1">
        <f>$B$2*(($B$3*(B187+D188))-($B$3/$B$4)*(B187+D188)^2)</f>
        <v>1.5170821729464379E-5</v>
      </c>
      <c r="G188" s="1">
        <f>$B$2*(($B$5*(B187+D188)))</f>
        <v>8.0350191984402269E-3</v>
      </c>
    </row>
    <row r="189" spans="1:7" x14ac:dyDescent="0.35">
      <c r="A189" s="1">
        <f t="shared" si="2"/>
        <v>0.90000000000000069</v>
      </c>
      <c r="B189" s="1">
        <f>B188+0.5*(D189+F189)</f>
        <v>0.93978250378858663</v>
      </c>
      <c r="C189" s="1">
        <f>C188+0.5*(E189+G189)</f>
        <v>1.0238481826848704</v>
      </c>
      <c r="D189" s="1">
        <f>$B$2*(($B$3*B188)-($B$3/$B$4)*B188^2)</f>
        <v>1.5205609842556812E-5</v>
      </c>
      <c r="E189" s="1">
        <f>$B$2*($B$5*B188)</f>
        <v>8.0350146551544099E-3</v>
      </c>
      <c r="F189" s="1">
        <f>$B$2*(($B$3*(B188+D189))-($B$3/$B$4)*(B188+D189)^2)</f>
        <v>1.4210118345854283E-5</v>
      </c>
      <c r="G189" s="1">
        <f>$B$2*(($B$5*(B188+D189)))</f>
        <v>8.0351446631185645E-3</v>
      </c>
    </row>
    <row r="190" spans="1:7" x14ac:dyDescent="0.35">
      <c r="A190" s="1">
        <f t="shared" si="2"/>
        <v>0.90500000000000069</v>
      </c>
      <c r="B190" s="1">
        <f>B189+0.5*(D190+F190)</f>
        <v>0.93979628025438533</v>
      </c>
      <c r="C190" s="1">
        <f>C189+0.5*(E190+G190)</f>
        <v>1.0318833839798294</v>
      </c>
      <c r="D190" s="1">
        <f>$B$2*(($B$3*B189)-($B$3/$B$4)*B189^2)</f>
        <v>1.4242705622642405E-5</v>
      </c>
      <c r="E190" s="1">
        <f>$B$2*($B$5*B189)</f>
        <v>8.0351404073924163E-3</v>
      </c>
      <c r="F190" s="1">
        <f>$B$2*(($B$3*(B189+D190))-($B$3/$B$4)*(B189+D190)^2)</f>
        <v>1.331022597482523E-5</v>
      </c>
      <c r="G190" s="1">
        <f>$B$2*(($B$5*(B189+D190)))</f>
        <v>8.0352621825254891E-3</v>
      </c>
    </row>
    <row r="191" spans="1:7" x14ac:dyDescent="0.35">
      <c r="A191" s="1">
        <f t="shared" si="2"/>
        <v>0.9100000000000007</v>
      </c>
      <c r="B191" s="1">
        <f>B190+0.5*(D191+F191)</f>
        <v>0.93980918427941262</v>
      </c>
      <c r="C191" s="1">
        <f>C190+0.5*(E191+G191)</f>
        <v>1.039918699207717</v>
      </c>
      <c r="D191" s="1">
        <f>$B$2*(($B$3*B190)-($B$3/$B$4)*B190^2)</f>
        <v>1.3340751461559109E-5</v>
      </c>
      <c r="E191" s="1">
        <f>$B$2*($B$5*B190)</f>
        <v>8.0352581961749946E-3</v>
      </c>
      <c r="F191" s="1">
        <f>$B$2*(($B$3*(B190+D191))-($B$3/$B$4)*(B190+D191)^2)</f>
        <v>1.2467298593010768E-5</v>
      </c>
      <c r="G191" s="1">
        <f>$B$2*(($B$5*(B190+D191)))</f>
        <v>8.0353722595999915E-3</v>
      </c>
    </row>
    <row r="192" spans="1:7" x14ac:dyDescent="0.35">
      <c r="A192" s="1">
        <f t="shared" si="2"/>
        <v>0.9150000000000007</v>
      </c>
      <c r="B192" s="1">
        <f>B191+0.5*(D192+F192)</f>
        <v>0.93982127109221258</v>
      </c>
      <c r="C192" s="1">
        <f>C191+0.5*(E192+G192)</f>
        <v>1.0479541211532466</v>
      </c>
      <c r="D192" s="1">
        <f>$B$2*(($B$3*B191)-($B$3/$B$4)*B191^2)</f>
        <v>1.2495892574140299E-5</v>
      </c>
      <c r="E192" s="1">
        <f>$B$2*($B$5*B191)</f>
        <v>8.0353685255889779E-3</v>
      </c>
      <c r="F192" s="1">
        <f>$B$2*(($B$3*(B191+D192))-($B$3/$B$4)*(B191+D192)^2)</f>
        <v>1.1677733025869942E-5</v>
      </c>
      <c r="G192" s="1">
        <f>$B$2*(($B$5*(B191+D192)))</f>
        <v>8.0354753654704875E-3</v>
      </c>
    </row>
    <row r="193" spans="1:7" x14ac:dyDescent="0.35">
      <c r="A193" s="1">
        <f t="shared" si="2"/>
        <v>0.92000000000000071</v>
      </c>
      <c r="B193" s="1">
        <f>B192+0.5*(D193+F193)</f>
        <v>0.93983259242783035</v>
      </c>
      <c r="C193" s="1">
        <f>C192+0.5*(E193+G193)</f>
        <v>1.0559896430578977</v>
      </c>
      <c r="D193" s="1">
        <f>$B$2*(($B$3*B192)-($B$3/$B$4)*B192^2)</f>
        <v>1.1704517573400964E-5</v>
      </c>
      <c r="E193" s="1">
        <f>$B$2*($B$5*B192)</f>
        <v>8.0354718678384181E-3</v>
      </c>
      <c r="F193" s="1">
        <f>$B$2*(($B$3*(B192+D193))-($B$3/$B$4)*(B192+D193)^2)</f>
        <v>1.0938153662074512E-5</v>
      </c>
      <c r="G193" s="1">
        <f>$B$2*(($B$5*(B192+D193)))</f>
        <v>8.0355719414636692E-3</v>
      </c>
    </row>
    <row r="194" spans="1:7" x14ac:dyDescent="0.35">
      <c r="A194" s="1">
        <f t="shared" si="2"/>
        <v>0.92500000000000071</v>
      </c>
      <c r="B194" s="1">
        <f>B193+0.5*(D194+F194)</f>
        <v>0.93984319674846761</v>
      </c>
      <c r="C194" s="1">
        <f>C193+0.5*(E194+G194)</f>
        <v>1.0640252585910202</v>
      </c>
      <c r="D194" s="1">
        <f>$B$2*(($B$3*B193)-($B$3/$B$4)*B193^2)</f>
        <v>1.0963243150685643E-5</v>
      </c>
      <c r="E194" s="1">
        <f>$B$2*($B$5*B193)</f>
        <v>8.0355686652579493E-3</v>
      </c>
      <c r="F194" s="1">
        <f>$B$2*(($B$3*(B193+D194))-($B$3/$B$4)*(B193+D194)^2)</f>
        <v>1.0245398123887028E-5</v>
      </c>
      <c r="G194" s="1">
        <f>$B$2*(($B$5*(B193+D194)))</f>
        <v>8.0356624009868868E-3</v>
      </c>
    </row>
    <row r="195" spans="1:7" x14ac:dyDescent="0.35">
      <c r="A195" s="1">
        <f t="shared" si="2"/>
        <v>0.93000000000000071</v>
      </c>
      <c r="B195" s="1">
        <f>B194+0.5*(D195+F195)</f>
        <v>0.93985312945024213</v>
      </c>
      <c r="C195" s="1">
        <f>C194+0.5*(E195+G195)</f>
        <v>1.0720609618227659</v>
      </c>
      <c r="D195" s="1">
        <f>$B$2*(($B$3*B194)-($B$3/$B$4)*B194^2)</f>
        <v>1.026889971418754E-5</v>
      </c>
      <c r="E195" s="1">
        <f>$B$2*($B$5*B194)</f>
        <v>8.035659332199397E-3</v>
      </c>
      <c r="F195" s="1">
        <f>$B$2*(($B$3*(B194+D195))-($B$3/$B$4)*(B194+D195)^2)</f>
        <v>9.5965038348122543E-6</v>
      </c>
      <c r="G195" s="1">
        <f>$B$2*(($B$5*(B194+D195)))</f>
        <v>8.0357471312919558E-3</v>
      </c>
    </row>
    <row r="196" spans="1:7" x14ac:dyDescent="0.35">
      <c r="A196" s="1">
        <f t="shared" si="2"/>
        <v>0.93500000000000072</v>
      </c>
      <c r="B196" s="1">
        <f>B195+0.5*(D196+F196)</f>
        <v>0.93986243305691963</v>
      </c>
      <c r="C196" s="1">
        <f>C195+0.5*(E196+G196)</f>
        <v>1.0800967471987295</v>
      </c>
      <c r="D196" s="1">
        <f>$B$2*(($B$3*B195)-($B$3/$B$4)*B195^2)</f>
        <v>9.6185179263930118E-6</v>
      </c>
      <c r="E196" s="1">
        <f>$B$2*($B$5*B195)</f>
        <v>8.0357442567995704E-3</v>
      </c>
      <c r="F196" s="1">
        <f>$B$2*(($B$3*(B195+D196))-($B$3/$B$4)*(B195+D196)^2)</f>
        <v>8.9886954287088369E-6</v>
      </c>
      <c r="G196" s="1">
        <f>$B$2*(($B$5*(B195+D196)))</f>
        <v>8.0358264951278409E-3</v>
      </c>
    </row>
    <row r="197" spans="1:7" x14ac:dyDescent="0.35">
      <c r="A197" s="1">
        <f t="shared" si="2"/>
        <v>0.94000000000000072</v>
      </c>
      <c r="B197" s="1">
        <f>B196+0.5*(D197+F197)</f>
        <v>0.93987114740143629</v>
      </c>
      <c r="C197" s="1">
        <f>C196+0.5*(E197+G197)</f>
        <v>1.0881326095161925</v>
      </c>
      <c r="D197" s="1">
        <f>$B$2*(($B$3*B196)-($B$3/$B$4)*B196^2)</f>
        <v>9.0093160850823749E-6</v>
      </c>
      <c r="E197" s="1">
        <f>$B$2*($B$5*B196)</f>
        <v>8.035823802636663E-3</v>
      </c>
      <c r="F197" s="1">
        <f>$B$2*(($B$3*(B196+D197))-($B$3/$B$4)*(B196+D197)^2)</f>
        <v>8.4193729483406097E-6</v>
      </c>
      <c r="G197" s="1">
        <f>$B$2*(($B$5*(B196+D197)))</f>
        <v>8.035900832289191E-3</v>
      </c>
    </row>
    <row r="198" spans="1:7" x14ac:dyDescent="0.35">
      <c r="A198" s="1">
        <f t="shared" si="2"/>
        <v>0.94500000000000073</v>
      </c>
      <c r="B198" s="1">
        <f>B197+0.5*(D198+F198)</f>
        <v>0.93987930979597611</v>
      </c>
      <c r="C198" s="1">
        <f>C197+0.5*(E198+G198)</f>
        <v>1.0961685439018674</v>
      </c>
      <c r="D198" s="1">
        <f>$B$2*(($B$3*B197)-($B$3/$B$4)*B197^2)</f>
        <v>8.4386882952891548E-6</v>
      </c>
      <c r="E198" s="1">
        <f>$B$2*($B$5*B197)</f>
        <v>8.0358983102822804E-3</v>
      </c>
      <c r="F198" s="1">
        <f>$B$2*(($B$3*(B197+D198))-($B$3/$B$4)*(B197+D198)^2)</f>
        <v>7.8861007843933351E-6</v>
      </c>
      <c r="G198" s="1">
        <f>$B$2*(($B$5*(B197+D198)))</f>
        <v>8.0359704610672052E-3</v>
      </c>
    </row>
    <row r="199" spans="1:7" x14ac:dyDescent="0.35">
      <c r="A199" s="1">
        <f t="shared" si="2"/>
        <v>0.95000000000000073</v>
      </c>
      <c r="B199" s="1">
        <f>B198+0.5*(D199+F199)</f>
        <v>0.93988695519132226</v>
      </c>
      <c r="C199" s="1">
        <f>C198+0.5*(E199+G199)</f>
        <v>1.1042045457910497</v>
      </c>
      <c r="D199" s="1">
        <f>$B$2*(($B$3*B198)-($B$3/$B$4)*B198^2)</f>
        <v>7.9041933835455331E-6</v>
      </c>
      <c r="E199" s="1">
        <f>$B$2*($B$5*B198)</f>
        <v>8.0359680987555967E-3</v>
      </c>
      <c r="F199" s="1">
        <f>$B$2*(($B$3*(B198+D199))-($B$3/$B$4)*(B198+D199)^2)</f>
        <v>7.3865973088338426E-6</v>
      </c>
      <c r="G199" s="1">
        <f>$B$2*(($B$5*(B198+D199)))</f>
        <v>8.0360356796090257E-3</v>
      </c>
    </row>
    <row r="200" spans="1:7" x14ac:dyDescent="0.35">
      <c r="A200" s="1">
        <f t="shared" si="2"/>
        <v>0.95500000000000074</v>
      </c>
      <c r="B200" s="1">
        <f>B199+0.5*(D200+F200)</f>
        <v>0.93989411632615594</v>
      </c>
      <c r="C200" s="1">
        <f>C199+0.5*(E200+G200)</f>
        <v>1.1122406109080882</v>
      </c>
      <c r="D200" s="1">
        <f>$B$2*(($B$3*B199)-($B$3/$B$4)*B199^2)</f>
        <v>7.4035445078113332E-6</v>
      </c>
      <c r="E200" s="1">
        <f>$B$2*($B$5*B199)</f>
        <v>8.036033466885804E-3</v>
      </c>
      <c r="F200" s="1">
        <f>$B$2*(($B$3*(B199+D200))-($B$3/$B$4)*(B199+D200)^2)</f>
        <v>6.9187251594815533E-6</v>
      </c>
      <c r="G200" s="1">
        <f>$B$2*(($B$5*(B199+D200)))</f>
        <v>8.0360967671913464E-3</v>
      </c>
    </row>
    <row r="201" spans="1:7" x14ac:dyDescent="0.35">
      <c r="A201" s="1">
        <f t="shared" si="2"/>
        <v>0.96000000000000074</v>
      </c>
      <c r="B201" s="1">
        <f>B200+0.5*(D201+F201)</f>
        <v>0.93990082386693363</v>
      </c>
      <c r="C201" s="1">
        <f>C200+0.5*(E201+G201)</f>
        <v>1.1202767352480894</v>
      </c>
      <c r="D201" s="1">
        <f>$B$2*(($B$3*B200)-($B$3/$B$4)*B200^2)</f>
        <v>6.9345994202052451E-6</v>
      </c>
      <c r="E201" s="1">
        <f>$B$2*($B$5*B200)</f>
        <v>8.0360946945886337E-3</v>
      </c>
      <c r="F201" s="1">
        <f>$B$2*(($B$3*(B200+D201))-($B$3/$B$4)*(B200+D201)^2)</f>
        <v>6.4804821351582835E-6</v>
      </c>
      <c r="G201" s="1">
        <f>$B$2*(($B$5*(B200+D201)))</f>
        <v>8.0361539854136767E-3</v>
      </c>
    </row>
    <row r="202" spans="1:7" x14ac:dyDescent="0.35">
      <c r="A202" s="1">
        <f t="shared" si="2"/>
        <v>0.96500000000000075</v>
      </c>
      <c r="B202" s="1">
        <f>B201+0.5*(D202+F202)</f>
        <v>0.93990710653893617</v>
      </c>
      <c r="C202" s="1">
        <f>C201+0.5*(E202+G202)</f>
        <v>1.1283129150597786</v>
      </c>
      <c r="D202" s="1">
        <f>$B$2*(($B$3*B201)-($B$3/$B$4)*B201^2)</f>
        <v>6.4953513415844105E-6</v>
      </c>
      <c r="E202" s="1">
        <f>$B$2*($B$5*B201)</f>
        <v>8.0361520440622829E-3</v>
      </c>
      <c r="F202" s="1">
        <f>$B$2*(($B$3*(B201+D202))-($B$3/$B$4)*(B201+D202)^2)</f>
        <v>6.0699926634555365E-6</v>
      </c>
      <c r="G202" s="1">
        <f>$B$2*(($B$5*(B201+D202)))</f>
        <v>8.036207579316253E-3</v>
      </c>
    </row>
    <row r="203" spans="1:7" x14ac:dyDescent="0.35">
      <c r="A203" s="1">
        <f t="shared" ref="A203:A209" si="3">A202+$B$2</f>
        <v>0.97000000000000075</v>
      </c>
      <c r="B203" s="1">
        <f>B202+0.5*(D203+F203)</f>
        <v>0.93991299124904371</v>
      </c>
      <c r="C203" s="1">
        <f>C202+0.5*(E203+G203)</f>
        <v>1.1363491468294462</v>
      </c>
      <c r="D203" s="1">
        <f>$B$2*(($B$3*B202)-($B$3/$B$4)*B202^2)</f>
        <v>6.0839204100116006E-6</v>
      </c>
      <c r="E203" s="1">
        <f>$B$2*($B$5*B202)</f>
        <v>8.0362057609079038E-3</v>
      </c>
      <c r="F203" s="1">
        <f>$B$2*(($B$3*(B202+D203))-($B$3/$B$4)*(B202+D203)^2)</f>
        <v>5.6854998051480978E-6</v>
      </c>
      <c r="G203" s="1">
        <f>$B$2*(($B$5*(B202+D203)))</f>
        <v>8.0362577784274091E-3</v>
      </c>
    </row>
    <row r="204" spans="1:7" x14ac:dyDescent="0.35">
      <c r="A204" s="1">
        <f t="shared" si="3"/>
        <v>0.97500000000000075</v>
      </c>
      <c r="B204" s="1">
        <f>B203+0.5*(D204+F204)</f>
        <v>0.93991850320075832</v>
      </c>
      <c r="C204" s="1">
        <f>C203+0.5*(E204+G204)</f>
        <v>1.1443854272659082</v>
      </c>
      <c r="D204" s="1">
        <f>$B$2*(($B$3*B203)-($B$3/$B$4)*B203^2)</f>
        <v>5.6985456671654335E-6</v>
      </c>
      <c r="E204" s="1">
        <f>$B$2*($B$5*B203)</f>
        <v>8.0362560751793231E-3</v>
      </c>
      <c r="F204" s="1">
        <f>$B$2*(($B$3*(B203+D204))-($B$3/$B$4)*(B203+D204)^2)</f>
        <v>5.3253577619738476E-6</v>
      </c>
      <c r="G204" s="1">
        <f>$B$2*(($B$5*(B203+D204)))</f>
        <v>8.0363047977447775E-3</v>
      </c>
    </row>
    <row r="205" spans="1:7" x14ac:dyDescent="0.35">
      <c r="A205" s="1">
        <f t="shared" si="3"/>
        <v>0.98000000000000076</v>
      </c>
      <c r="B205" s="1">
        <f>B204+0.5*(D205+F205)</f>
        <v>0.93992366600196087</v>
      </c>
      <c r="C205" s="1">
        <f>C204+0.5*(E205+G205)</f>
        <v>1.1524217532864187</v>
      </c>
      <c r="D205" s="1">
        <f>$B$2*(($B$3*B204)-($B$3/$B$4)*B204^2)</f>
        <v>5.3375775490493991E-6</v>
      </c>
      <c r="E205" s="1">
        <f>$B$2*($B$5*B204)</f>
        <v>8.0363032023664845E-3</v>
      </c>
      <c r="F205" s="1">
        <f>$B$2*(($B$3*(B204+D205))-($B$3/$B$4)*(B204+D205)^2)</f>
        <v>4.9880248560985056E-6</v>
      </c>
      <c r="G205" s="1">
        <f>$B$2*(($B$5*(B204+D205)))</f>
        <v>8.0363488386545282E-3</v>
      </c>
    </row>
    <row r="206" spans="1:7" x14ac:dyDescent="0.35">
      <c r="A206" s="1">
        <f t="shared" si="3"/>
        <v>0.98500000000000076</v>
      </c>
      <c r="B206" s="1">
        <f>B205+0.5*(D206+F206)</f>
        <v>0.93992850176586162</v>
      </c>
      <c r="C206" s="1">
        <f>C205+0.5*(E206+G206)</f>
        <v>1.1604581220034733</v>
      </c>
      <c r="D206" s="1">
        <f>$B$2*(($B$3*B205)-($B$3/$B$4)*B205^2)</f>
        <v>4.9994708496559074E-6</v>
      </c>
      <c r="E206" s="1">
        <f>$B$2*($B$5*B205)</f>
        <v>8.0363473443167653E-3</v>
      </c>
      <c r="F206" s="1">
        <f>$B$2*(($B$3*(B205+D206))-($B$3/$B$4)*(B205+D206)^2)</f>
        <v>4.6720569518932114E-6</v>
      </c>
      <c r="G206" s="1">
        <f>$B$2*(($B$5*(B205+D206)))</f>
        <v>8.0363900897925302E-3</v>
      </c>
    </row>
    <row r="207" spans="1:7" x14ac:dyDescent="0.35">
      <c r="A207" s="1">
        <f t="shared" si="3"/>
        <v>0.99000000000000077</v>
      </c>
      <c r="B207" s="1">
        <f>B206+0.5*(D207+F207)</f>
        <v>0.93993303120557159</v>
      </c>
      <c r="C207" s="1">
        <f>C206+0.5*(E207+G207)</f>
        <v>1.1684945307124479</v>
      </c>
      <c r="D207" s="1">
        <f>$B$2*(($B$3*B206)-($B$3/$B$4)*B206^2)</f>
        <v>4.6827781277247742E-6</v>
      </c>
      <c r="E207" s="1">
        <f>$B$2*($B$5*B206)</f>
        <v>8.036388690098116E-3</v>
      </c>
      <c r="F207" s="1">
        <f>$B$2*(($B$3*(B206+D207))-($B$3/$B$4)*(B206+D207)^2)</f>
        <v>4.3761012921006423E-6</v>
      </c>
      <c r="G207" s="1">
        <f>$B$2*(($B$5*(B206+D207)))</f>
        <v>8.0364287278511075E-3</v>
      </c>
    </row>
    <row r="208" spans="1:7" x14ac:dyDescent="0.35">
      <c r="A208" s="1">
        <f t="shared" si="3"/>
        <v>0.99500000000000077</v>
      </c>
      <c r="B208" s="1">
        <f>B207+0.5*(D208+F208)</f>
        <v>0.93993727372269742</v>
      </c>
      <c r="C208" s="1">
        <f>C207+0.5*(E208+G208)</f>
        <v>1.1765309768800192</v>
      </c>
      <c r="D208" s="1">
        <f>$B$2*(($B$3*B207)-($B$3/$B$4)*B207^2)</f>
        <v>4.3861435290182274E-6</v>
      </c>
      <c r="E208" s="1">
        <f>$B$2*($B$5*B207)</f>
        <v>8.0364274168076375E-3</v>
      </c>
      <c r="F208" s="1">
        <f>$B$2*(($B$3*(B207+D208))-($B$3/$B$4)*(B207+D208)^2)</f>
        <v>4.0988907227035302E-6</v>
      </c>
      <c r="G208" s="1">
        <f>$B$2*(($B$5*(B207+D208)))</f>
        <v>8.0364649183348111E-3</v>
      </c>
    </row>
    <row r="209" spans="1:7" x14ac:dyDescent="0.35">
      <c r="A209" s="3">
        <f t="shared" si="3"/>
        <v>1.0000000000000007</v>
      </c>
      <c r="B209" s="3">
        <f>B208+0.5*(D209+F209)</f>
        <v>0.93994124749033736</v>
      </c>
      <c r="C209" s="3">
        <f>C208+0.5*(E209+G209)</f>
        <v>1.1845674581333179</v>
      </c>
      <c r="D209" s="3">
        <f>$B$2*(($B$3*B208)-($B$3/$B$4)*B208^2)</f>
        <v>4.1082969980266168E-6</v>
      </c>
      <c r="E209" s="3">
        <f>$B$2*($B$5*B208)</f>
        <v>8.0364636903290636E-3</v>
      </c>
      <c r="F209" s="3">
        <f>$B$2*(($B$3*(B208+D209))-($B$3/$B$4)*(B208+D209)^2)</f>
        <v>3.8392382818219776E-6</v>
      </c>
      <c r="G209" s="3">
        <f>$B$2*(($B$5*(B208+D209)))</f>
        <v>8.0364988162683962E-3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5.9 a</vt:lpstr>
      <vt:lpstr>5.9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Alsurakhi, Lama</dc:creator>
  <cp:lastModifiedBy>Alsurakhi, Lama</cp:lastModifiedBy>
  <dcterms:created xsi:type="dcterms:W3CDTF">2025-10-30T20:51:36Z</dcterms:created>
  <dcterms:modified xsi:type="dcterms:W3CDTF">2025-10-31T17:43:48Z</dcterms:modified>
</cp:coreProperties>
</file>