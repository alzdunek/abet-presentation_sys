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lsu2\Downloads\"/>
    </mc:Choice>
  </mc:AlternateContent>
  <xr:revisionPtr revIDLastSave="0" documentId="8_{1C5A7770-9379-4B01-852D-231A495181AF}" xr6:coauthVersionLast="47" xr6:coauthVersionMax="47" xr10:uidLastSave="{00000000-0000-0000-0000-000000000000}"/>
  <bookViews>
    <workbookView xWindow="-120" yWindow="-120" windowWidth="20730" windowHeight="13260" xr2:uid="{2FB79EBB-3293-4A06-B53D-901C2631027C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chart.v1.0" hidden="1">Sheet1!$A$58:$A$71</definedName>
    <definedName name="_xlchart.v1.1" hidden="1">Sheet1!$B$57</definedName>
    <definedName name="_xlchart.v1.2" hidden="1">Sheet1!$B$58:$B$71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3" l="1"/>
  <c r="B33" i="3"/>
  <c r="C33" i="3"/>
  <c r="D33" i="3"/>
  <c r="E33" i="3"/>
  <c r="F33" i="3"/>
  <c r="A44" i="3"/>
  <c r="B44" i="3"/>
  <c r="C44" i="3"/>
  <c r="D44" i="3"/>
  <c r="E44" i="3"/>
  <c r="F44" i="3"/>
  <c r="A39" i="3"/>
  <c r="B39" i="3"/>
  <c r="C39" i="3"/>
  <c r="D39" i="3"/>
  <c r="E39" i="3"/>
  <c r="F39" i="3"/>
  <c r="A40" i="3"/>
  <c r="B40" i="3"/>
  <c r="C40" i="3"/>
  <c r="D40" i="3"/>
  <c r="E40" i="3"/>
  <c r="F40" i="3"/>
  <c r="A41" i="3"/>
  <c r="B41" i="3"/>
  <c r="C41" i="3"/>
  <c r="D41" i="3"/>
  <c r="E41" i="3"/>
  <c r="F41" i="3"/>
  <c r="A42" i="3"/>
  <c r="B42" i="3"/>
  <c r="C42" i="3"/>
  <c r="D42" i="3"/>
  <c r="E42" i="3"/>
  <c r="F42" i="3"/>
  <c r="A43" i="3"/>
  <c r="B43" i="3"/>
  <c r="C43" i="3"/>
  <c r="D43" i="3"/>
  <c r="E43" i="3"/>
  <c r="F43" i="3"/>
  <c r="C38" i="3"/>
  <c r="D38" i="3"/>
  <c r="E38" i="3"/>
  <c r="F38" i="3"/>
  <c r="B38" i="3"/>
  <c r="A38" i="3"/>
  <c r="F37" i="3"/>
  <c r="C37" i="3"/>
  <c r="D37" i="3"/>
  <c r="E37" i="3"/>
  <c r="A53" i="2"/>
  <c r="B53" i="2"/>
  <c r="C53" i="2"/>
  <c r="D53" i="2"/>
  <c r="E53" i="2"/>
  <c r="F53" i="2"/>
  <c r="A54" i="2"/>
  <c r="B54" i="2"/>
  <c r="C54" i="2"/>
  <c r="D54" i="2"/>
  <c r="E54" i="2"/>
  <c r="F54" i="2"/>
  <c r="A55" i="2"/>
  <c r="B55" i="2"/>
  <c r="C55" i="2"/>
  <c r="D55" i="2"/>
  <c r="E55" i="2"/>
  <c r="F55" i="2"/>
  <c r="A41" i="4"/>
  <c r="B41" i="4"/>
  <c r="C41" i="4"/>
  <c r="A67" i="1"/>
  <c r="B67" i="1"/>
  <c r="A68" i="1"/>
  <c r="B68" i="1"/>
  <c r="A69" i="1"/>
  <c r="B69" i="1"/>
  <c r="A70" i="1"/>
  <c r="B70" i="1"/>
  <c r="B71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59" i="1"/>
  <c r="B59" i="1"/>
  <c r="B58" i="1"/>
  <c r="A27" i="3"/>
  <c r="B27" i="3"/>
  <c r="C27" i="3"/>
  <c r="D27" i="3"/>
  <c r="E27" i="3"/>
  <c r="F27" i="3"/>
  <c r="A28" i="3"/>
  <c r="B28" i="3"/>
  <c r="C28" i="3"/>
  <c r="D28" i="3"/>
  <c r="E28" i="3"/>
  <c r="F28" i="3"/>
  <c r="A29" i="3"/>
  <c r="B29" i="3"/>
  <c r="C29" i="3"/>
  <c r="D29" i="3"/>
  <c r="E29" i="3"/>
  <c r="F29" i="3"/>
  <c r="A30" i="3"/>
  <c r="B30" i="3"/>
  <c r="C30" i="3"/>
  <c r="D30" i="3"/>
  <c r="E30" i="3"/>
  <c r="F30" i="3"/>
  <c r="A31" i="3"/>
  <c r="B31" i="3"/>
  <c r="C31" i="3"/>
  <c r="D31" i="3"/>
  <c r="E31" i="3"/>
  <c r="F31" i="3"/>
  <c r="A32" i="3"/>
  <c r="B32" i="3"/>
  <c r="C32" i="3"/>
  <c r="D32" i="3"/>
  <c r="E32" i="3"/>
  <c r="F32" i="3"/>
  <c r="C26" i="3"/>
  <c r="D26" i="3"/>
  <c r="E26" i="3"/>
  <c r="F26" i="3"/>
  <c r="C25" i="3"/>
  <c r="A26" i="3"/>
  <c r="E25" i="3"/>
  <c r="D25" i="3"/>
  <c r="A14" i="3"/>
  <c r="D13" i="3"/>
  <c r="C13" i="3"/>
  <c r="E13" i="3" s="1"/>
  <c r="A5" i="3"/>
  <c r="D4" i="3"/>
  <c r="C4" i="3"/>
  <c r="E4" i="3" s="1"/>
  <c r="E29" i="2"/>
  <c r="F29" i="2"/>
  <c r="B53" i="1"/>
  <c r="B40" i="1"/>
  <c r="A41" i="1"/>
  <c r="A23" i="1"/>
  <c r="A24" i="1" s="1"/>
  <c r="A25" i="1" s="1"/>
  <c r="A26" i="1" s="1"/>
  <c r="B5" i="4"/>
  <c r="A5" i="1"/>
  <c r="A6" i="1" s="1"/>
  <c r="A7" i="1" s="1"/>
  <c r="A8" i="1" s="1"/>
  <c r="C36" i="4"/>
  <c r="B36" i="4"/>
  <c r="A37" i="4" s="1"/>
  <c r="C26" i="4"/>
  <c r="E45" i="2"/>
  <c r="F45" i="2" s="1"/>
  <c r="D45" i="2"/>
  <c r="B46" i="2" s="1"/>
  <c r="D46" i="2" s="1"/>
  <c r="C45" i="2"/>
  <c r="A46" i="2" s="1"/>
  <c r="D29" i="2"/>
  <c r="B30" i="2" s="1"/>
  <c r="D30" i="2" s="1"/>
  <c r="C29" i="2"/>
  <c r="B26" i="4"/>
  <c r="A27" i="4" s="1"/>
  <c r="C16" i="4"/>
  <c r="B16" i="4"/>
  <c r="A17" i="4" s="1"/>
  <c r="C5" i="4"/>
  <c r="A6" i="4"/>
  <c r="B26" i="3" l="1"/>
  <c r="F25" i="3"/>
  <c r="B14" i="3"/>
  <c r="F13" i="3"/>
  <c r="C14" i="3"/>
  <c r="B5" i="3"/>
  <c r="F4" i="3"/>
  <c r="C5" i="3"/>
  <c r="A30" i="2"/>
  <c r="C30" i="2"/>
  <c r="E30" i="2"/>
  <c r="F30" i="2" s="1"/>
  <c r="B31" i="2" s="1"/>
  <c r="D31" i="2" s="1"/>
  <c r="B41" i="1"/>
  <c r="A42" i="1"/>
  <c r="B6" i="4"/>
  <c r="C6" i="4"/>
  <c r="B27" i="4"/>
  <c r="C27" i="4"/>
  <c r="B37" i="4"/>
  <c r="C37" i="4"/>
  <c r="B17" i="4"/>
  <c r="C17" i="4"/>
  <c r="E46" i="2"/>
  <c r="F46" i="2" s="1"/>
  <c r="C46" i="2"/>
  <c r="A47" i="2" s="1"/>
  <c r="B47" i="2"/>
  <c r="D47" i="2" s="1"/>
  <c r="E16" i="2"/>
  <c r="F16" i="2" s="1"/>
  <c r="D16" i="2"/>
  <c r="B17" i="2" s="1"/>
  <c r="D17" i="2" s="1"/>
  <c r="C16" i="2"/>
  <c r="A17" i="2" s="1"/>
  <c r="D4" i="2"/>
  <c r="E4" i="2"/>
  <c r="F4" i="2"/>
  <c r="B5" i="2"/>
  <c r="D5" i="2" s="1"/>
  <c r="C4" i="2"/>
  <c r="A5" i="2" s="1"/>
  <c r="B23" i="1"/>
  <c r="B24" i="1"/>
  <c r="B25" i="1"/>
  <c r="B26" i="1"/>
  <c r="B27" i="1"/>
  <c r="B22" i="1"/>
  <c r="B5" i="1"/>
  <c r="B6" i="1"/>
  <c r="B7" i="1"/>
  <c r="B8" i="1"/>
  <c r="B9" i="1"/>
  <c r="B4" i="1"/>
  <c r="A15" i="3" l="1"/>
  <c r="D14" i="3"/>
  <c r="E14" i="3" s="1"/>
  <c r="A6" i="3"/>
  <c r="D5" i="3"/>
  <c r="E5" i="3" s="1"/>
  <c r="A31" i="2"/>
  <c r="B42" i="1"/>
  <c r="A43" i="1"/>
  <c r="A38" i="4"/>
  <c r="A28" i="4"/>
  <c r="A18" i="4"/>
  <c r="A7" i="4"/>
  <c r="C17" i="2"/>
  <c r="E17" i="2"/>
  <c r="F17" i="2" s="1"/>
  <c r="B18" i="2"/>
  <c r="D18" i="2" s="1"/>
  <c r="E47" i="2"/>
  <c r="F47" i="2" s="1"/>
  <c r="B48" i="2" s="1"/>
  <c r="D48" i="2" s="1"/>
  <c r="C47" i="2"/>
  <c r="A48" i="2" s="1"/>
  <c r="C5" i="2"/>
  <c r="E5" i="2"/>
  <c r="F5" i="2" s="1"/>
  <c r="B6" i="2"/>
  <c r="D6" i="2" s="1"/>
  <c r="B15" i="3" l="1"/>
  <c r="F14" i="3"/>
  <c r="C15" i="3"/>
  <c r="B6" i="3"/>
  <c r="F5" i="3"/>
  <c r="C6" i="3"/>
  <c r="C31" i="2"/>
  <c r="E31" i="2"/>
  <c r="F31" i="2" s="1"/>
  <c r="B32" i="2" s="1"/>
  <c r="D32" i="2" s="1"/>
  <c r="B43" i="1"/>
  <c r="A44" i="1"/>
  <c r="B28" i="4"/>
  <c r="C28" i="4"/>
  <c r="A29" i="4"/>
  <c r="B38" i="4"/>
  <c r="C38" i="4"/>
  <c r="A39" i="4"/>
  <c r="B7" i="4"/>
  <c r="C7" i="4"/>
  <c r="A8" i="4"/>
  <c r="B18" i="4"/>
  <c r="C18" i="4"/>
  <c r="A19" i="4"/>
  <c r="A18" i="2"/>
  <c r="E48" i="2"/>
  <c r="F48" i="2" s="1"/>
  <c r="C48" i="2"/>
  <c r="A49" i="2" s="1"/>
  <c r="B49" i="2"/>
  <c r="D49" i="2" s="1"/>
  <c r="A6" i="2"/>
  <c r="A16" i="3" l="1"/>
  <c r="D15" i="3"/>
  <c r="E15" i="3" s="1"/>
  <c r="A7" i="3"/>
  <c r="D6" i="3"/>
  <c r="E6" i="3" s="1"/>
  <c r="A32" i="2"/>
  <c r="B44" i="1"/>
  <c r="A45" i="1"/>
  <c r="B39" i="4"/>
  <c r="C39" i="4"/>
  <c r="A40" i="4"/>
  <c r="B29" i="4"/>
  <c r="C29" i="4"/>
  <c r="A30" i="4"/>
  <c r="B8" i="4"/>
  <c r="C8" i="4"/>
  <c r="B19" i="4"/>
  <c r="C19" i="4"/>
  <c r="A20" i="4"/>
  <c r="A9" i="4"/>
  <c r="C18" i="2"/>
  <c r="E18" i="2"/>
  <c r="F18" i="2" s="1"/>
  <c r="B19" i="2" s="1"/>
  <c r="D19" i="2" s="1"/>
  <c r="E49" i="2"/>
  <c r="F49" i="2" s="1"/>
  <c r="B50" i="2" s="1"/>
  <c r="D50" i="2" s="1"/>
  <c r="C49" i="2"/>
  <c r="A50" i="2" s="1"/>
  <c r="C6" i="2"/>
  <c r="E6" i="2"/>
  <c r="F6" i="2" s="1"/>
  <c r="B7" i="2" s="1"/>
  <c r="D7" i="2" s="1"/>
  <c r="B16" i="3" l="1"/>
  <c r="F15" i="3"/>
  <c r="C16" i="3"/>
  <c r="B7" i="3"/>
  <c r="F6" i="3"/>
  <c r="C7" i="3"/>
  <c r="C32" i="2"/>
  <c r="E32" i="2"/>
  <c r="F32" i="2" s="1"/>
  <c r="B33" i="2" s="1"/>
  <c r="D33" i="2" s="1"/>
  <c r="B45" i="1"/>
  <c r="A46" i="1"/>
  <c r="B30" i="4"/>
  <c r="C30" i="4"/>
  <c r="A31" i="4"/>
  <c r="B40" i="4"/>
  <c r="C40" i="4"/>
  <c r="B9" i="4"/>
  <c r="C9" i="4"/>
  <c r="B20" i="4"/>
  <c r="C20" i="4"/>
  <c r="A21" i="4"/>
  <c r="A19" i="2"/>
  <c r="E50" i="2"/>
  <c r="F50" i="2" s="1"/>
  <c r="C50" i="2"/>
  <c r="A51" i="2" s="1"/>
  <c r="B51" i="2"/>
  <c r="D51" i="2" s="1"/>
  <c r="A7" i="2"/>
  <c r="A17" i="3" l="1"/>
  <c r="D16" i="3"/>
  <c r="E16" i="3" s="1"/>
  <c r="A8" i="3"/>
  <c r="D7" i="3"/>
  <c r="E7" i="3" s="1"/>
  <c r="A33" i="2"/>
  <c r="A47" i="1"/>
  <c r="B46" i="1"/>
  <c r="B31" i="4"/>
  <c r="C31" i="4"/>
  <c r="B21" i="4"/>
  <c r="C21" i="4"/>
  <c r="A10" i="4"/>
  <c r="C19" i="2"/>
  <c r="E19" i="2"/>
  <c r="F19" i="2" s="1"/>
  <c r="B20" i="2" s="1"/>
  <c r="D20" i="2" s="1"/>
  <c r="E51" i="2"/>
  <c r="F51" i="2" s="1"/>
  <c r="B52" i="2" s="1"/>
  <c r="D52" i="2" s="1"/>
  <c r="C51" i="2"/>
  <c r="A52" i="2" s="1"/>
  <c r="C7" i="2"/>
  <c r="E7" i="2"/>
  <c r="F7" i="2" s="1"/>
  <c r="B8" i="2" s="1"/>
  <c r="D8" i="2" s="1"/>
  <c r="B17" i="3" l="1"/>
  <c r="F16" i="3"/>
  <c r="C17" i="3"/>
  <c r="B8" i="3"/>
  <c r="D8" i="3" s="1"/>
  <c r="F7" i="3"/>
  <c r="C8" i="3"/>
  <c r="E8" i="3" s="1"/>
  <c r="F8" i="3" s="1"/>
  <c r="C33" i="2"/>
  <c r="E33" i="2"/>
  <c r="F33" i="2" s="1"/>
  <c r="B34" i="2" s="1"/>
  <c r="D34" i="2" s="1"/>
  <c r="B47" i="1"/>
  <c r="A48" i="1"/>
  <c r="A32" i="4"/>
  <c r="B10" i="4"/>
  <c r="C10" i="4"/>
  <c r="A20" i="2"/>
  <c r="E52" i="2"/>
  <c r="F52" i="2" s="1"/>
  <c r="C52" i="2"/>
  <c r="A8" i="2"/>
  <c r="A18" i="3" l="1"/>
  <c r="D17" i="3"/>
  <c r="E17" i="3" s="1"/>
  <c r="A34" i="2"/>
  <c r="B48" i="1"/>
  <c r="A49" i="1"/>
  <c r="B32" i="4"/>
  <c r="C32" i="4"/>
  <c r="C20" i="2"/>
  <c r="E20" i="2"/>
  <c r="F20" i="2" s="1"/>
  <c r="B21" i="2" s="1"/>
  <c r="D21" i="2" s="1"/>
  <c r="C8" i="2"/>
  <c r="E8" i="2"/>
  <c r="F8" i="2" s="1"/>
  <c r="B9" i="2" s="1"/>
  <c r="D9" i="2" s="1"/>
  <c r="B18" i="3" l="1"/>
  <c r="F17" i="3"/>
  <c r="C18" i="3"/>
  <c r="C34" i="2"/>
  <c r="E34" i="2"/>
  <c r="F34" i="2" s="1"/>
  <c r="B35" i="2" s="1"/>
  <c r="D35" i="2" s="1"/>
  <c r="B49" i="1"/>
  <c r="A50" i="1"/>
  <c r="A21" i="2"/>
  <c r="A9" i="2"/>
  <c r="A19" i="3" l="1"/>
  <c r="D18" i="3"/>
  <c r="E18" i="3" s="1"/>
  <c r="A35" i="2"/>
  <c r="B50" i="1"/>
  <c r="A51" i="1"/>
  <c r="C21" i="2"/>
  <c r="E21" i="2"/>
  <c r="F21" i="2" s="1"/>
  <c r="B22" i="2" s="1"/>
  <c r="D22" i="2" s="1"/>
  <c r="C9" i="2"/>
  <c r="E9" i="2"/>
  <c r="F9" i="2" s="1"/>
  <c r="B10" i="2" s="1"/>
  <c r="D10" i="2" s="1"/>
  <c r="B19" i="3" l="1"/>
  <c r="F18" i="3"/>
  <c r="C19" i="3"/>
  <c r="C35" i="2"/>
  <c r="E35" i="2"/>
  <c r="F35" i="2" s="1"/>
  <c r="B36" i="2" s="1"/>
  <c r="D36" i="2" s="1"/>
  <c r="A10" i="2"/>
  <c r="A52" i="1"/>
  <c r="B52" i="1" s="1"/>
  <c r="B51" i="1"/>
  <c r="A22" i="2"/>
  <c r="A20" i="3" l="1"/>
  <c r="D19" i="3"/>
  <c r="E19" i="3" s="1"/>
  <c r="A36" i="2"/>
  <c r="C10" i="2"/>
  <c r="E10" i="2"/>
  <c r="F10" i="2" s="1"/>
  <c r="B11" i="2" s="1"/>
  <c r="D11" i="2" s="1"/>
  <c r="C22" i="2"/>
  <c r="E22" i="2"/>
  <c r="F22" i="2" s="1"/>
  <c r="B23" i="2" s="1"/>
  <c r="D23" i="2" s="1"/>
  <c r="B20" i="3" l="1"/>
  <c r="D20" i="3" s="1"/>
  <c r="F19" i="3"/>
  <c r="C20" i="3"/>
  <c r="E20" i="3" s="1"/>
  <c r="F20" i="3" s="1"/>
  <c r="C36" i="2"/>
  <c r="E36" i="2"/>
  <c r="F36" i="2" s="1"/>
  <c r="B37" i="2" s="1"/>
  <c r="D37" i="2" s="1"/>
  <c r="A11" i="2"/>
  <c r="A23" i="2"/>
  <c r="A37" i="2" l="1"/>
  <c r="C11" i="2"/>
  <c r="E11" i="2"/>
  <c r="F11" i="2" s="1"/>
  <c r="B12" i="2" s="1"/>
  <c r="D12" i="2" s="1"/>
  <c r="C23" i="2"/>
  <c r="E23" i="2"/>
  <c r="F23" i="2" s="1"/>
  <c r="B24" i="2" s="1"/>
  <c r="D24" i="2" s="1"/>
  <c r="C37" i="2" l="1"/>
  <c r="E37" i="2"/>
  <c r="F37" i="2" s="1"/>
  <c r="B38" i="2" s="1"/>
  <c r="D38" i="2" s="1"/>
  <c r="A24" i="2"/>
  <c r="A12" i="2"/>
  <c r="A38" i="2" l="1"/>
  <c r="C12" i="2"/>
  <c r="E12" i="2"/>
  <c r="F12" i="2" s="1"/>
  <c r="C24" i="2"/>
  <c r="E24" i="2"/>
  <c r="F24" i="2" s="1"/>
  <c r="B25" i="2" s="1"/>
  <c r="D25" i="2" s="1"/>
  <c r="C38" i="2" l="1"/>
  <c r="E38" i="2"/>
  <c r="F38" i="2" s="1"/>
  <c r="B39" i="2" s="1"/>
  <c r="D39" i="2" s="1"/>
  <c r="A25" i="2"/>
  <c r="A39" i="2" l="1"/>
  <c r="C25" i="2"/>
  <c r="E25" i="2"/>
  <c r="F25" i="2" s="1"/>
  <c r="C39" i="2" l="1"/>
  <c r="E39" i="2"/>
  <c r="F39" i="2" s="1"/>
  <c r="B40" i="2" s="1"/>
  <c r="D40" i="2" s="1"/>
  <c r="A40" i="2" l="1"/>
  <c r="C40" i="2" l="1"/>
  <c r="E40" i="2"/>
  <c r="F40" i="2" s="1"/>
  <c r="B41" i="2" s="1"/>
  <c r="D41" i="2" s="1"/>
  <c r="A41" i="2" l="1"/>
  <c r="C41" i="2" l="1"/>
  <c r="E41" i="2"/>
  <c r="F41" i="2" s="1"/>
</calcChain>
</file>

<file path=xl/sharedStrings.xml><?xml version="1.0" encoding="utf-8"?>
<sst xmlns="http://schemas.openxmlformats.org/spreadsheetml/2006/main" count="96" uniqueCount="29">
  <si>
    <t>Exercise 1.1</t>
  </si>
  <si>
    <t>a. f(x)=x-x^(1/3)-2</t>
  </si>
  <si>
    <t>x</t>
  </si>
  <si>
    <t>f(x)</t>
  </si>
  <si>
    <t>b. f(x)=x*tan(x)-1</t>
  </si>
  <si>
    <t>c. f(x)=(x^(4))-(e^(x))+1</t>
  </si>
  <si>
    <t>d. f(x)=(x^2)*(e^x)-1</t>
  </si>
  <si>
    <t xml:space="preserve">Exercise 1.2 </t>
  </si>
  <si>
    <t>x1</t>
  </si>
  <si>
    <t>x2</t>
  </si>
  <si>
    <t>f(x1)</t>
  </si>
  <si>
    <t>f(x2)</t>
  </si>
  <si>
    <t>x new</t>
  </si>
  <si>
    <t>f(x new)</t>
  </si>
  <si>
    <t xml:space="preserve">x new </t>
  </si>
  <si>
    <t>c. f(x)=(x^4)-(e^x)+1</t>
  </si>
  <si>
    <t>Exercise 1.6</t>
  </si>
  <si>
    <t>f'(x)=1-1/3*x^(-2/3)</t>
  </si>
  <si>
    <t>f'(x)</t>
  </si>
  <si>
    <t>f'(x)=x*sec^2(x)+tan(x)</t>
  </si>
  <si>
    <t>f'(x)=4x^3-e^x</t>
  </si>
  <si>
    <t>f'(x)=2x*(e^x)+(x^2)(e^x)</t>
  </si>
  <si>
    <t>Exersice 1.3</t>
  </si>
  <si>
    <t>x3</t>
  </si>
  <si>
    <t>f(x3)</t>
  </si>
  <si>
    <t xml:space="preserve">Newton's Method </t>
  </si>
  <si>
    <t xml:space="preserve">Goal Seek </t>
  </si>
  <si>
    <t>Bi-Section Method</t>
  </si>
  <si>
    <t xml:space="preserve">Secant Method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</si>
</sst>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A)f(x)=x-x^(1/3)-2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Sheet1!$A$4:$A$9</c:f>
              <c:numCache>
                <c:formatCode>0.00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3.5213710452179035</c:v>
                </c:pt>
              </c:numCache>
            </c:numRef>
          </c:xVal>
          <c:yVal>
            <c:numRef>
              <c:f>Sheet1!$B$4:$B$9</c:f>
              <c:numCache>
                <c:formatCode>0.00</c:formatCode>
                <c:ptCount val="6"/>
                <c:pt idx="0">
                  <c:v>-2</c:v>
                </c:pt>
                <c:pt idx="1">
                  <c:v>-2.3641588833612781</c:v>
                </c:pt>
                <c:pt idx="2">
                  <c:v>-2.3848035476425733</c:v>
                </c:pt>
                <c:pt idx="3">
                  <c:v>-2.3694329500821696</c:v>
                </c:pt>
                <c:pt idx="4">
                  <c:v>-2.3368062997280772</c:v>
                </c:pt>
                <c:pt idx="5">
                  <c:v>-7.4141993631204883E-6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D7-49D9-8D9A-CC3EF6D2D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82192"/>
        <c:axId val="90184112"/>
      </c:scatterChart>
      <c:valAx>
        <c:axId val="9018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4112"/>
        <c:crosses val="autoZero"/>
        <c:crossBetween val="midCat"/>
      </c:valAx>
      <c:valAx>
        <c:axId val="9018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8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B)x*tan(x)-1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Sheet1!$A$22:$A$27</c:f>
              <c:numCache>
                <c:formatCode>0.00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0.86032028260510462</c:v>
                </c:pt>
              </c:numCache>
            </c:numRef>
          </c:xVal>
          <c:yVal>
            <c:numRef>
              <c:f>Sheet1!$B$22:$B$27</c:f>
              <c:numCache>
                <c:formatCode>0.00</c:formatCode>
                <c:ptCount val="6"/>
                <c:pt idx="0">
                  <c:v>-1</c:v>
                </c:pt>
                <c:pt idx="1">
                  <c:v>-0.98996653279145497</c:v>
                </c:pt>
                <c:pt idx="2">
                  <c:v>-0.9594579928982655</c:v>
                </c:pt>
                <c:pt idx="3">
                  <c:v>-0.90719912511711298</c:v>
                </c:pt>
                <c:pt idx="4">
                  <c:v>-0.83088271250473533</c:v>
                </c:pt>
                <c:pt idx="5">
                  <c:v>-4.2380273300612892E-5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77-4220-BF0B-7F92D5E69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053888"/>
        <c:axId val="90052448"/>
      </c:scatterChart>
      <c:valAx>
        <c:axId val="90053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52448"/>
        <c:crosses val="autoZero"/>
        <c:crossBetween val="midCat"/>
      </c:valAx>
      <c:valAx>
        <c:axId val="900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53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C)f(x)=(x^4)-(e^x)+1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Sheet1!$B$39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Sheet1!$A$40:$A$53</c:f>
              <c:numCache>
                <c:formatCode>0.00</c:formatCode>
                <c:ptCount val="1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1.2612668293563802</c:v>
                </c:pt>
              </c:numCache>
            </c:numRef>
          </c:xVal>
          <c:yVal>
            <c:numRef>
              <c:f>Sheet1!$B$40:$B$53</c:f>
              <c:numCache>
                <c:formatCode>0.00</c:formatCode>
                <c:ptCount val="14"/>
                <c:pt idx="0">
                  <c:v>0</c:v>
                </c:pt>
                <c:pt idx="1">
                  <c:v>-0.10507091807564772</c:v>
                </c:pt>
                <c:pt idx="2">
                  <c:v>-0.21980275816016981</c:v>
                </c:pt>
                <c:pt idx="3">
                  <c:v>-0.34175880757600319</c:v>
                </c:pt>
                <c:pt idx="4">
                  <c:v>-0.46622469764127028</c:v>
                </c:pt>
                <c:pt idx="5">
                  <c:v>-0.58622127070012819</c:v>
                </c:pt>
                <c:pt idx="6">
                  <c:v>-0.69251880039050895</c:v>
                </c:pt>
                <c:pt idx="7">
                  <c:v>-0.77365270747047665</c:v>
                </c:pt>
                <c:pt idx="8">
                  <c:v>-0.81594092849246769</c:v>
                </c:pt>
                <c:pt idx="9">
                  <c:v>-0.80350311115694972</c:v>
                </c:pt>
                <c:pt idx="10">
                  <c:v>-0.71828182845904553</c:v>
                </c:pt>
                <c:pt idx="11">
                  <c:v>-0.54006602394643322</c:v>
                </c:pt>
                <c:pt idx="12">
                  <c:v>-0.24651692273654735</c:v>
                </c:pt>
                <c:pt idx="13">
                  <c:v>7.3517274174372815E-4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C8-4138-AE44-73134B940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114272"/>
        <c:axId val="1331115712"/>
      </c:scatterChart>
      <c:valAx>
        <c:axId val="133111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115712"/>
        <c:crosses val="autoZero"/>
        <c:crossBetween val="midCat"/>
      </c:valAx>
      <c:valAx>
        <c:axId val="133111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114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D)f(x)=(x^2)*(e^x)-1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Sheet1!$B$57</c:f>
              <c:strCache>
                <c:ptCount val="1"/>
                <c:pt idx="0">
                  <c:v>f(x)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Sheet1!$A$58:$A$71</c:f>
              <c:numCache>
                <c:formatCode>0.00</c:formatCode>
                <c:ptCount val="1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0.70354067814878929</c:v>
                </c:pt>
              </c:numCache>
            </c:numRef>
          </c:xVal>
          <c:yVal>
            <c:numRef>
              <c:f>Sheet1!$B$58:$B$71</c:f>
              <c:numCache>
                <c:formatCode>0.00</c:formatCode>
                <c:ptCount val="14"/>
                <c:pt idx="0">
                  <c:v>-1</c:v>
                </c:pt>
                <c:pt idx="1">
                  <c:v>-0.98894829081924351</c:v>
                </c:pt>
                <c:pt idx="2">
                  <c:v>-0.9511438896735932</c:v>
                </c:pt>
                <c:pt idx="3">
                  <c:v>-0.87851270731815967</c:v>
                </c:pt>
                <c:pt idx="4">
                  <c:v>-0.76130804837739663</c:v>
                </c:pt>
                <c:pt idx="5">
                  <c:v>-0.58781968232496795</c:v>
                </c:pt>
                <c:pt idx="6">
                  <c:v>-0.34403723185941681</c:v>
                </c:pt>
                <c:pt idx="7">
                  <c:v>-1.3261173339466525E-2</c:v>
                </c:pt>
                <c:pt idx="8">
                  <c:v>0.42434619423517894</c:v>
                </c:pt>
                <c:pt idx="9">
                  <c:v>0.99227852003712869</c:v>
                </c:pt>
                <c:pt idx="10">
                  <c:v>1.7182818284590446</c:v>
                </c:pt>
                <c:pt idx="11">
                  <c:v>2.6350408889751824</c:v>
                </c:pt>
                <c:pt idx="12">
                  <c:v>3.7809683687406279</c:v>
                </c:pt>
                <c:pt idx="13">
                  <c:v>2.8155463612522524E-4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87-4C49-B45B-421841E53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096543"/>
        <c:axId val="627103263"/>
      </c:scatterChart>
      <c:valAx>
        <c:axId val="62709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103263"/>
        <c:crosses val="autoZero"/>
        <c:crossBetween val="midCat"/>
      </c:valAx>
      <c:valAx>
        <c:axId val="62710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09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</xdr:row>
      <xdr:rowOff>14287</xdr:rowOff>
    </xdr:from>
    <xdr:to>
      <xdr:col>10</xdr:col>
      <xdr:colOff>266700</xdr:colOff>
      <xdr:row>15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E6B3B9-2FFC-F432-96E3-070FF87D0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361950</xdr:colOff>
      <xdr:row>20</xdr:row>
      <xdr:rowOff>4762</xdr:rowOff>
    </xdr:from>
    <xdr:to>
      <xdr:col>10</xdr:col>
      <xdr:colOff>57150</xdr:colOff>
      <xdr:row>34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5DEC84-14CA-D9B9-821B-550FEBB45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542925</xdr:colOff>
      <xdr:row>38</xdr:row>
      <xdr:rowOff>42862</xdr:rowOff>
    </xdr:from>
    <xdr:to>
      <xdr:col>10</xdr:col>
      <xdr:colOff>238125</xdr:colOff>
      <xdr:row>52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DEA6BB5-9DD5-BF4A-9D14-D0C12A870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104775</xdr:colOff>
      <xdr:row>55</xdr:row>
      <xdr:rowOff>166687</xdr:rowOff>
    </xdr:from>
    <xdr:to>
      <xdr:col>11</xdr:col>
      <xdr:colOff>238125</xdr:colOff>
      <xdr:row>70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A624EC-864A-7476-0F10-E60C4AAB9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443E-DB1D-4702-9E7F-D2432A27F4DA}">
  <dimension ref="A1:B71"/>
  <sheetViews>
    <sheetView tabSelected="1" workbookViewId="0">
      <selection activeCell="B1" sqref="B1"/>
    </sheetView>
  </sheetViews>
  <sheetFormatPr defaultRowHeight="15" x14ac:dyDescent="0.25"/>
  <cols>
    <col min="1" max="1" width="18.42578125" customWidth="1"/>
    <col min="2" max="2" width="18.5703125" bestFit="1" customWidth="1"/>
  </cols>
  <sheetData>
    <row r="1" spans="1:2" x14ac:dyDescent="0.25">
      <c r="A1" t="s">
        <v>0</v>
      </c>
      <c r="B1" t="s">
        <v>26</v>
      </c>
    </row>
    <row r="2" spans="1:2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s="1">
        <v>0</v>
      </c>
      <c r="B4" s="1">
        <f>A4-A4^(1/3)-2</f>
        <v>-2</v>
      </c>
    </row>
    <row r="5" spans="1:2" x14ac:dyDescent="0.25">
      <c r="A5" s="1">
        <f>A4+0.1</f>
        <v>0.1</v>
      </c>
      <c r="B5" s="1">
        <f t="shared" ref="B5:B9" si="0">A5-A5^(1/3)-2</f>
        <v>-2.3641588833612781</v>
      </c>
    </row>
    <row r="6" spans="1:2" x14ac:dyDescent="0.25">
      <c r="A6" s="1">
        <f t="shared" ref="A6:A8" si="1">A5+0.1</f>
        <v>0.2</v>
      </c>
      <c r="B6" s="1">
        <f t="shared" si="0"/>
        <v>-2.3848035476425733</v>
      </c>
    </row>
    <row r="7" spans="1:2" x14ac:dyDescent="0.25">
      <c r="A7" s="1">
        <f t="shared" si="1"/>
        <v>0.30000000000000004</v>
      </c>
      <c r="B7" s="1">
        <f t="shared" si="0"/>
        <v>-2.3694329500821696</v>
      </c>
    </row>
    <row r="8" spans="1:2" x14ac:dyDescent="0.25">
      <c r="A8" s="1">
        <f t="shared" si="1"/>
        <v>0.4</v>
      </c>
      <c r="B8" s="1">
        <f t="shared" si="0"/>
        <v>-2.3368062997280772</v>
      </c>
    </row>
    <row r="9" spans="1:2" x14ac:dyDescent="0.25">
      <c r="A9" s="1">
        <v>3.5213710452179035</v>
      </c>
      <c r="B9" s="1">
        <f t="shared" si="0"/>
        <v>-7.4141993631204883E-6</v>
      </c>
    </row>
    <row r="20" spans="1:2" x14ac:dyDescent="0.25">
      <c r="A20" t="s">
        <v>4</v>
      </c>
    </row>
    <row r="21" spans="1:2" x14ac:dyDescent="0.25">
      <c r="A21" t="s">
        <v>2</v>
      </c>
      <c r="B21" t="s">
        <v>3</v>
      </c>
    </row>
    <row r="22" spans="1:2" x14ac:dyDescent="0.25">
      <c r="A22" s="1">
        <v>0</v>
      </c>
      <c r="B22" s="1">
        <f>A22*TAN(A22)-1</f>
        <v>-1</v>
      </c>
    </row>
    <row r="23" spans="1:2" x14ac:dyDescent="0.25">
      <c r="A23" s="1">
        <f>A22+0.1</f>
        <v>0.1</v>
      </c>
      <c r="B23" s="1">
        <f t="shared" ref="B23:B27" si="2">A23*TAN(A23)-1</f>
        <v>-0.98996653279145497</v>
      </c>
    </row>
    <row r="24" spans="1:2" x14ac:dyDescent="0.25">
      <c r="A24" s="1">
        <f t="shared" ref="A24:A26" si="3">A23+0.1</f>
        <v>0.2</v>
      </c>
      <c r="B24" s="1">
        <f t="shared" si="2"/>
        <v>-0.9594579928982655</v>
      </c>
    </row>
    <row r="25" spans="1:2" x14ac:dyDescent="0.25">
      <c r="A25" s="1">
        <f t="shared" si="3"/>
        <v>0.30000000000000004</v>
      </c>
      <c r="B25" s="1">
        <f t="shared" si="2"/>
        <v>-0.90719912511711298</v>
      </c>
    </row>
    <row r="26" spans="1:2" x14ac:dyDescent="0.25">
      <c r="A26" s="1">
        <f t="shared" si="3"/>
        <v>0.4</v>
      </c>
      <c r="B26" s="1">
        <f t="shared" si="2"/>
        <v>-0.83088271250473533</v>
      </c>
    </row>
    <row r="27" spans="1:2" x14ac:dyDescent="0.25">
      <c r="A27" s="1">
        <v>0.86032028260510462</v>
      </c>
      <c r="B27" s="1">
        <f t="shared" si="2"/>
        <v>-4.2380273300612892E-5</v>
      </c>
    </row>
    <row r="38" spans="1:2" x14ac:dyDescent="0.25">
      <c r="A38" t="s">
        <v>5</v>
      </c>
    </row>
    <row r="39" spans="1:2" x14ac:dyDescent="0.25">
      <c r="A39" t="s">
        <v>2</v>
      </c>
      <c r="B39" t="s">
        <v>3</v>
      </c>
    </row>
    <row r="40" spans="1:2" x14ac:dyDescent="0.25">
      <c r="A40" s="1">
        <v>0</v>
      </c>
      <c r="B40" s="1">
        <f>A40^4-EXP(A40)+1</f>
        <v>0</v>
      </c>
    </row>
    <row r="41" spans="1:2" x14ac:dyDescent="0.25">
      <c r="A41" s="1">
        <f>A40+0.1</f>
        <v>0.1</v>
      </c>
      <c r="B41" s="1">
        <f t="shared" ref="B41:B53" si="4">A41^4-EXP(A41)+1</f>
        <v>-0.10507091807564772</v>
      </c>
    </row>
    <row r="42" spans="1:2" x14ac:dyDescent="0.25">
      <c r="A42" s="1">
        <f t="shared" ref="A42:A46" si="5">A41+0.1</f>
        <v>0.2</v>
      </c>
      <c r="B42" s="1">
        <f t="shared" si="4"/>
        <v>-0.21980275816016981</v>
      </c>
    </row>
    <row r="43" spans="1:2" x14ac:dyDescent="0.25">
      <c r="A43" s="1">
        <f t="shared" si="5"/>
        <v>0.30000000000000004</v>
      </c>
      <c r="B43" s="1">
        <f t="shared" si="4"/>
        <v>-0.34175880757600319</v>
      </c>
    </row>
    <row r="44" spans="1:2" x14ac:dyDescent="0.25">
      <c r="A44" s="1">
        <f t="shared" si="5"/>
        <v>0.4</v>
      </c>
      <c r="B44" s="1">
        <f t="shared" si="4"/>
        <v>-0.46622469764127028</v>
      </c>
    </row>
    <row r="45" spans="1:2" x14ac:dyDescent="0.25">
      <c r="A45" s="1">
        <f t="shared" si="5"/>
        <v>0.5</v>
      </c>
      <c r="B45" s="1">
        <f t="shared" si="4"/>
        <v>-0.58622127070012819</v>
      </c>
    </row>
    <row r="46" spans="1:2" x14ac:dyDescent="0.25">
      <c r="A46" s="1">
        <f t="shared" si="5"/>
        <v>0.6</v>
      </c>
      <c r="B46" s="1">
        <f t="shared" si="4"/>
        <v>-0.69251880039050895</v>
      </c>
    </row>
    <row r="47" spans="1:2" x14ac:dyDescent="0.25">
      <c r="A47" s="1">
        <f t="shared" ref="A47:A51" si="6">A46+0.1</f>
        <v>0.7</v>
      </c>
      <c r="B47" s="1">
        <f t="shared" si="4"/>
        <v>-0.77365270747047665</v>
      </c>
    </row>
    <row r="48" spans="1:2" x14ac:dyDescent="0.25">
      <c r="A48" s="1">
        <f t="shared" si="6"/>
        <v>0.79999999999999993</v>
      </c>
      <c r="B48" s="1">
        <f t="shared" si="4"/>
        <v>-0.81594092849246769</v>
      </c>
    </row>
    <row r="49" spans="1:2" x14ac:dyDescent="0.25">
      <c r="A49" s="1">
        <f t="shared" si="6"/>
        <v>0.89999999999999991</v>
      </c>
      <c r="B49" s="1">
        <f t="shared" si="4"/>
        <v>-0.80350311115694972</v>
      </c>
    </row>
    <row r="50" spans="1:2" x14ac:dyDescent="0.25">
      <c r="A50" s="1">
        <f t="shared" si="6"/>
        <v>0.99999999999999989</v>
      </c>
      <c r="B50" s="1">
        <f t="shared" si="4"/>
        <v>-0.71828182845904553</v>
      </c>
    </row>
    <row r="51" spans="1:2" x14ac:dyDescent="0.25">
      <c r="A51" s="1">
        <f t="shared" si="6"/>
        <v>1.0999999999999999</v>
      </c>
      <c r="B51" s="1">
        <f t="shared" si="4"/>
        <v>-0.54006602394643322</v>
      </c>
    </row>
    <row r="52" spans="1:2" x14ac:dyDescent="0.25">
      <c r="A52" s="1">
        <f>A51+0.1</f>
        <v>1.2</v>
      </c>
      <c r="B52" s="1">
        <f t="shared" si="4"/>
        <v>-0.24651692273654735</v>
      </c>
    </row>
    <row r="53" spans="1:2" x14ac:dyDescent="0.25">
      <c r="A53" s="1">
        <v>1.2612668293563802</v>
      </c>
      <c r="B53" s="1">
        <f t="shared" si="4"/>
        <v>7.3517274174372815E-4</v>
      </c>
    </row>
    <row r="56" spans="1:2" x14ac:dyDescent="0.25">
      <c r="A56" t="s">
        <v>6</v>
      </c>
    </row>
    <row r="57" spans="1:2" x14ac:dyDescent="0.25">
      <c r="A57" t="s">
        <v>2</v>
      </c>
      <c r="B57" t="s">
        <v>3</v>
      </c>
    </row>
    <row r="58" spans="1:2" x14ac:dyDescent="0.25">
      <c r="A58" s="1">
        <v>0</v>
      </c>
      <c r="B58" s="1">
        <f>A58^2*EXP(A58)-1</f>
        <v>-1</v>
      </c>
    </row>
    <row r="59" spans="1:2" x14ac:dyDescent="0.25">
      <c r="A59" s="1">
        <f>A58+0.1</f>
        <v>0.1</v>
      </c>
      <c r="B59" s="1">
        <f>A59^2*EXP(A59)-1</f>
        <v>-0.98894829081924351</v>
      </c>
    </row>
    <row r="60" spans="1:2" x14ac:dyDescent="0.25">
      <c r="A60" s="1">
        <f t="shared" ref="A60:A66" si="7">A59+0.1</f>
        <v>0.2</v>
      </c>
      <c r="B60" s="1">
        <f t="shared" ref="B60:B71" si="8">A60^2*EXP(A60)-1</f>
        <v>-0.9511438896735932</v>
      </c>
    </row>
    <row r="61" spans="1:2" x14ac:dyDescent="0.25">
      <c r="A61" s="1">
        <f t="shared" si="7"/>
        <v>0.30000000000000004</v>
      </c>
      <c r="B61" s="1">
        <f t="shared" si="8"/>
        <v>-0.87851270731815967</v>
      </c>
    </row>
    <row r="62" spans="1:2" x14ac:dyDescent="0.25">
      <c r="A62" s="1">
        <f t="shared" si="7"/>
        <v>0.4</v>
      </c>
      <c r="B62" s="1">
        <f t="shared" si="8"/>
        <v>-0.76130804837739663</v>
      </c>
    </row>
    <row r="63" spans="1:2" x14ac:dyDescent="0.25">
      <c r="A63" s="1">
        <f t="shared" si="7"/>
        <v>0.5</v>
      </c>
      <c r="B63" s="1">
        <f t="shared" si="8"/>
        <v>-0.58781968232496795</v>
      </c>
    </row>
    <row r="64" spans="1:2" x14ac:dyDescent="0.25">
      <c r="A64" s="1">
        <f t="shared" si="7"/>
        <v>0.6</v>
      </c>
      <c r="B64" s="1">
        <f t="shared" si="8"/>
        <v>-0.34403723185941681</v>
      </c>
    </row>
    <row r="65" spans="1:2" x14ac:dyDescent="0.25">
      <c r="A65" s="1">
        <f t="shared" si="7"/>
        <v>0.7</v>
      </c>
      <c r="B65" s="1">
        <f t="shared" si="8"/>
        <v>-1.3261173339466525E-2</v>
      </c>
    </row>
    <row r="66" spans="1:2" x14ac:dyDescent="0.25">
      <c r="A66" s="1">
        <f t="shared" si="7"/>
        <v>0.79999999999999993</v>
      </c>
      <c r="B66" s="1">
        <f t="shared" si="8"/>
        <v>0.42434619423517894</v>
      </c>
    </row>
    <row r="67" spans="1:2" x14ac:dyDescent="0.25">
      <c r="A67" s="1">
        <f t="shared" ref="A67:A71" si="9">A66+0.1</f>
        <v>0.89999999999999991</v>
      </c>
      <c r="B67" s="1">
        <f t="shared" si="8"/>
        <v>0.99227852003712869</v>
      </c>
    </row>
    <row r="68" spans="1:2" x14ac:dyDescent="0.25">
      <c r="A68" s="1">
        <f t="shared" si="9"/>
        <v>0.99999999999999989</v>
      </c>
      <c r="B68" s="1">
        <f t="shared" si="8"/>
        <v>1.7182818284590446</v>
      </c>
    </row>
    <row r="69" spans="1:2" x14ac:dyDescent="0.25">
      <c r="A69" s="1">
        <f t="shared" si="9"/>
        <v>1.0999999999999999</v>
      </c>
      <c r="B69" s="1">
        <f t="shared" si="8"/>
        <v>2.6350408889751824</v>
      </c>
    </row>
    <row r="70" spans="1:2" x14ac:dyDescent="0.25">
      <c r="A70" s="1">
        <f t="shared" si="9"/>
        <v>1.2</v>
      </c>
      <c r="B70" s="1">
        <f t="shared" si="8"/>
        <v>3.7809683687406279</v>
      </c>
    </row>
    <row r="71" spans="1:2" x14ac:dyDescent="0.25">
      <c r="A71" s="1">
        <v>0.70354067814878929</v>
      </c>
      <c r="B71" s="1">
        <f t="shared" si="8"/>
        <v>2.8155463612522524E-4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51D9-5ACD-401B-BB82-2DD2F3000D23}">
  <dimension ref="A1:F55"/>
  <sheetViews>
    <sheetView topLeftCell="A37" workbookViewId="0">
      <selection activeCell="G35" sqref="G35"/>
    </sheetView>
  </sheetViews>
  <sheetFormatPr defaultRowHeight="15" x14ac:dyDescent="0.25"/>
  <sheetData>
    <row r="1" spans="1:6" x14ac:dyDescent="0.25">
      <c r="A1" t="s">
        <v>7</v>
      </c>
      <c r="C1" t="s">
        <v>27</v>
      </c>
    </row>
    <row r="2" spans="1:6" x14ac:dyDescent="0.25">
      <c r="A2" t="s">
        <v>1</v>
      </c>
    </row>
    <row r="3" spans="1:6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5">
      <c r="A4" s="1">
        <v>3</v>
      </c>
      <c r="B4" s="1">
        <v>4</v>
      </c>
      <c r="C4" s="1">
        <f>A4-A4^(1/3)-2</f>
        <v>-0.4422495703074083</v>
      </c>
      <c r="D4" s="1">
        <f>B4-B4^(1/3)-2</f>
        <v>0.41259894803180064</v>
      </c>
      <c r="E4" s="1">
        <f>(A4+B4)/2</f>
        <v>3.5</v>
      </c>
      <c r="F4" s="1">
        <f>E4-E4^(1/3)-2</f>
        <v>-1.829448593783134E-2</v>
      </c>
    </row>
    <row r="5" spans="1:6" x14ac:dyDescent="0.25">
      <c r="A5" s="1">
        <f>IF(C4*F4&gt;0,E4,A4)</f>
        <v>3.5</v>
      </c>
      <c r="B5" s="1">
        <f>IF(D4*F4&gt;0,E4,B4)</f>
        <v>4</v>
      </c>
      <c r="C5" s="1">
        <f>A5-A5^(1/3)-2</f>
        <v>-1.829448593783134E-2</v>
      </c>
      <c r="D5" s="1">
        <f>B5-B5^(1/3)-2</f>
        <v>0.41259894803180064</v>
      </c>
      <c r="E5" s="1">
        <f>(A5+B5)/2</f>
        <v>3.75</v>
      </c>
      <c r="F5" s="1">
        <f>E5-E5^(1/3)-2</f>
        <v>0.19638374702307093</v>
      </c>
    </row>
    <row r="6" spans="1:6" x14ac:dyDescent="0.25">
      <c r="A6" s="1">
        <f t="shared" ref="A6:A9" si="0">IF(C5*F5&gt;0,E5,A5)</f>
        <v>3.5</v>
      </c>
      <c r="B6" s="1">
        <f t="shared" ref="B6:B9" si="1">IF(D5*F5&gt;0,E5,B5)</f>
        <v>3.75</v>
      </c>
      <c r="C6" s="1">
        <f t="shared" ref="C6:C9" si="2">A6-A6^(1/3)-2</f>
        <v>-1.829448593783134E-2</v>
      </c>
      <c r="D6" s="1">
        <f t="shared" ref="D6:D9" si="3">B6-B6^(1/3)-2</f>
        <v>0.19638374702307093</v>
      </c>
      <c r="E6" s="1">
        <f t="shared" ref="E6:E9" si="4">(A6+B6)/2</f>
        <v>3.625</v>
      </c>
      <c r="F6" s="1">
        <f t="shared" ref="F6:F9" si="5">E6-E6^(1/3)-2</f>
        <v>8.8841587157076241E-2</v>
      </c>
    </row>
    <row r="7" spans="1:6" x14ac:dyDescent="0.25">
      <c r="A7" s="1">
        <f t="shared" si="0"/>
        <v>3.5</v>
      </c>
      <c r="B7" s="1">
        <f t="shared" si="1"/>
        <v>3.625</v>
      </c>
      <c r="C7" s="1">
        <f t="shared" si="2"/>
        <v>-1.829448593783134E-2</v>
      </c>
      <c r="D7" s="1">
        <f t="shared" si="3"/>
        <v>8.8841587157076241E-2</v>
      </c>
      <c r="E7" s="1">
        <f t="shared" si="4"/>
        <v>3.5625</v>
      </c>
      <c r="F7" s="1">
        <f t="shared" si="5"/>
        <v>3.522131392759853E-2</v>
      </c>
    </row>
    <row r="8" spans="1:6" x14ac:dyDescent="0.25">
      <c r="A8" s="1">
        <f t="shared" si="0"/>
        <v>3.5</v>
      </c>
      <c r="B8" s="1">
        <f t="shared" si="1"/>
        <v>3.5625</v>
      </c>
      <c r="C8" s="1">
        <f t="shared" si="2"/>
        <v>-1.829448593783134E-2</v>
      </c>
      <c r="D8" s="1">
        <f t="shared" si="3"/>
        <v>3.522131392759853E-2</v>
      </c>
      <c r="E8" s="1">
        <f t="shared" si="4"/>
        <v>3.53125</v>
      </c>
      <c r="F8" s="1">
        <f t="shared" si="5"/>
        <v>8.4501627700537263E-3</v>
      </c>
    </row>
    <row r="9" spans="1:6" x14ac:dyDescent="0.25">
      <c r="A9" s="1">
        <f t="shared" si="0"/>
        <v>3.5</v>
      </c>
      <c r="B9" s="1">
        <f t="shared" si="1"/>
        <v>3.53125</v>
      </c>
      <c r="C9" s="1">
        <f t="shared" si="2"/>
        <v>-1.829448593783134E-2</v>
      </c>
      <c r="D9" s="1">
        <f t="shared" si="3"/>
        <v>8.4501627700537263E-3</v>
      </c>
      <c r="E9" s="1">
        <f t="shared" si="4"/>
        <v>3.515625</v>
      </c>
      <c r="F9" s="1">
        <f t="shared" si="5"/>
        <v>-4.9254988933500332E-3</v>
      </c>
    </row>
    <row r="10" spans="1:6" x14ac:dyDescent="0.25">
      <c r="A10" s="1">
        <f t="shared" ref="A10:A12" si="6">IF(C9*F9&gt;0,E9,A9)</f>
        <v>3.515625</v>
      </c>
      <c r="B10" s="1">
        <f t="shared" ref="B10:B12" si="7">IF(D9*F9&gt;0,E9,B9)</f>
        <v>3.53125</v>
      </c>
      <c r="C10" s="1">
        <f t="shared" ref="C10:C12" si="8">A10-A10^(1/3)-2</f>
        <v>-4.9254988933500332E-3</v>
      </c>
      <c r="D10" s="1">
        <f t="shared" ref="D10:D12" si="9">B10-B10^(1/3)-2</f>
        <v>8.4501627700537263E-3</v>
      </c>
      <c r="E10" s="1">
        <f t="shared" ref="E10:E12" si="10">(A10+B10)/2</f>
        <v>3.5234375</v>
      </c>
      <c r="F10" s="1">
        <f t="shared" ref="F10:F12" si="11">E10-E10^(1/3)-2</f>
        <v>1.7615006965243651E-3</v>
      </c>
    </row>
    <row r="11" spans="1:6" x14ac:dyDescent="0.25">
      <c r="A11" s="1">
        <f t="shared" si="6"/>
        <v>3.515625</v>
      </c>
      <c r="B11" s="1">
        <f t="shared" si="7"/>
        <v>3.5234375</v>
      </c>
      <c r="C11" s="1">
        <f t="shared" si="8"/>
        <v>-4.9254988933500332E-3</v>
      </c>
      <c r="D11" s="1">
        <f t="shared" si="9"/>
        <v>1.7615006965243651E-3</v>
      </c>
      <c r="E11" s="1">
        <f t="shared" si="10"/>
        <v>3.51953125</v>
      </c>
      <c r="F11" s="1">
        <f t="shared" si="11"/>
        <v>-1.5822072931346298E-3</v>
      </c>
    </row>
    <row r="12" spans="1:6" x14ac:dyDescent="0.25">
      <c r="A12" s="1">
        <f t="shared" si="6"/>
        <v>3.51953125</v>
      </c>
      <c r="B12" s="1">
        <f t="shared" si="7"/>
        <v>3.5234375</v>
      </c>
      <c r="C12" s="1">
        <f t="shared" si="8"/>
        <v>-1.5822072931346298E-3</v>
      </c>
      <c r="D12" s="1">
        <f t="shared" si="9"/>
        <v>1.7615006965243651E-3</v>
      </c>
      <c r="E12" s="1">
        <f t="shared" si="10"/>
        <v>3.521484375</v>
      </c>
      <c r="F12" s="1">
        <f t="shared" si="11"/>
        <v>8.9594701136341826E-5</v>
      </c>
    </row>
    <row r="14" spans="1:6" x14ac:dyDescent="0.25">
      <c r="A14" t="s">
        <v>4</v>
      </c>
    </row>
    <row r="15" spans="1:6" x14ac:dyDescent="0.25">
      <c r="A15" t="s">
        <v>8</v>
      </c>
      <c r="B15" t="s">
        <v>9</v>
      </c>
      <c r="C15" t="s">
        <v>10</v>
      </c>
      <c r="D15" t="s">
        <v>11</v>
      </c>
      <c r="E15" t="s">
        <v>14</v>
      </c>
      <c r="F15" t="s">
        <v>13</v>
      </c>
    </row>
    <row r="16" spans="1:6" x14ac:dyDescent="0.25">
      <c r="A16" s="1">
        <v>0.5</v>
      </c>
      <c r="B16" s="1">
        <v>1</v>
      </c>
      <c r="C16" s="1">
        <f>A16*TAN(A16)-1</f>
        <v>-0.72684875507810476</v>
      </c>
      <c r="D16" s="1">
        <f>B16*TAN(B16)-1</f>
        <v>0.55740772465490229</v>
      </c>
      <c r="E16" s="1">
        <f>(A16+B16)/2</f>
        <v>0.75</v>
      </c>
      <c r="F16" s="1">
        <f>E16*TAN(E16)-1</f>
        <v>-0.30130265504194564</v>
      </c>
    </row>
    <row r="17" spans="1:6" x14ac:dyDescent="0.25">
      <c r="A17" s="1">
        <f>IF(C16*F16&gt;0,E16,A16)</f>
        <v>0.75</v>
      </c>
      <c r="B17" s="1">
        <f>IF(D16*F16&gt;0,E16,B16)</f>
        <v>1</v>
      </c>
      <c r="C17" s="1">
        <f>A17*TAN(A17)-1</f>
        <v>-0.30130265504194564</v>
      </c>
      <c r="D17" s="1">
        <f>B17*TAN(B17)-1</f>
        <v>0.55740772465490229</v>
      </c>
      <c r="E17" s="1">
        <f>(A17+B17)/2</f>
        <v>0.875</v>
      </c>
      <c r="F17" s="1">
        <f>E17*TAN(E17)-1</f>
        <v>4.7743925580054469E-2</v>
      </c>
    </row>
    <row r="18" spans="1:6" x14ac:dyDescent="0.25">
      <c r="A18" s="1">
        <f t="shared" ref="A18:A20" si="12">IF(C17*F17&gt;0,E17,A17)</f>
        <v>0.75</v>
      </c>
      <c r="B18" s="1">
        <f t="shared" ref="B18:B20" si="13">IF(D17*F17&gt;0,E17,B17)</f>
        <v>0.875</v>
      </c>
      <c r="C18" s="1">
        <f t="shared" ref="C18:C20" si="14">A18*TAN(A18)-1</f>
        <v>-0.30130265504194564</v>
      </c>
      <c r="D18" s="1">
        <f t="shared" ref="D18:D20" si="15">B18*TAN(B18)-1</f>
        <v>4.7743925580054469E-2</v>
      </c>
      <c r="E18" s="1">
        <f t="shared" ref="E18:E20" si="16">(A18+B18)/2</f>
        <v>0.8125</v>
      </c>
      <c r="F18" s="1">
        <f t="shared" ref="F18:F20" si="17">E18*TAN(E18)-1</f>
        <v>-0.14222129297781505</v>
      </c>
    </row>
    <row r="19" spans="1:6" x14ac:dyDescent="0.25">
      <c r="A19" s="1">
        <f t="shared" si="12"/>
        <v>0.8125</v>
      </c>
      <c r="B19" s="1">
        <f t="shared" si="13"/>
        <v>0.875</v>
      </c>
      <c r="C19" s="1">
        <f t="shared" si="14"/>
        <v>-0.14222129297781505</v>
      </c>
      <c r="D19" s="1">
        <f t="shared" si="15"/>
        <v>4.7743925580054469E-2</v>
      </c>
      <c r="E19" s="1">
        <f t="shared" si="16"/>
        <v>0.84375</v>
      </c>
      <c r="F19" s="1">
        <f t="shared" si="17"/>
        <v>-5.155316759302675E-2</v>
      </c>
    </row>
    <row r="20" spans="1:6" x14ac:dyDescent="0.25">
      <c r="A20" s="1">
        <f t="shared" si="12"/>
        <v>0.84375</v>
      </c>
      <c r="B20" s="1">
        <f t="shared" si="13"/>
        <v>0.875</v>
      </c>
      <c r="C20" s="1">
        <f t="shared" si="14"/>
        <v>-5.155316759302675E-2</v>
      </c>
      <c r="D20" s="1">
        <f t="shared" si="15"/>
        <v>4.7743925580054469E-2</v>
      </c>
      <c r="E20" s="1">
        <f t="shared" si="16"/>
        <v>0.859375</v>
      </c>
      <c r="F20" s="1">
        <f t="shared" si="17"/>
        <v>-3.048803436389691E-3</v>
      </c>
    </row>
    <row r="21" spans="1:6" x14ac:dyDescent="0.25">
      <c r="A21" s="1">
        <f>IF(C20*F20&gt;0,E20,A20)</f>
        <v>0.859375</v>
      </c>
      <c r="B21" s="1">
        <f>IF(D20*F20&gt;0,E20,B20)</f>
        <v>0.875</v>
      </c>
      <c r="C21" s="1">
        <f t="shared" ref="C21:D23" si="18">A21*TAN(A21)-1</f>
        <v>-3.048803436389691E-3</v>
      </c>
      <c r="D21" s="1">
        <f t="shared" si="18"/>
        <v>4.7743925580054469E-2</v>
      </c>
      <c r="E21" s="1">
        <f>(A21+B21)/2</f>
        <v>0.8671875</v>
      </c>
      <c r="F21" s="1">
        <f>E21*TAN(E21)-1</f>
        <v>2.2052678273232873E-2</v>
      </c>
    </row>
    <row r="22" spans="1:6" x14ac:dyDescent="0.25">
      <c r="A22" s="1">
        <f>IF(C21*F21&gt;0,E21,A21)</f>
        <v>0.859375</v>
      </c>
      <c r="B22" s="1">
        <f>IF(D21*F21&gt;0,E21,B21)</f>
        <v>0.8671875</v>
      </c>
      <c r="C22" s="1">
        <f t="shared" si="18"/>
        <v>-3.048803436389691E-3</v>
      </c>
      <c r="D22" s="1">
        <f t="shared" si="18"/>
        <v>2.2052678273232873E-2</v>
      </c>
      <c r="E22" s="1">
        <f>(A22+B22)/2</f>
        <v>0.86328125</v>
      </c>
      <c r="F22" s="1">
        <f>E22*TAN(E22)-1</f>
        <v>9.4293520782287032E-3</v>
      </c>
    </row>
    <row r="23" spans="1:6" x14ac:dyDescent="0.25">
      <c r="A23" s="1">
        <f>IF(C22*F22&gt;0,E22,A22)</f>
        <v>0.859375</v>
      </c>
      <c r="B23" s="1">
        <f>IF(D22*F22&gt;0,E22,B22)</f>
        <v>0.86328125</v>
      </c>
      <c r="C23" s="1">
        <f t="shared" si="18"/>
        <v>-3.048803436389691E-3</v>
      </c>
      <c r="D23" s="1">
        <f t="shared" si="18"/>
        <v>9.4293520782287032E-3</v>
      </c>
      <c r="E23" s="1">
        <f>(A23+B23)/2</f>
        <v>0.861328125</v>
      </c>
      <c r="F23" s="1">
        <f>E23*TAN(E23)-1</f>
        <v>3.172267152278696E-3</v>
      </c>
    </row>
    <row r="24" spans="1:6" x14ac:dyDescent="0.25">
      <c r="A24" s="1">
        <f t="shared" ref="A24:A25" si="19">IF(C23*F23&gt;0,E23,A23)</f>
        <v>0.859375</v>
      </c>
      <c r="B24" s="1">
        <f t="shared" ref="B24:B25" si="20">IF(D23*F23&gt;0,E23,B23)</f>
        <v>0.861328125</v>
      </c>
      <c r="C24" s="1">
        <f t="shared" ref="C24:C25" si="21">A24*TAN(A24)-1</f>
        <v>-3.048803436389691E-3</v>
      </c>
      <c r="D24" s="1">
        <f t="shared" ref="D24:D25" si="22">B24*TAN(B24)-1</f>
        <v>3.172267152278696E-3</v>
      </c>
      <c r="E24" s="1">
        <f t="shared" ref="E24:E25" si="23">(A24+B24)/2</f>
        <v>0.8603515625</v>
      </c>
      <c r="F24" s="1">
        <f t="shared" ref="F24:F25" si="24">E24*TAN(E24)-1</f>
        <v>5.7247293026252422E-5</v>
      </c>
    </row>
    <row r="25" spans="1:6" x14ac:dyDescent="0.25">
      <c r="A25" s="1">
        <f t="shared" si="19"/>
        <v>0.859375</v>
      </c>
      <c r="B25" s="1">
        <f t="shared" si="20"/>
        <v>0.8603515625</v>
      </c>
      <c r="C25" s="1">
        <f t="shared" si="21"/>
        <v>-3.048803436389691E-3</v>
      </c>
      <c r="D25" s="1">
        <f t="shared" si="22"/>
        <v>5.7247293026252422E-5</v>
      </c>
      <c r="E25" s="1">
        <f t="shared" si="23"/>
        <v>0.85986328125</v>
      </c>
      <c r="F25" s="1">
        <f t="shared" si="24"/>
        <v>-1.4968970699326123E-3</v>
      </c>
    </row>
    <row r="27" spans="1:6" x14ac:dyDescent="0.25">
      <c r="A27" t="s">
        <v>15</v>
      </c>
    </row>
    <row r="28" spans="1:6" x14ac:dyDescent="0.25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t="s">
        <v>13</v>
      </c>
    </row>
    <row r="29" spans="1:6" x14ac:dyDescent="0.25">
      <c r="A29" s="1">
        <v>1</v>
      </c>
      <c r="B29" s="1">
        <v>2</v>
      </c>
      <c r="C29" s="1">
        <f>A29^4-EXP(A29)+1</f>
        <v>-0.71828182845904509</v>
      </c>
      <c r="D29" s="1">
        <f>B29^4-EXP(B29)+1</f>
        <v>9.6109439010693496</v>
      </c>
      <c r="E29" s="1">
        <f>(A29+B29)/2</f>
        <v>1.5</v>
      </c>
      <c r="F29" s="1">
        <f>E29^4-EXP(E29)+1</f>
        <v>1.5808109296619355</v>
      </c>
    </row>
    <row r="30" spans="1:6" x14ac:dyDescent="0.25">
      <c r="A30" s="1">
        <f>IF(C29*F29&gt;0,E29,A29)</f>
        <v>1</v>
      </c>
      <c r="B30" s="1">
        <f>IF(D29*F29&gt;0,E29,B29)</f>
        <v>1.5</v>
      </c>
      <c r="C30" s="1">
        <f>A30^4-EXP(A30)+1</f>
        <v>-0.71828182845904509</v>
      </c>
      <c r="D30" s="1">
        <f>B30^4-EXP(B30)+1</f>
        <v>1.5808109296619355</v>
      </c>
      <c r="E30" s="1">
        <f>(A30+B30)/2</f>
        <v>1.25</v>
      </c>
      <c r="F30" s="1">
        <f>E30^4-EXP(E30)+1</f>
        <v>-4.8936707461841422E-2</v>
      </c>
    </row>
    <row r="31" spans="1:6" x14ac:dyDescent="0.25">
      <c r="A31" s="1">
        <f t="shared" ref="A31:A35" si="25">IF(C30*F30&gt;0,E30,A30)</f>
        <v>1.25</v>
      </c>
      <c r="B31" s="1">
        <f t="shared" ref="B31:B35" si="26">IF(D30*F30&gt;0,E30,B30)</f>
        <v>1.5</v>
      </c>
      <c r="C31" s="1">
        <f t="shared" ref="C31:C35" si="27">A31^4-EXP(A31)+1</f>
        <v>-4.8936707461841422E-2</v>
      </c>
      <c r="D31" s="1">
        <f t="shared" ref="D31:D35" si="28">B31^4-EXP(B31)+1</f>
        <v>1.5808109296619355</v>
      </c>
      <c r="E31" s="1">
        <f t="shared" ref="E31:E35" si="29">(A31+B31)/2</f>
        <v>1.375</v>
      </c>
      <c r="F31" s="1">
        <f t="shared" ref="F31:F35" si="30">E31^4-EXP(E31)+1</f>
        <v>0.61938616770442279</v>
      </c>
    </row>
    <row r="32" spans="1:6" x14ac:dyDescent="0.25">
      <c r="A32" s="1">
        <f t="shared" si="25"/>
        <v>1.25</v>
      </c>
      <c r="B32" s="1">
        <f t="shared" si="26"/>
        <v>1.375</v>
      </c>
      <c r="C32" s="1">
        <f t="shared" si="27"/>
        <v>-4.8936707461841422E-2</v>
      </c>
      <c r="D32" s="1">
        <f t="shared" si="28"/>
        <v>0.61938616770442279</v>
      </c>
      <c r="E32" s="1">
        <f t="shared" si="29"/>
        <v>1.3125</v>
      </c>
      <c r="F32" s="1">
        <f t="shared" si="30"/>
        <v>0.25209381772295858</v>
      </c>
    </row>
    <row r="33" spans="1:6" x14ac:dyDescent="0.25">
      <c r="A33" s="1">
        <f t="shared" si="25"/>
        <v>1.25</v>
      </c>
      <c r="B33" s="1">
        <f t="shared" si="26"/>
        <v>1.3125</v>
      </c>
      <c r="C33" s="1">
        <f t="shared" si="27"/>
        <v>-4.8936707461841422E-2</v>
      </c>
      <c r="D33" s="1">
        <f t="shared" si="28"/>
        <v>0.25209381772295858</v>
      </c>
      <c r="E33" s="1">
        <f t="shared" si="29"/>
        <v>1.28125</v>
      </c>
      <c r="F33" s="1">
        <f t="shared" si="30"/>
        <v>9.3717353730265796E-2</v>
      </c>
    </row>
    <row r="34" spans="1:6" x14ac:dyDescent="0.25">
      <c r="A34" s="1">
        <f t="shared" si="25"/>
        <v>1.25</v>
      </c>
      <c r="B34" s="1">
        <f t="shared" si="26"/>
        <v>1.28125</v>
      </c>
      <c r="C34" s="1">
        <f t="shared" si="27"/>
        <v>-4.8936707461841422E-2</v>
      </c>
      <c r="D34" s="1">
        <f t="shared" si="28"/>
        <v>9.3717353730265796E-2</v>
      </c>
      <c r="E34" s="1">
        <f t="shared" si="29"/>
        <v>1.265625</v>
      </c>
      <c r="F34" s="1">
        <f t="shared" si="30"/>
        <v>2.0476652726806766E-2</v>
      </c>
    </row>
    <row r="35" spans="1:6" x14ac:dyDescent="0.25">
      <c r="A35" s="1">
        <f t="shared" si="25"/>
        <v>1.25</v>
      </c>
      <c r="B35" s="1">
        <f t="shared" si="26"/>
        <v>1.265625</v>
      </c>
      <c r="C35" s="1">
        <f t="shared" si="27"/>
        <v>-4.8936707461841422E-2</v>
      </c>
      <c r="D35" s="1">
        <f t="shared" si="28"/>
        <v>2.0476652726806766E-2</v>
      </c>
      <c r="E35" s="1">
        <f t="shared" si="29"/>
        <v>1.2578125</v>
      </c>
      <c r="F35" s="1">
        <f t="shared" si="30"/>
        <v>-1.4702057810130675E-2</v>
      </c>
    </row>
    <row r="36" spans="1:6" x14ac:dyDescent="0.25">
      <c r="A36" s="1">
        <f t="shared" ref="A36:A39" si="31">IF(C35*F35&gt;0,E35,A35)</f>
        <v>1.2578125</v>
      </c>
      <c r="B36" s="1">
        <f t="shared" ref="B36:B39" si="32">IF(D35*F35&gt;0,E35,B35)</f>
        <v>1.265625</v>
      </c>
      <c r="C36" s="1">
        <f t="shared" ref="C36:C39" si="33">A36^4-EXP(A36)+1</f>
        <v>-1.4702057810130675E-2</v>
      </c>
      <c r="D36" s="1">
        <f t="shared" ref="D36:D39" si="34">B36^4-EXP(B36)+1</f>
        <v>2.0476652726806766E-2</v>
      </c>
      <c r="E36" s="1">
        <f t="shared" ref="E36:E39" si="35">(A36+B36)/2</f>
        <v>1.26171875</v>
      </c>
      <c r="F36" s="1">
        <f t="shared" ref="F36:F39" si="36">E36^4-EXP(E36)+1</f>
        <v>2.7684944305326198E-3</v>
      </c>
    </row>
    <row r="37" spans="1:6" x14ac:dyDescent="0.25">
      <c r="A37" s="1">
        <f t="shared" si="31"/>
        <v>1.2578125</v>
      </c>
      <c r="B37" s="1">
        <f t="shared" si="32"/>
        <v>1.26171875</v>
      </c>
      <c r="C37" s="1">
        <f t="shared" si="33"/>
        <v>-1.4702057810130675E-2</v>
      </c>
      <c r="D37" s="1">
        <f t="shared" si="34"/>
        <v>2.7684944305326198E-3</v>
      </c>
      <c r="E37" s="1">
        <f t="shared" si="35"/>
        <v>1.259765625</v>
      </c>
      <c r="F37" s="1">
        <f t="shared" si="36"/>
        <v>-5.9963828333589042E-3</v>
      </c>
    </row>
    <row r="38" spans="1:6" x14ac:dyDescent="0.25">
      <c r="A38" s="1">
        <f t="shared" si="31"/>
        <v>1.259765625</v>
      </c>
      <c r="B38" s="1">
        <f t="shared" si="32"/>
        <v>1.26171875</v>
      </c>
      <c r="C38" s="1">
        <f t="shared" si="33"/>
        <v>-5.9963828333589042E-3</v>
      </c>
      <c r="D38" s="1">
        <f t="shared" si="34"/>
        <v>2.7684944305326198E-3</v>
      </c>
      <c r="E38" s="1">
        <f t="shared" si="35"/>
        <v>1.2607421875</v>
      </c>
      <c r="F38" s="1">
        <f t="shared" si="36"/>
        <v>-1.6213569273406669E-3</v>
      </c>
    </row>
    <row r="39" spans="1:6" x14ac:dyDescent="0.25">
      <c r="A39" s="1">
        <f t="shared" si="31"/>
        <v>1.2607421875</v>
      </c>
      <c r="B39" s="1">
        <f t="shared" si="32"/>
        <v>1.26171875</v>
      </c>
      <c r="C39" s="1">
        <f t="shared" si="33"/>
        <v>-1.6213569273406669E-3</v>
      </c>
      <c r="D39" s="1">
        <f t="shared" si="34"/>
        <v>2.7684944305326198E-3</v>
      </c>
      <c r="E39" s="1">
        <f t="shared" si="35"/>
        <v>1.26123046875</v>
      </c>
      <c r="F39" s="1">
        <f t="shared" si="36"/>
        <v>5.7171401409084055E-4</v>
      </c>
    </row>
    <row r="40" spans="1:6" x14ac:dyDescent="0.25">
      <c r="A40" s="1">
        <f t="shared" ref="A40:A41" si="37">IF(C39*F39&gt;0,E39,A39)</f>
        <v>1.2607421875</v>
      </c>
      <c r="B40" s="1">
        <f t="shared" ref="B40:B41" si="38">IF(D39*F39&gt;0,E39,B39)</f>
        <v>1.26123046875</v>
      </c>
      <c r="C40" s="1">
        <f t="shared" ref="C40:C41" si="39">A40^4-EXP(A40)+1</f>
        <v>-1.6213569273406669E-3</v>
      </c>
      <c r="D40" s="1">
        <f t="shared" ref="D40:D41" si="40">B40^4-EXP(B40)+1</f>
        <v>5.7171401409084055E-4</v>
      </c>
      <c r="E40" s="1">
        <f t="shared" ref="E40:E41" si="41">(A40+B40)/2</f>
        <v>1.260986328125</v>
      </c>
      <c r="F40" s="1">
        <f t="shared" ref="F40:F41" si="42">E40^4-EXP(E40)+1</f>
        <v>-5.2528494645276425E-4</v>
      </c>
    </row>
    <row r="41" spans="1:6" x14ac:dyDescent="0.25">
      <c r="A41" s="1">
        <f t="shared" si="37"/>
        <v>1.260986328125</v>
      </c>
      <c r="B41" s="1">
        <f t="shared" si="38"/>
        <v>1.26123046875</v>
      </c>
      <c r="C41" s="1">
        <f t="shared" si="39"/>
        <v>-5.2528494645276425E-4</v>
      </c>
      <c r="D41" s="1">
        <f t="shared" si="40"/>
        <v>5.7171401409084055E-4</v>
      </c>
      <c r="E41" s="1">
        <f t="shared" si="41"/>
        <v>1.2611083984375</v>
      </c>
      <c r="F41" s="1">
        <f t="shared" si="42"/>
        <v>2.3098637046192749E-5</v>
      </c>
    </row>
    <row r="43" spans="1:6" x14ac:dyDescent="0.25">
      <c r="A43" t="s">
        <v>6</v>
      </c>
    </row>
    <row r="44" spans="1:6" x14ac:dyDescent="0.25">
      <c r="A44" t="s">
        <v>8</v>
      </c>
      <c r="B44" t="s">
        <v>9</v>
      </c>
      <c r="C44" t="s">
        <v>10</v>
      </c>
      <c r="D44" t="s">
        <v>11</v>
      </c>
      <c r="E44" t="s">
        <v>12</v>
      </c>
      <c r="F44" t="s">
        <v>13</v>
      </c>
    </row>
    <row r="45" spans="1:6" x14ac:dyDescent="0.25">
      <c r="A45" s="1">
        <v>0.5</v>
      </c>
      <c r="B45" s="1">
        <v>1</v>
      </c>
      <c r="C45" s="1">
        <f>A45^2*EXP(A45)-1</f>
        <v>-0.58781968232496795</v>
      </c>
      <c r="D45" s="1">
        <f>B45^2*EXP(B45)-1</f>
        <v>1.7182818284590451</v>
      </c>
      <c r="E45" s="1">
        <f>(A45+B45)/2</f>
        <v>0.75</v>
      </c>
      <c r="F45" s="1">
        <f>E45^2*EXP(E45)-1</f>
        <v>0.19081250934462957</v>
      </c>
    </row>
    <row r="46" spans="1:6" x14ac:dyDescent="0.25">
      <c r="A46" s="1">
        <f>IF(C45*F45&gt;0,E45,A45)</f>
        <v>0.5</v>
      </c>
      <c r="B46" s="1">
        <f>IF(D45*F45&gt;0,E45,B45)</f>
        <v>0.75</v>
      </c>
      <c r="C46" s="1">
        <f>A46^2*EXP(A46)-1</f>
        <v>-0.58781968232496795</v>
      </c>
      <c r="D46" s="1">
        <f>B46^2*EXP(B46)-1</f>
        <v>0.19081250934462957</v>
      </c>
      <c r="E46" s="1">
        <f>(A46+B46)/2</f>
        <v>0.625</v>
      </c>
      <c r="F46" s="1">
        <f>E46^2*EXP(E46)-1</f>
        <v>-0.27021642287803815</v>
      </c>
    </row>
    <row r="47" spans="1:6" x14ac:dyDescent="0.25">
      <c r="A47" s="1">
        <f t="shared" ref="A47:A51" si="43">IF(C46*F46&gt;0,E46,A46)</f>
        <v>0.625</v>
      </c>
      <c r="B47" s="1">
        <f t="shared" ref="B47:B51" si="44">IF(D46*F46&gt;0,E46,B46)</f>
        <v>0.75</v>
      </c>
      <c r="C47" s="1">
        <f t="shared" ref="C47:C51" si="45">A47^2*EXP(A47)-1</f>
        <v>-0.27021642287803815</v>
      </c>
      <c r="D47" s="1">
        <f t="shared" ref="D47:D51" si="46">B47^2*EXP(B47)-1</f>
        <v>0.19081250934462957</v>
      </c>
      <c r="E47" s="1">
        <f t="shared" ref="E47:E51" si="47">(A47+B47)/2</f>
        <v>0.6875</v>
      </c>
      <c r="F47" s="1">
        <f t="shared" ref="F47:F51" si="48">E47^2*EXP(E47)-1</f>
        <v>-6.0010805392744837E-2</v>
      </c>
    </row>
    <row r="48" spans="1:6" x14ac:dyDescent="0.25">
      <c r="A48" s="1">
        <f t="shared" si="43"/>
        <v>0.6875</v>
      </c>
      <c r="B48" s="1">
        <f t="shared" si="44"/>
        <v>0.75</v>
      </c>
      <c r="C48" s="1">
        <f t="shared" si="45"/>
        <v>-6.0010805392744837E-2</v>
      </c>
      <c r="D48" s="1">
        <f t="shared" si="46"/>
        <v>0.19081250934462957</v>
      </c>
      <c r="E48" s="1">
        <f t="shared" si="47"/>
        <v>0.71875</v>
      </c>
      <c r="F48" s="1">
        <f t="shared" si="48"/>
        <v>5.9997581225722296E-2</v>
      </c>
    </row>
    <row r="49" spans="1:6" x14ac:dyDescent="0.25">
      <c r="A49" s="1">
        <f t="shared" si="43"/>
        <v>0.6875</v>
      </c>
      <c r="B49" s="1">
        <f t="shared" si="44"/>
        <v>0.71875</v>
      </c>
      <c r="C49" s="1">
        <f t="shared" si="45"/>
        <v>-6.0010805392744837E-2</v>
      </c>
      <c r="D49" s="1">
        <f t="shared" si="46"/>
        <v>5.9997581225722296E-2</v>
      </c>
      <c r="E49" s="1">
        <f t="shared" si="47"/>
        <v>0.703125</v>
      </c>
      <c r="F49" s="1">
        <f t="shared" si="48"/>
        <v>-1.3153213842503897E-3</v>
      </c>
    </row>
    <row r="50" spans="1:6" x14ac:dyDescent="0.25">
      <c r="A50" s="1">
        <f t="shared" si="43"/>
        <v>0.703125</v>
      </c>
      <c r="B50" s="1">
        <f t="shared" si="44"/>
        <v>0.71875</v>
      </c>
      <c r="C50" s="1">
        <f t="shared" si="45"/>
        <v>-1.3153213842503897E-3</v>
      </c>
      <c r="D50" s="1">
        <f t="shared" si="46"/>
        <v>5.9997581225722296E-2</v>
      </c>
      <c r="E50" s="1">
        <f t="shared" si="47"/>
        <v>0.7109375</v>
      </c>
      <c r="F50" s="1">
        <f t="shared" si="48"/>
        <v>2.9008775701908185E-2</v>
      </c>
    </row>
    <row r="51" spans="1:6" x14ac:dyDescent="0.25">
      <c r="A51" s="1">
        <f t="shared" si="43"/>
        <v>0.703125</v>
      </c>
      <c r="B51" s="1">
        <f t="shared" si="44"/>
        <v>0.7109375</v>
      </c>
      <c r="C51" s="1">
        <f t="shared" si="45"/>
        <v>-1.3153213842503897E-3</v>
      </c>
      <c r="D51" s="1">
        <f t="shared" si="46"/>
        <v>2.9008775701908185E-2</v>
      </c>
      <c r="E51" s="1">
        <f t="shared" si="47"/>
        <v>0.70703125</v>
      </c>
      <c r="F51" s="1">
        <f t="shared" si="48"/>
        <v>1.376429106124144E-2</v>
      </c>
    </row>
    <row r="52" spans="1:6" x14ac:dyDescent="0.25">
      <c r="A52" s="1">
        <f>IF(C51*F51&gt;0,E51,A51)</f>
        <v>0.703125</v>
      </c>
      <c r="B52" s="1">
        <f>IF(D51*F51&gt;0,E51,B51)</f>
        <v>0.70703125</v>
      </c>
      <c r="C52" s="1">
        <f>A52^2*EXP(A52)-1</f>
        <v>-1.3153213842503897E-3</v>
      </c>
      <c r="D52" s="1">
        <f>B52^2*EXP(B52)-1</f>
        <v>1.376429106124144E-2</v>
      </c>
      <c r="E52" s="1">
        <f>(A52+B52)/2</f>
        <v>0.705078125</v>
      </c>
      <c r="F52" s="1">
        <f>E52^2*EXP(E52)-1</f>
        <v>6.2039569010177154E-3</v>
      </c>
    </row>
    <row r="53" spans="1:6" x14ac:dyDescent="0.25">
      <c r="A53" s="1">
        <f t="shared" ref="A53:A55" si="49">IF(C52*F52&gt;0,E52,A52)</f>
        <v>0.703125</v>
      </c>
      <c r="B53" s="1">
        <f t="shared" ref="B53:B55" si="50">IF(D52*F52&gt;0,E52,B52)</f>
        <v>0.705078125</v>
      </c>
      <c r="C53" s="1">
        <f t="shared" ref="C53:C55" si="51">A53^2*EXP(A53)-1</f>
        <v>-1.3153213842503897E-3</v>
      </c>
      <c r="D53" s="1">
        <f t="shared" ref="D53:D55" si="52">B53^2*EXP(B53)-1</f>
        <v>6.2039569010177154E-3</v>
      </c>
      <c r="E53" s="1">
        <f t="shared" ref="E53:E55" si="53">(A53+B53)/2</f>
        <v>0.7041015625</v>
      </c>
      <c r="F53" s="1">
        <f t="shared" ref="F53:F55" si="54">E53^2*EXP(E53)-1</f>
        <v>2.4391958806209146E-3</v>
      </c>
    </row>
    <row r="54" spans="1:6" x14ac:dyDescent="0.25">
      <c r="A54" s="1">
        <f t="shared" si="49"/>
        <v>0.703125</v>
      </c>
      <c r="B54" s="1">
        <f t="shared" si="50"/>
        <v>0.7041015625</v>
      </c>
      <c r="C54" s="1">
        <f t="shared" si="51"/>
        <v>-1.3153213842503897E-3</v>
      </c>
      <c r="D54" s="1">
        <f t="shared" si="52"/>
        <v>2.4391958806209146E-3</v>
      </c>
      <c r="E54" s="1">
        <f t="shared" si="53"/>
        <v>0.70361328125</v>
      </c>
      <c r="F54" s="1">
        <f t="shared" si="54"/>
        <v>5.6065804024574284E-4</v>
      </c>
    </row>
    <row r="55" spans="1:6" x14ac:dyDescent="0.25">
      <c r="A55" s="1">
        <f t="shared" si="49"/>
        <v>0.703125</v>
      </c>
      <c r="B55" s="1">
        <f t="shared" si="50"/>
        <v>0.70361328125</v>
      </c>
      <c r="C55" s="1">
        <f t="shared" si="51"/>
        <v>-1.3153213842503897E-3</v>
      </c>
      <c r="D55" s="1">
        <f t="shared" si="52"/>
        <v>5.6065804024574284E-4</v>
      </c>
      <c r="E55" s="1">
        <f t="shared" si="53"/>
        <v>0.703369140625</v>
      </c>
      <c r="F55" s="1">
        <f t="shared" si="54"/>
        <v>-3.7765131641342986E-4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9A0A-1A8E-4589-A324-0F20F07F3429}">
  <dimension ref="A1:P44"/>
  <sheetViews>
    <sheetView workbookViewId="0">
      <selection activeCell="G32" sqref="G32"/>
    </sheetView>
  </sheetViews>
  <sheetFormatPr defaultRowHeight="15" x14ac:dyDescent="0.25"/>
  <sheetData>
    <row r="1" spans="1:16" x14ac:dyDescent="0.25">
      <c r="A1" t="s">
        <v>22</v>
      </c>
      <c r="C1" t="s">
        <v>28</v>
      </c>
    </row>
    <row r="2" spans="1:16" x14ac:dyDescent="0.25">
      <c r="A2" t="s">
        <v>1</v>
      </c>
    </row>
    <row r="3" spans="1:16" x14ac:dyDescent="0.25">
      <c r="A3" t="s">
        <v>8</v>
      </c>
      <c r="B3" t="s">
        <v>9</v>
      </c>
      <c r="C3" t="s">
        <v>10</v>
      </c>
      <c r="D3" t="s">
        <v>11</v>
      </c>
      <c r="E3" t="s">
        <v>23</v>
      </c>
      <c r="F3" t="s">
        <v>24</v>
      </c>
    </row>
    <row r="4" spans="1:16" x14ac:dyDescent="0.25">
      <c r="A4" s="1">
        <v>3</v>
      </c>
      <c r="B4" s="1">
        <v>4</v>
      </c>
      <c r="C4" s="1">
        <f>Sheet3!A4-(Sheet3!A4^(1/3))-2</f>
        <v>-0.4422495703074083</v>
      </c>
      <c r="D4" s="1">
        <f>B4-(B4^(1/3))-2</f>
        <v>0.41259894803180064</v>
      </c>
      <c r="E4" s="1">
        <f>A4-(C4/(C4-D4))*(A4-B4)</f>
        <v>3.5173426178085987</v>
      </c>
      <c r="F4" s="1">
        <f>E4-(E4^(1/3))-2</f>
        <v>-3.4554709535195016E-3</v>
      </c>
    </row>
    <row r="5" spans="1:16" x14ac:dyDescent="0.25">
      <c r="A5" s="1">
        <f>B4</f>
        <v>4</v>
      </c>
      <c r="B5" s="1">
        <f>E4</f>
        <v>3.5173426178085987</v>
      </c>
      <c r="C5" s="1">
        <f>Sheet3!A5-(Sheet3!A5^(1/3))-2</f>
        <v>0.41259894803180064</v>
      </c>
      <c r="D5" s="1">
        <f>B5-(B5^(1/3))-2</f>
        <v>-3.4554709535195016E-3</v>
      </c>
      <c r="E5" s="1">
        <f>A5-(C5/(C5-D5))*(A5-B5)</f>
        <v>3.5213512486236049</v>
      </c>
      <c r="F5" s="1">
        <f>E5-(E5^(1/3))-2</f>
        <v>-2.4359804829288123E-5</v>
      </c>
    </row>
    <row r="6" spans="1:16" x14ac:dyDescent="0.25">
      <c r="A6" s="1">
        <f t="shared" ref="A6:A8" si="0">B5</f>
        <v>3.5173426178085987</v>
      </c>
      <c r="B6" s="1">
        <f t="shared" ref="B6:B8" si="1">E5</f>
        <v>3.5213512486236049</v>
      </c>
      <c r="C6" s="1">
        <f>Sheet3!A6-(Sheet3!A6^(1/3))-2</f>
        <v>-3.4554709535195016E-3</v>
      </c>
      <c r="D6" s="1">
        <f t="shared" ref="D6:D8" si="2">B6-(B6^(1/3))-2</f>
        <v>-2.4359804829288123E-5</v>
      </c>
      <c r="E6" s="1">
        <f t="shared" ref="E6:E8" si="3">A6-(C6/(C6-D6))*(A6-B6)</f>
        <v>3.5213797086355529</v>
      </c>
      <c r="F6" s="1">
        <f t="shared" ref="F6:F8" si="4">E6-(E6^(1/3))-2</f>
        <v>1.5672987352388645E-9</v>
      </c>
    </row>
    <row r="7" spans="1:16" x14ac:dyDescent="0.25">
      <c r="A7" s="1">
        <f t="shared" si="0"/>
        <v>3.5213512486236049</v>
      </c>
      <c r="B7" s="1">
        <f t="shared" si="1"/>
        <v>3.5213797086355529</v>
      </c>
      <c r="C7" s="1">
        <f>Sheet3!A7-(Sheet3!A7^(1/3))-2</f>
        <v>-2.4359804829288123E-5</v>
      </c>
      <c r="D7" s="1">
        <f t="shared" si="2"/>
        <v>1.5672987352388645E-9</v>
      </c>
      <c r="E7" s="1">
        <f t="shared" si="3"/>
        <v>3.5213797068045665</v>
      </c>
      <c r="F7" s="1">
        <f t="shared" si="4"/>
        <v>0</v>
      </c>
    </row>
    <row r="8" spans="1:16" x14ac:dyDescent="0.25">
      <c r="A8" s="1">
        <f t="shared" si="0"/>
        <v>3.5213797086355529</v>
      </c>
      <c r="B8" s="1">
        <f t="shared" si="1"/>
        <v>3.5213797068045665</v>
      </c>
      <c r="C8" s="1">
        <f>Sheet3!A8-(Sheet3!A8^(1/3))-2</f>
        <v>1.5672987352388645E-9</v>
      </c>
      <c r="D8" s="1">
        <f t="shared" si="2"/>
        <v>0</v>
      </c>
      <c r="E8" s="1">
        <f t="shared" si="3"/>
        <v>3.5213797068045665</v>
      </c>
      <c r="F8" s="1">
        <f t="shared" si="4"/>
        <v>0</v>
      </c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K10" s="1"/>
      <c r="L10" s="1"/>
      <c r="M10" s="1"/>
      <c r="N10" s="1"/>
      <c r="O10" s="1"/>
      <c r="P10" s="1"/>
    </row>
    <row r="11" spans="1:16" x14ac:dyDescent="0.25">
      <c r="A11" s="1" t="s">
        <v>4</v>
      </c>
      <c r="B11" s="1"/>
      <c r="C11" s="1"/>
      <c r="D11" s="1"/>
      <c r="E11" s="1"/>
      <c r="F11" s="1"/>
      <c r="K11" s="1"/>
      <c r="L11" s="1"/>
      <c r="M11" s="1"/>
      <c r="N11" s="1"/>
      <c r="O11" s="1"/>
      <c r="P11" s="1"/>
    </row>
    <row r="12" spans="1:16" x14ac:dyDescent="0.25">
      <c r="A12" s="1" t="s">
        <v>8</v>
      </c>
      <c r="B12" s="1" t="s">
        <v>9</v>
      </c>
      <c r="C12" s="1" t="s">
        <v>10</v>
      </c>
      <c r="D12" s="1" t="s">
        <v>11</v>
      </c>
      <c r="E12" s="1" t="s">
        <v>23</v>
      </c>
      <c r="F12" s="1" t="s">
        <v>24</v>
      </c>
      <c r="K12" s="1"/>
      <c r="L12" s="1"/>
      <c r="M12" s="1"/>
      <c r="N12" s="1"/>
      <c r="O12" s="1"/>
      <c r="P12" s="1"/>
    </row>
    <row r="13" spans="1:16" x14ac:dyDescent="0.25">
      <c r="A13" s="1">
        <v>0.5</v>
      </c>
      <c r="B13" s="1">
        <v>1</v>
      </c>
      <c r="C13" s="1">
        <f>Sheet3!A13*TAN(Sheet3!A13)-1</f>
        <v>-0.72684875507810476</v>
      </c>
      <c r="D13" s="1">
        <f>B13*TAN(B13)-1</f>
        <v>0.55740772465490229</v>
      </c>
      <c r="E13" s="1">
        <f>A13-(C13/(C13-D13))*(A13-B13)</f>
        <v>0.7829842662071731</v>
      </c>
      <c r="F13" s="1">
        <f>E13*TAN(E13)-1</f>
        <v>-0.22078672537170385</v>
      </c>
    </row>
    <row r="14" spans="1:16" x14ac:dyDescent="0.25">
      <c r="A14" s="1">
        <f>B13</f>
        <v>1</v>
      </c>
      <c r="B14" s="1">
        <f>E13</f>
        <v>0.7829842662071731</v>
      </c>
      <c r="C14" s="1">
        <f>Sheet3!A14*TAN(Sheet3!A14)-1</f>
        <v>0.55740772465490229</v>
      </c>
      <c r="D14" s="1">
        <f>B14*TAN(B14)-1</f>
        <v>-0.22078672537170385</v>
      </c>
      <c r="E14" s="1">
        <f>A14-(C14/(C14-D14))*(A14-B14)</f>
        <v>0.84455524402205917</v>
      </c>
      <c r="F14" s="1">
        <f>E14*TAN(E14)-1</f>
        <v>-4.9107218557610688E-2</v>
      </c>
    </row>
    <row r="15" spans="1:16" x14ac:dyDescent="0.25">
      <c r="A15" s="1">
        <f t="shared" ref="A15:A20" si="5">B14</f>
        <v>0.7829842662071731</v>
      </c>
      <c r="B15" s="1">
        <f t="shared" ref="B15:B20" si="6">E14</f>
        <v>0.84455524402205917</v>
      </c>
      <c r="C15" s="1">
        <f>Sheet3!A15*TAN(Sheet3!A15)-1</f>
        <v>-0.22078672537170385</v>
      </c>
      <c r="D15" s="1">
        <f t="shared" ref="D15:D20" si="7">B15*TAN(B15)-1</f>
        <v>-4.9107218557610688E-2</v>
      </c>
      <c r="E15" s="1">
        <f t="shared" ref="E15:E20" si="8">A15-(C15/(C15-D15))*(A15-B15)</f>
        <v>0.86216701097357751</v>
      </c>
      <c r="F15" s="1">
        <f t="shared" ref="F15:F20" si="9">E15*TAN(E15)-1</f>
        <v>5.8553168622386131E-3</v>
      </c>
    </row>
    <row r="16" spans="1:16" x14ac:dyDescent="0.25">
      <c r="A16" s="1">
        <f t="shared" si="5"/>
        <v>0.84455524402205917</v>
      </c>
      <c r="B16" s="1">
        <f t="shared" si="6"/>
        <v>0.86216701097357751</v>
      </c>
      <c r="C16" s="1">
        <f>Sheet3!A16*TAN(Sheet3!A16)-1</f>
        <v>-4.9107218557610688E-2</v>
      </c>
      <c r="D16" s="1">
        <f t="shared" si="7"/>
        <v>5.8553168622386131E-3</v>
      </c>
      <c r="E16" s="1">
        <f t="shared" si="8"/>
        <v>0.86029077882349003</v>
      </c>
      <c r="F16" s="1">
        <f t="shared" si="9"/>
        <v>-1.363424242818434E-4</v>
      </c>
    </row>
    <row r="17" spans="1:16" x14ac:dyDescent="0.25">
      <c r="A17" s="1">
        <f t="shared" si="5"/>
        <v>0.86216701097357751</v>
      </c>
      <c r="B17" s="1">
        <f t="shared" si="6"/>
        <v>0.86029077882349003</v>
      </c>
      <c r="C17" s="1">
        <f>Sheet3!A17*TAN(Sheet3!A17)-1</f>
        <v>5.8553168622386131E-3</v>
      </c>
      <c r="D17" s="1">
        <f t="shared" si="7"/>
        <v>-1.363424242818434E-4</v>
      </c>
      <c r="E17" s="1">
        <f t="shared" si="8"/>
        <v>0.86033347318036613</v>
      </c>
      <c r="F17" s="1">
        <f t="shared" si="9"/>
        <v>-3.6894873078896495E-7</v>
      </c>
    </row>
    <row r="18" spans="1:16" x14ac:dyDescent="0.25">
      <c r="A18" s="1">
        <f t="shared" si="5"/>
        <v>0.86029077882349003</v>
      </c>
      <c r="B18" s="1">
        <f t="shared" si="6"/>
        <v>0.86033347318036613</v>
      </c>
      <c r="C18" s="1">
        <f>Sheet3!A18*TAN(Sheet3!A18)-1</f>
        <v>-1.363424242818434E-4</v>
      </c>
      <c r="D18" s="1">
        <f t="shared" si="7"/>
        <v>-3.6894873078896495E-7</v>
      </c>
      <c r="E18" s="1">
        <f t="shared" si="8"/>
        <v>0.86033358902670098</v>
      </c>
      <c r="F18" s="1">
        <f t="shared" si="9"/>
        <v>2.3318236230807088E-11</v>
      </c>
    </row>
    <row r="19" spans="1:16" x14ac:dyDescent="0.25">
      <c r="A19" s="1">
        <f t="shared" si="5"/>
        <v>0.86033347318036613</v>
      </c>
      <c r="B19" s="1">
        <f t="shared" si="6"/>
        <v>0.86033358902670098</v>
      </c>
      <c r="C19" s="1">
        <f>Sheet3!A19*TAN(Sheet3!A19)-1</f>
        <v>-3.6894873078896495E-7</v>
      </c>
      <c r="D19" s="1">
        <f t="shared" si="7"/>
        <v>2.3318236230807088E-11</v>
      </c>
      <c r="E19" s="1">
        <f t="shared" si="8"/>
        <v>0.86033358901937973</v>
      </c>
      <c r="F19" s="1">
        <f t="shared" si="9"/>
        <v>0</v>
      </c>
    </row>
    <row r="20" spans="1:16" x14ac:dyDescent="0.25">
      <c r="A20" s="1">
        <f t="shared" si="5"/>
        <v>0.86033358902670098</v>
      </c>
      <c r="B20" s="1">
        <f t="shared" si="6"/>
        <v>0.86033358901937973</v>
      </c>
      <c r="C20" s="1">
        <f>Sheet3!A20*TAN(Sheet3!A20)-1</f>
        <v>2.3318236230807088E-11</v>
      </c>
      <c r="D20" s="1">
        <f t="shared" si="7"/>
        <v>0</v>
      </c>
      <c r="E20" s="1">
        <f t="shared" si="8"/>
        <v>0.86033358901937973</v>
      </c>
      <c r="F20" s="1">
        <f t="shared" si="9"/>
        <v>0</v>
      </c>
    </row>
    <row r="21" spans="1:16" x14ac:dyDescent="0.25">
      <c r="A21" s="1"/>
      <c r="B21" s="1"/>
      <c r="C21" s="1"/>
      <c r="D21" s="1"/>
      <c r="E21" s="1"/>
      <c r="F21" s="1"/>
    </row>
    <row r="22" spans="1:16" x14ac:dyDescent="0.25">
      <c r="A22" s="1"/>
      <c r="B22" s="1"/>
      <c r="C22" s="1"/>
      <c r="D22" s="1"/>
      <c r="E22" s="1"/>
      <c r="F22" s="1"/>
      <c r="K22" s="1"/>
      <c r="L22" s="1"/>
      <c r="M22" s="1"/>
      <c r="N22" s="1"/>
      <c r="O22" s="1"/>
      <c r="P22" s="1"/>
    </row>
    <row r="23" spans="1:16" x14ac:dyDescent="0.25">
      <c r="A23" s="1" t="s">
        <v>5</v>
      </c>
      <c r="B23" s="1"/>
      <c r="C23" s="1"/>
      <c r="D23" s="1"/>
      <c r="E23" s="1"/>
      <c r="F23" s="1"/>
      <c r="K23" s="1"/>
      <c r="L23" s="1"/>
      <c r="M23" s="1"/>
      <c r="N23" s="1"/>
      <c r="O23" s="1"/>
      <c r="P23" s="1"/>
    </row>
    <row r="24" spans="1:16" x14ac:dyDescent="0.25">
      <c r="A24" t="s">
        <v>8</v>
      </c>
      <c r="B24" t="s">
        <v>9</v>
      </c>
      <c r="C24" t="s">
        <v>10</v>
      </c>
      <c r="D24" t="s">
        <v>11</v>
      </c>
      <c r="E24" t="s">
        <v>23</v>
      </c>
      <c r="F24" t="s">
        <v>24</v>
      </c>
      <c r="K24" s="1"/>
      <c r="L24" s="1"/>
      <c r="M24" s="1"/>
      <c r="N24" s="1"/>
      <c r="O24" s="1"/>
      <c r="P24" s="1"/>
    </row>
    <row r="25" spans="1:16" x14ac:dyDescent="0.25">
      <c r="A25" s="1">
        <v>1</v>
      </c>
      <c r="B25" s="1">
        <v>2</v>
      </c>
      <c r="C25" s="1">
        <f>(A25^4)-(EXP(A25))+1</f>
        <v>-0.71828182845904509</v>
      </c>
      <c r="D25" s="1">
        <f>(B25^4)-(EXP(B25))+1</f>
        <v>9.6109439010693496</v>
      </c>
      <c r="E25" s="1">
        <f>A25-(C25/(C25-D25))*(A25-B25)</f>
        <v>1.0695387870560014</v>
      </c>
      <c r="F25" s="1">
        <f>E25^4-EXP(E25)+1</f>
        <v>-0.60549775117652671</v>
      </c>
      <c r="K25" s="1"/>
      <c r="L25" s="1"/>
      <c r="M25" s="1"/>
      <c r="N25" s="1"/>
      <c r="O25" s="1"/>
      <c r="P25" s="1"/>
    </row>
    <row r="26" spans="1:16" x14ac:dyDescent="0.25">
      <c r="A26" s="1">
        <f>B25</f>
        <v>2</v>
      </c>
      <c r="B26" s="1">
        <f>E25</f>
        <v>1.0695387870560014</v>
      </c>
      <c r="C26" s="1">
        <f>(A26^4)-(EXP(A26))+1</f>
        <v>9.6109439010693496</v>
      </c>
      <c r="D26" s="1">
        <f>(B26^4)-(EXP(B26))+1</f>
        <v>-0.60549775117652671</v>
      </c>
      <c r="E26" s="1">
        <f>A26-(C26/(C26-D26))*(A26-B26)</f>
        <v>1.1246844229996789</v>
      </c>
      <c r="F26" s="1">
        <f>E26^4-EXP(E26)+1</f>
        <v>-0.47923486958427408</v>
      </c>
      <c r="K26" s="1"/>
      <c r="L26" s="1"/>
      <c r="M26" s="1"/>
      <c r="N26" s="1"/>
      <c r="O26" s="1"/>
      <c r="P26" s="1"/>
    </row>
    <row r="27" spans="1:16" x14ac:dyDescent="0.25">
      <c r="A27" s="1">
        <f t="shared" ref="A27:A34" si="10">B26</f>
        <v>1.0695387870560014</v>
      </c>
      <c r="B27" s="1">
        <f t="shared" ref="B27:B34" si="11">E26</f>
        <v>1.1246844229996789</v>
      </c>
      <c r="C27" s="1">
        <f t="shared" ref="C27:C34" si="12">(A27^4)-(EXP(A27))+1</f>
        <v>-0.60549775117652671</v>
      </c>
      <c r="D27" s="1">
        <f t="shared" ref="D27:D34" si="13">(B27^4)-(EXP(B27))+1</f>
        <v>-0.47923486958427408</v>
      </c>
      <c r="E27" s="1">
        <f t="shared" ref="E27:E34" si="14">A27-(C27/(C27-D27))*(A27-B27)</f>
        <v>1.3339914760016414</v>
      </c>
      <c r="F27" s="1">
        <f t="shared" ref="F27:F34" si="15">E27^4-EXP(E27)+1</f>
        <v>0.37057312529706632</v>
      </c>
      <c r="K27" s="1"/>
      <c r="L27" s="1"/>
      <c r="M27" s="1"/>
      <c r="N27" s="1"/>
      <c r="O27" s="1"/>
      <c r="P27" s="1"/>
    </row>
    <row r="28" spans="1:16" x14ac:dyDescent="0.25">
      <c r="A28" s="1">
        <f t="shared" si="10"/>
        <v>1.1246844229996789</v>
      </c>
      <c r="B28" s="1">
        <f t="shared" si="11"/>
        <v>1.3339914760016414</v>
      </c>
      <c r="C28" s="1">
        <f t="shared" si="12"/>
        <v>-0.47923486958427408</v>
      </c>
      <c r="D28" s="1">
        <f t="shared" si="13"/>
        <v>0.37057312529706632</v>
      </c>
      <c r="E28" s="1">
        <f t="shared" si="14"/>
        <v>1.2427196013607276</v>
      </c>
      <c r="F28" s="1">
        <f t="shared" si="15"/>
        <v>-8.0001023297795015E-2</v>
      </c>
      <c r="K28" s="1"/>
      <c r="L28" s="1"/>
      <c r="M28" s="1"/>
      <c r="N28" s="1"/>
      <c r="O28" s="1"/>
      <c r="P28" s="1"/>
    </row>
    <row r="29" spans="1:16" x14ac:dyDescent="0.25">
      <c r="A29" s="1">
        <f t="shared" si="10"/>
        <v>1.3339914760016414</v>
      </c>
      <c r="B29" s="1">
        <f t="shared" si="11"/>
        <v>1.2427196013607276</v>
      </c>
      <c r="C29" s="1">
        <f t="shared" si="12"/>
        <v>0.37057312529706632</v>
      </c>
      <c r="D29" s="1">
        <f t="shared" si="13"/>
        <v>-8.0001023297795015E-2</v>
      </c>
      <c r="E29" s="1">
        <f t="shared" si="14"/>
        <v>1.2589252434117693</v>
      </c>
      <c r="F29" s="1">
        <f t="shared" si="15"/>
        <v>-9.7494651348823957E-3</v>
      </c>
      <c r="K29" s="1"/>
      <c r="L29" s="1"/>
      <c r="M29" s="1"/>
      <c r="N29" s="1"/>
      <c r="O29" s="1"/>
      <c r="P29" s="1"/>
    </row>
    <row r="30" spans="1:16" x14ac:dyDescent="0.25">
      <c r="A30" s="1">
        <f t="shared" si="10"/>
        <v>1.2427196013607276</v>
      </c>
      <c r="B30" s="1">
        <f t="shared" si="11"/>
        <v>1.2589252434117693</v>
      </c>
      <c r="C30" s="1">
        <f t="shared" si="12"/>
        <v>-8.0001023297795015E-2</v>
      </c>
      <c r="D30" s="1">
        <f t="shared" si="13"/>
        <v>-9.7494651348823957E-3</v>
      </c>
      <c r="E30" s="1">
        <f t="shared" si="14"/>
        <v>1.2611742517796496</v>
      </c>
      <c r="F30" s="1">
        <f t="shared" si="15"/>
        <v>3.1903169535318909E-4</v>
      </c>
      <c r="K30" s="1"/>
      <c r="L30" s="1"/>
      <c r="M30" s="1"/>
      <c r="N30" s="1"/>
      <c r="O30" s="1"/>
      <c r="P30" s="1"/>
    </row>
    <row r="31" spans="1:16" x14ac:dyDescent="0.25">
      <c r="A31" s="1">
        <f t="shared" si="10"/>
        <v>1.2589252434117693</v>
      </c>
      <c r="B31" s="1">
        <f t="shared" si="11"/>
        <v>1.2611742517796496</v>
      </c>
      <c r="C31" s="1">
        <f t="shared" si="12"/>
        <v>-9.7494651348823957E-3</v>
      </c>
      <c r="D31" s="1">
        <f t="shared" si="13"/>
        <v>3.1903169535318909E-4</v>
      </c>
      <c r="E31" s="1">
        <f t="shared" si="14"/>
        <v>1.2611029894090529</v>
      </c>
      <c r="F31" s="1">
        <f t="shared" si="15"/>
        <v>-1.2055644385000619E-6</v>
      </c>
      <c r="K31" s="1"/>
      <c r="L31" s="1"/>
      <c r="M31" s="1"/>
      <c r="N31" s="1"/>
      <c r="O31" s="1"/>
      <c r="P31" s="1"/>
    </row>
    <row r="32" spans="1:16" x14ac:dyDescent="0.25">
      <c r="A32" s="1">
        <f t="shared" si="10"/>
        <v>1.2611742517796496</v>
      </c>
      <c r="B32" s="1">
        <f t="shared" si="11"/>
        <v>1.2611029894090529</v>
      </c>
      <c r="C32" s="1">
        <f t="shared" si="12"/>
        <v>3.1903169535318909E-4</v>
      </c>
      <c r="D32" s="1">
        <f t="shared" si="13"/>
        <v>-1.2055644385000619E-6</v>
      </c>
      <c r="E32" s="1">
        <f t="shared" si="14"/>
        <v>1.2611032576832064</v>
      </c>
      <c r="F32" s="1">
        <f t="shared" si="15"/>
        <v>-1.4813750226494449E-10</v>
      </c>
    </row>
    <row r="33" spans="1:6" x14ac:dyDescent="0.25">
      <c r="A33" s="1">
        <f t="shared" si="10"/>
        <v>1.2611029894090529</v>
      </c>
      <c r="B33" s="1">
        <f t="shared" ref="B33" si="16">E32</f>
        <v>1.2611032576832064</v>
      </c>
      <c r="C33" s="1">
        <f t="shared" ref="C33" si="17">(A33^4)-(EXP(A33))+1</f>
        <v>-1.2055644385000619E-6</v>
      </c>
      <c r="D33" s="1">
        <f t="shared" ref="D33" si="18">(B33^4)-(EXP(B33))+1</f>
        <v>-1.4813750226494449E-10</v>
      </c>
      <c r="E33" s="1">
        <f t="shared" ref="E33" si="19">A33-(C33/(C33-D33))*(A33-B33)</f>
        <v>1.2611032577161756</v>
      </c>
      <c r="F33" s="1">
        <f t="shared" si="15"/>
        <v>0</v>
      </c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t="s">
        <v>6</v>
      </c>
    </row>
    <row r="36" spans="1:6" x14ac:dyDescent="0.25">
      <c r="A36" t="s">
        <v>8</v>
      </c>
      <c r="B36" t="s">
        <v>9</v>
      </c>
      <c r="C36" t="s">
        <v>10</v>
      </c>
      <c r="D36" t="s">
        <v>11</v>
      </c>
      <c r="E36" t="s">
        <v>23</v>
      </c>
      <c r="F36" t="s">
        <v>24</v>
      </c>
    </row>
    <row r="37" spans="1:6" x14ac:dyDescent="0.25">
      <c r="A37" s="1">
        <v>0.5</v>
      </c>
      <c r="B37" s="1">
        <v>1</v>
      </c>
      <c r="C37" s="1">
        <f>A37^2*EXP(A37)-1</f>
        <v>-0.58781968232496795</v>
      </c>
      <c r="D37" s="1">
        <f>B37^2*EXP(B37)-1</f>
        <v>1.7182818284590451</v>
      </c>
      <c r="E37" s="1">
        <f>A37-(C37/(C37-D37))*(A37-B37)</f>
        <v>0.62744878739642407</v>
      </c>
      <c r="F37" s="1">
        <f>E37^2*EXP(E37)-1</f>
        <v>-0.26268322524055865</v>
      </c>
    </row>
    <row r="38" spans="1:6" x14ac:dyDescent="0.25">
      <c r="A38" s="1">
        <f>B37</f>
        <v>1</v>
      </c>
      <c r="B38" s="1">
        <f>E37</f>
        <v>0.62744878739642407</v>
      </c>
      <c r="C38" s="1">
        <f>A38^2*EXP(A38)-1</f>
        <v>1.7182818284590451</v>
      </c>
      <c r="D38" s="1">
        <f>B38^2*EXP(B38)-1</f>
        <v>-0.26268322524055865</v>
      </c>
      <c r="E38" s="1">
        <f>A38-(C38/(C38-D38))*(A38-B38)</f>
        <v>0.67685044337779632</v>
      </c>
      <c r="F38" s="1">
        <f>E38^2*EXP(E38)-1</f>
        <v>-9.8557877023278229E-2</v>
      </c>
    </row>
    <row r="39" spans="1:6" x14ac:dyDescent="0.25">
      <c r="A39" s="1">
        <f t="shared" ref="A39:A45" si="20">B38</f>
        <v>0.62744878739642407</v>
      </c>
      <c r="B39" s="1">
        <f t="shared" ref="B39:B43" si="21">E38</f>
        <v>0.67685044337779632</v>
      </c>
      <c r="C39" s="1">
        <f t="shared" ref="C39:C43" si="22">A39^2*EXP(A39)-1</f>
        <v>-0.26268322524055865</v>
      </c>
      <c r="D39" s="1">
        <f t="shared" ref="D39:D43" si="23">B39^2*EXP(B39)-1</f>
        <v>-9.8557877023278229E-2</v>
      </c>
      <c r="E39" s="1">
        <f t="shared" ref="E39:E43" si="24">A39-(C39/(C39-D39))*(A39-B39)</f>
        <v>0.70651632002539722</v>
      </c>
      <c r="F39" s="1">
        <f t="shared" ref="F39:F45" si="25">E39^2*EXP(E39)-1</f>
        <v>1.1767058906573924E-2</v>
      </c>
    </row>
    <row r="40" spans="1:6" x14ac:dyDescent="0.25">
      <c r="A40" s="1">
        <f t="shared" si="20"/>
        <v>0.67685044337779632</v>
      </c>
      <c r="B40" s="1">
        <f t="shared" si="21"/>
        <v>0.70651632002539722</v>
      </c>
      <c r="C40" s="1">
        <f t="shared" si="22"/>
        <v>-9.8557877023278229E-2</v>
      </c>
      <c r="D40" s="1">
        <f t="shared" si="23"/>
        <v>1.1767058906573924E-2</v>
      </c>
      <c r="E40" s="1">
        <f t="shared" si="24"/>
        <v>0.70335221106775025</v>
      </c>
      <c r="F40" s="1">
        <f t="shared" si="25"/>
        <v>-4.4269323395829119E-4</v>
      </c>
    </row>
    <row r="41" spans="1:6" x14ac:dyDescent="0.25">
      <c r="A41" s="1">
        <f t="shared" si="20"/>
        <v>0.70651632002539722</v>
      </c>
      <c r="B41" s="1">
        <f t="shared" si="21"/>
        <v>0.70335221106775025</v>
      </c>
      <c r="C41" s="1">
        <f t="shared" si="22"/>
        <v>1.1767058906573924E-2</v>
      </c>
      <c r="D41" s="1">
        <f t="shared" si="23"/>
        <v>-4.4269323395829119E-4</v>
      </c>
      <c r="E41" s="1">
        <f t="shared" si="24"/>
        <v>0.70346693326775356</v>
      </c>
      <c r="F41" s="1">
        <f t="shared" si="25"/>
        <v>-1.8801413493862995E-6</v>
      </c>
    </row>
    <row r="42" spans="1:6" x14ac:dyDescent="0.25">
      <c r="A42" s="1">
        <f t="shared" si="20"/>
        <v>0.70335221106775025</v>
      </c>
      <c r="B42" s="1">
        <f t="shared" si="21"/>
        <v>0.70346693326775356</v>
      </c>
      <c r="C42" s="1">
        <f t="shared" si="22"/>
        <v>-4.4269323395829119E-4</v>
      </c>
      <c r="D42" s="1">
        <f t="shared" si="23"/>
        <v>-1.8801413493862995E-6</v>
      </c>
      <c r="E42" s="1">
        <f t="shared" si="24"/>
        <v>0.70346742257706751</v>
      </c>
      <c r="F42" s="1">
        <f t="shared" si="25"/>
        <v>3.0235591808036588E-10</v>
      </c>
    </row>
    <row r="43" spans="1:6" x14ac:dyDescent="0.25">
      <c r="A43" s="1">
        <f t="shared" si="20"/>
        <v>0.70346693326775356</v>
      </c>
      <c r="B43" s="1">
        <f t="shared" si="21"/>
        <v>0.70346742257706751</v>
      </c>
      <c r="C43" s="1">
        <f t="shared" si="22"/>
        <v>-1.8801413493862995E-6</v>
      </c>
      <c r="D43" s="1">
        <f t="shared" si="23"/>
        <v>3.0235591808036588E-10</v>
      </c>
      <c r="E43" s="1">
        <f t="shared" si="24"/>
        <v>0.70346742249839167</v>
      </c>
      <c r="F43" s="1">
        <f t="shared" si="25"/>
        <v>0</v>
      </c>
    </row>
    <row r="44" spans="1:6" x14ac:dyDescent="0.25">
      <c r="A44" s="1">
        <f>B43</f>
        <v>0.70346742257706751</v>
      </c>
      <c r="B44" s="1">
        <f>E43</f>
        <v>0.70346742249839167</v>
      </c>
      <c r="C44" s="1">
        <f>A44^2*EXP(A44)-1</f>
        <v>3.0235591808036588E-10</v>
      </c>
      <c r="D44" s="1">
        <f>B44^2*EXP(B44)-1</f>
        <v>0</v>
      </c>
      <c r="E44" s="1">
        <f>A44-(C44/(C44-D44))*(A44-B44)</f>
        <v>0.70346742249839167</v>
      </c>
      <c r="F44" s="1">
        <f>E44^2*EXP(E44)-1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AD59-B07F-4313-9B33-82D87C8BEE7E}">
  <dimension ref="A1:H44"/>
  <sheetViews>
    <sheetView workbookViewId="0">
      <selection activeCell="C1" sqref="C1"/>
    </sheetView>
  </sheetViews>
  <sheetFormatPr defaultRowHeight="15" x14ac:dyDescent="0.25"/>
  <sheetData>
    <row r="1" spans="1:7" x14ac:dyDescent="0.25">
      <c r="A1" t="s">
        <v>16</v>
      </c>
      <c r="C1" t="s">
        <v>25</v>
      </c>
    </row>
    <row r="2" spans="1:7" x14ac:dyDescent="0.25">
      <c r="A2" t="s">
        <v>1</v>
      </c>
    </row>
    <row r="3" spans="1:7" x14ac:dyDescent="0.25">
      <c r="A3" t="s">
        <v>17</v>
      </c>
    </row>
    <row r="4" spans="1:7" x14ac:dyDescent="0.25">
      <c r="A4" t="s">
        <v>2</v>
      </c>
      <c r="B4" t="s">
        <v>3</v>
      </c>
      <c r="C4" t="s">
        <v>18</v>
      </c>
    </row>
    <row r="5" spans="1:7" x14ac:dyDescent="0.25">
      <c r="A5" s="1">
        <v>3</v>
      </c>
      <c r="B5" s="1">
        <f>A5-A5^(1/3)-2</f>
        <v>-0.4422495703074083</v>
      </c>
      <c r="C5" s="1">
        <f>1-(1/3)*(A5^(-2/3))</f>
        <v>0.83975004774362128</v>
      </c>
      <c r="D5" s="1"/>
      <c r="E5" s="1"/>
      <c r="F5" s="1"/>
    </row>
    <row r="6" spans="1:7" x14ac:dyDescent="0.25">
      <c r="A6" s="1">
        <f>A5-(B5/C5)</f>
        <v>3.5266442931390327</v>
      </c>
      <c r="B6" s="1">
        <f t="shared" ref="B6:B10" si="0">A6-A6^(1/3)-2</f>
        <v>4.5067918211101343E-3</v>
      </c>
      <c r="C6" s="1">
        <f t="shared" ref="C6:C10" si="1">1-(1/3)*(A6^(-2/3))</f>
        <v>0.85612975822566983</v>
      </c>
      <c r="D6" s="1"/>
      <c r="E6" s="1"/>
      <c r="F6" s="1"/>
    </row>
    <row r="7" spans="1:7" x14ac:dyDescent="0.25">
      <c r="A7" s="1">
        <f t="shared" ref="A7:A9" si="2">A6-(B6/C6)</f>
        <v>3.5213801473973283</v>
      </c>
      <c r="B7" s="1">
        <f t="shared" si="0"/>
        <v>3.7714141409850299E-7</v>
      </c>
      <c r="C7" s="1">
        <f t="shared" si="1"/>
        <v>0.85598641190155944</v>
      </c>
      <c r="D7" s="1"/>
      <c r="E7" s="1"/>
      <c r="F7" s="1"/>
    </row>
    <row r="8" spans="1:7" x14ac:dyDescent="0.25">
      <c r="A8" s="1">
        <f t="shared" si="2"/>
        <v>3.52137970680457</v>
      </c>
      <c r="B8" s="1">
        <f t="shared" si="0"/>
        <v>0</v>
      </c>
      <c r="C8" s="1">
        <f t="shared" si="1"/>
        <v>0.85598639988896807</v>
      </c>
      <c r="D8" s="1"/>
      <c r="E8" s="1"/>
      <c r="F8" s="1"/>
    </row>
    <row r="9" spans="1:7" x14ac:dyDescent="0.25">
      <c r="A9" s="1">
        <f t="shared" si="2"/>
        <v>3.52137970680457</v>
      </c>
      <c r="B9" s="1">
        <f t="shared" si="0"/>
        <v>0</v>
      </c>
      <c r="C9" s="1">
        <f t="shared" si="1"/>
        <v>0.85598639988896807</v>
      </c>
      <c r="D9" s="1"/>
      <c r="E9" s="1"/>
      <c r="F9" s="1"/>
    </row>
    <row r="10" spans="1:7" x14ac:dyDescent="0.25">
      <c r="A10" s="1">
        <f t="shared" ref="A10" si="3">A9-(B9/C9)</f>
        <v>3.52137970680457</v>
      </c>
      <c r="B10" s="1">
        <f t="shared" si="0"/>
        <v>0</v>
      </c>
      <c r="C10" s="1">
        <f t="shared" si="1"/>
        <v>0.85598639988896807</v>
      </c>
      <c r="D10" s="1"/>
      <c r="E10" s="1"/>
      <c r="F10" s="1"/>
    </row>
    <row r="11" spans="1:7" x14ac:dyDescent="0.25">
      <c r="A11" s="1"/>
      <c r="B11" s="1"/>
      <c r="C11" s="1"/>
      <c r="D11" s="1"/>
      <c r="E11" s="1"/>
      <c r="F11" s="1"/>
    </row>
    <row r="13" spans="1:7" x14ac:dyDescent="0.25">
      <c r="A13" t="s">
        <v>4</v>
      </c>
    </row>
    <row r="14" spans="1:7" x14ac:dyDescent="0.25">
      <c r="A14" t="s">
        <v>19</v>
      </c>
    </row>
    <row r="15" spans="1:7" x14ac:dyDescent="0.25">
      <c r="A15" t="s">
        <v>2</v>
      </c>
      <c r="B15" t="s">
        <v>3</v>
      </c>
      <c r="C15" t="s">
        <v>18</v>
      </c>
    </row>
    <row r="16" spans="1:7" x14ac:dyDescent="0.25">
      <c r="A16" s="1">
        <v>1</v>
      </c>
      <c r="B16" s="1">
        <f>A16*TAN(A16)-1</f>
        <v>0.55740772465490229</v>
      </c>
      <c r="C16" s="1">
        <f>A16*(_xlfn.SEC(A16))^2+TAN(A16)</f>
        <v>4.9829265454696614</v>
      </c>
      <c r="D16" s="1"/>
      <c r="E16" s="1"/>
      <c r="F16" s="1"/>
      <c r="G16" s="1"/>
    </row>
    <row r="17" spans="1:8" x14ac:dyDescent="0.25">
      <c r="A17" s="1">
        <f>A16-(B16/C16)</f>
        <v>0.8881364757099055</v>
      </c>
      <c r="B17" s="1">
        <f>A17*TAN(A17)-1</f>
        <v>9.2324625844214969E-2</v>
      </c>
      <c r="C17" s="1">
        <f>A17*(_xlfn.SEC(A17))^2+TAN(A17)</f>
        <v>3.4614996654641317</v>
      </c>
      <c r="D17" s="1"/>
      <c r="E17" s="1"/>
      <c r="F17" s="1"/>
      <c r="G17" s="1"/>
    </row>
    <row r="18" spans="1:8" x14ac:dyDescent="0.25">
      <c r="A18" s="1">
        <f t="shared" ref="A18:A21" si="4">A17-(B17/C17)</f>
        <v>0.86146461820104869</v>
      </c>
      <c r="B18" s="1">
        <f t="shared" ref="B18:B21" si="5">A18*TAN(A18)-1</f>
        <v>3.6083668443802619E-3</v>
      </c>
      <c r="C18" s="1">
        <f t="shared" ref="C18:C21" si="6">A18*(_xlfn.SEC(A18))^2+TAN(A18)</f>
        <v>3.1956732187162409</v>
      </c>
      <c r="D18" s="1"/>
      <c r="E18" s="1"/>
      <c r="F18" s="1"/>
      <c r="G18" s="1"/>
    </row>
    <row r="19" spans="1:8" x14ac:dyDescent="0.25">
      <c r="A19" s="1">
        <f t="shared" si="4"/>
        <v>0.86033547682850564</v>
      </c>
      <c r="B19" s="1">
        <f t="shared" si="5"/>
        <v>6.0127138454824092E-6</v>
      </c>
      <c r="C19" s="1">
        <f t="shared" si="6"/>
        <v>3.1850310078676856</v>
      </c>
      <c r="D19" s="1"/>
      <c r="E19" s="1"/>
      <c r="F19" s="1"/>
      <c r="G19" s="1"/>
    </row>
    <row r="20" spans="1:8" x14ac:dyDescent="0.25">
      <c r="A20" s="1">
        <f t="shared" si="4"/>
        <v>0.86033358902464108</v>
      </c>
      <c r="B20" s="1">
        <f t="shared" si="5"/>
        <v>1.6757484289087188E-11</v>
      </c>
      <c r="C20" s="1">
        <f t="shared" si="6"/>
        <v>3.1850132546386147</v>
      </c>
      <c r="D20" s="1"/>
      <c r="E20" s="1"/>
      <c r="F20" s="1"/>
      <c r="G20" s="1"/>
    </row>
    <row r="21" spans="1:8" x14ac:dyDescent="0.25">
      <c r="A21" s="1">
        <f t="shared" si="4"/>
        <v>0.86033358901937973</v>
      </c>
      <c r="B21" s="1">
        <f t="shared" si="5"/>
        <v>0</v>
      </c>
      <c r="C21" s="1">
        <f t="shared" si="6"/>
        <v>3.1850132545891356</v>
      </c>
      <c r="D21" s="1"/>
      <c r="E21" s="1"/>
      <c r="F21" s="1"/>
      <c r="G21" s="1"/>
    </row>
    <row r="22" spans="1:8" x14ac:dyDescent="0.25">
      <c r="A22" s="1"/>
      <c r="B22" s="1"/>
      <c r="C22" s="1"/>
      <c r="D22" s="1"/>
      <c r="E22" s="1"/>
      <c r="F22" s="1"/>
      <c r="G22" s="1"/>
    </row>
    <row r="24" spans="1:8" x14ac:dyDescent="0.25">
      <c r="A24" t="s">
        <v>15</v>
      </c>
      <c r="D24" t="s">
        <v>20</v>
      </c>
    </row>
    <row r="25" spans="1:8" x14ac:dyDescent="0.25">
      <c r="A25" t="s">
        <v>2</v>
      </c>
      <c r="B25" t="s">
        <v>3</v>
      </c>
      <c r="C25" t="s">
        <v>18</v>
      </c>
      <c r="G25" s="1"/>
      <c r="H25" s="1"/>
    </row>
    <row r="26" spans="1:8" x14ac:dyDescent="0.25">
      <c r="A26" s="1">
        <v>1</v>
      </c>
      <c r="B26" s="1">
        <f>(A26^4)-EXP(A26)+1</f>
        <v>-0.71828182845904509</v>
      </c>
      <c r="C26" s="1">
        <f>4*A26^3-EXP(A26)</f>
        <v>1.2817181715409549</v>
      </c>
      <c r="G26" s="1"/>
      <c r="H26" s="1"/>
    </row>
    <row r="27" spans="1:8" x14ac:dyDescent="0.25">
      <c r="A27" s="1">
        <f>A26-(B26/C26)</f>
        <v>1.5604054342113958</v>
      </c>
      <c r="B27" s="1">
        <f>(A27^4)-EXP(A27)+1</f>
        <v>2.1678171230404333</v>
      </c>
      <c r="C27" s="1">
        <f>4*A27^3-EXP(A27)</f>
        <v>10.43675602851482</v>
      </c>
      <c r="G27" s="1"/>
      <c r="H27" s="1"/>
    </row>
    <row r="28" spans="1:8" x14ac:dyDescent="0.25">
      <c r="A28" s="1">
        <f t="shared" ref="A28:A31" si="7">A27-(B27/C27)</f>
        <v>1.3526955752171237</v>
      </c>
      <c r="B28" s="1">
        <f t="shared" ref="B28:B31" si="8">(A28^4)-EXP(A28)+1</f>
        <v>0.48027677617413111</v>
      </c>
      <c r="C28" s="1">
        <f t="shared" ref="C28:C31" si="9">4*A28^3-EXP(A28)</f>
        <v>6.0327324813516441</v>
      </c>
      <c r="G28" s="1"/>
      <c r="H28" s="1"/>
    </row>
    <row r="29" spans="1:8" x14ac:dyDescent="0.25">
      <c r="A29" s="1">
        <f t="shared" si="7"/>
        <v>1.2730837612242505</v>
      </c>
      <c r="B29" s="1">
        <f t="shared" si="8"/>
        <v>5.4955153433588588E-2</v>
      </c>
      <c r="C29" s="1">
        <f t="shared" si="9"/>
        <v>4.6815122951517161</v>
      </c>
      <c r="G29" s="1"/>
      <c r="H29" s="1"/>
    </row>
    <row r="30" spans="1:8" x14ac:dyDescent="0.25">
      <c r="A30" s="1">
        <f t="shared" si="7"/>
        <v>1.261345000334847</v>
      </c>
      <c r="B30" s="1">
        <f t="shared" si="8"/>
        <v>1.0866592168223832E-3</v>
      </c>
      <c r="C30" s="1">
        <f t="shared" si="9"/>
        <v>4.49698886191754</v>
      </c>
      <c r="G30" s="1"/>
      <c r="H30" s="1"/>
    </row>
    <row r="31" spans="1:8" x14ac:dyDescent="0.25">
      <c r="A31" s="1">
        <f t="shared" si="7"/>
        <v>1.2611033588164469</v>
      </c>
      <c r="B31" s="1">
        <f t="shared" si="8"/>
        <v>4.5426662031999854E-7</v>
      </c>
      <c r="C31" s="1">
        <f t="shared" si="9"/>
        <v>4.4932292829951894</v>
      </c>
      <c r="G31" s="1"/>
      <c r="H31" s="1"/>
    </row>
    <row r="32" spans="1:8" x14ac:dyDescent="0.25">
      <c r="A32" s="1">
        <f>A31-(B31/C31)</f>
        <v>1.2611032577161931</v>
      </c>
      <c r="B32" s="1">
        <f>(A32^4)-EXP(A32)+1</f>
        <v>7.8603790143461083E-14</v>
      </c>
      <c r="C32" s="1">
        <f>4*A32^3-EXP(A32)</f>
        <v>4.4932277103539118</v>
      </c>
    </row>
    <row r="34" spans="1:7" x14ac:dyDescent="0.25">
      <c r="A34" t="s">
        <v>6</v>
      </c>
      <c r="D34" t="s">
        <v>21</v>
      </c>
    </row>
    <row r="35" spans="1:7" x14ac:dyDescent="0.25">
      <c r="A35" t="s">
        <v>2</v>
      </c>
      <c r="B35" t="s">
        <v>3</v>
      </c>
      <c r="C35" t="s">
        <v>18</v>
      </c>
    </row>
    <row r="36" spans="1:7" x14ac:dyDescent="0.25">
      <c r="A36" s="1">
        <v>0.5</v>
      </c>
      <c r="B36" s="1">
        <f>(A36^2)*(EXP(A36))-1</f>
        <v>-0.58781968232496795</v>
      </c>
      <c r="C36" s="1">
        <f>2*(A36)*(EXP(A36))+(A36^2)*(EXP(A36))</f>
        <v>2.0609015883751605</v>
      </c>
    </row>
    <row r="37" spans="1:7" x14ac:dyDescent="0.25">
      <c r="A37" s="1">
        <f>A36-(B36/C36)</f>
        <v>0.78522452777010665</v>
      </c>
      <c r="B37" s="1">
        <f>(A37^2)*(EXP(A37))-1</f>
        <v>0.35209246810584904</v>
      </c>
      <c r="C37" s="1">
        <f>2*(A37)*(EXP(A37))+(A37^2)*(EXP(A37))</f>
        <v>4.7959290276833837</v>
      </c>
      <c r="F37" s="1"/>
      <c r="G37" s="1"/>
    </row>
    <row r="38" spans="1:7" x14ac:dyDescent="0.25">
      <c r="A38" s="1">
        <f t="shared" ref="A38:A44" si="10">A37-(B37/C37)</f>
        <v>0.71180966569156523</v>
      </c>
      <c r="B38" s="1">
        <f t="shared" ref="B38:B44" si="11">(A38^2)*(EXP(A38))-1</f>
        <v>3.2435126232382094E-2</v>
      </c>
      <c r="C38" s="1">
        <f t="shared" ref="C38:C44" si="12">2*(A38)*(EXP(A38))+(A38^2)*(EXP(A38))</f>
        <v>3.9333092671568677</v>
      </c>
      <c r="F38" s="1"/>
      <c r="G38" s="1"/>
    </row>
    <row r="39" spans="1:7" x14ac:dyDescent="0.25">
      <c r="A39" s="1">
        <f t="shared" si="10"/>
        <v>0.70356339670295165</v>
      </c>
      <c r="B39" s="1">
        <f t="shared" si="11"/>
        <v>3.6888402374524176E-4</v>
      </c>
      <c r="C39" s="1">
        <f t="shared" si="12"/>
        <v>3.8440895457627939</v>
      </c>
      <c r="F39" s="1"/>
      <c r="G39" s="1"/>
    </row>
    <row r="40" spans="1:7" x14ac:dyDescent="0.25">
      <c r="A40" s="1">
        <f t="shared" si="10"/>
        <v>0.70346743535258405</v>
      </c>
      <c r="B40" s="1">
        <f t="shared" si="11"/>
        <v>4.9399431878427436E-8</v>
      </c>
      <c r="C40" s="1">
        <f t="shared" si="12"/>
        <v>3.8430600096610554</v>
      </c>
      <c r="F40" s="1"/>
      <c r="G40" s="1"/>
    </row>
    <row r="41" spans="1:7" x14ac:dyDescent="0.25">
      <c r="A41" s="1">
        <f t="shared" si="10"/>
        <v>0.70346742249839189</v>
      </c>
      <c r="B41" s="1">
        <f t="shared" si="11"/>
        <v>0</v>
      </c>
      <c r="C41" s="1">
        <f t="shared" si="12"/>
        <v>3.8430598717662359</v>
      </c>
      <c r="F41" s="1"/>
      <c r="G41" s="1"/>
    </row>
    <row r="42" spans="1:7" x14ac:dyDescent="0.25">
      <c r="A42" s="1"/>
      <c r="B42" s="1"/>
      <c r="C42" s="1"/>
      <c r="F42" s="1"/>
      <c r="G42" s="1"/>
    </row>
    <row r="43" spans="1:7" x14ac:dyDescent="0.25">
      <c r="A43" s="1"/>
      <c r="B43" s="1"/>
      <c r="C43" s="1"/>
      <c r="F43" s="1"/>
      <c r="G43" s="1"/>
    </row>
    <row r="44" spans="1:7" x14ac:dyDescent="0.25">
      <c r="A44" s="1"/>
      <c r="B44" s="1"/>
      <c r="C4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844360-23b6-44c4-9648-e4d2d049dd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D9D887D76783459CBF7DAC286B6C99" ma:contentTypeVersion="5" ma:contentTypeDescription="Create a new document." ma:contentTypeScope="" ma:versionID="8a30b3711f9c51c0d62beabf4f526d04">
  <xsd:schema xmlns:xsd="http://www.w3.org/2001/XMLSchema" xmlns:xs="http://www.w3.org/2001/XMLSchema" xmlns:p="http://schemas.microsoft.com/office/2006/metadata/properties" xmlns:ns3="1f844360-23b6-44c4-9648-e4d2d049ddc2" targetNamespace="http://schemas.microsoft.com/office/2006/metadata/properties" ma:root="true" ma:fieldsID="08df319a955fd775330a66755124ec8e" ns3:_="">
    <xsd:import namespace="1f844360-23b6-44c4-9648-e4d2d049ddc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844360-23b6-44c4-9648-e4d2d049ddc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EBB901-4116-45C0-9536-23C619FA00F1}">
  <ds:schemaRefs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1f844360-23b6-44c4-9648-e4d2d049ddc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D1BD696-8F38-4824-8A9F-82F090F434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AD345D-4257-4C53-B2E1-C4D6153E9F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844360-23b6-44c4-9648-e4d2d049d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Alsurakhi, Lama</dc:creator>
  <cp:keywords/>
  <dc:description/>
  <cp:lastModifiedBy>Alsurakhi, Lama</cp:lastModifiedBy>
  <cp:revision/>
  <dcterms:created xsi:type="dcterms:W3CDTF">2025-09-06T00:21:18Z</dcterms:created>
  <dcterms:modified xsi:type="dcterms:W3CDTF">2025-09-09T21:51:12Z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0x01010025D9D887D76783459CBF7DAC286B6C99</vt:lpwstr>
  </property>
</Properties>
</file>