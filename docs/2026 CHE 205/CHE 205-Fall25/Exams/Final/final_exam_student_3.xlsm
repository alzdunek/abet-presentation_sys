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ic365-my.sharepoint.com/personal/proma_uic_edu/Documents/"/>
    </mc:Choice>
  </mc:AlternateContent>
  <xr:revisionPtr revIDLastSave="127169" documentId="8_{64B785CC-D87D-6747-ACA3-5B03F0B59062}" xr6:coauthVersionLast="47" xr6:coauthVersionMax="47" xr10:uidLastSave="{B36EFA9B-801F-1A45-871B-8E1C65AFC42E}"/>
  <bookViews>
    <workbookView xWindow="0" yWindow="740" windowWidth="30240" windowHeight="18900" xr2:uid="{8A1781B5-60FB-0E45-8206-5A826F83155B}"/>
  </bookViews>
  <sheets>
    <sheet name="Problem 1" sheetId="1" r:id="rId1"/>
    <sheet name="Problem 2" sheetId="2" r:id="rId2"/>
    <sheet name="Problem 3" sheetId="3" r:id="rId3"/>
    <sheet name="Problem 4" sheetId="4" r:id="rId4"/>
    <sheet name="Problem 5" sheetId="5" r:id="rId5"/>
  </sheets>
  <definedNames>
    <definedName name="_xlchart.v1.0" hidden="1">'Problem 4'!$F$3:$F$43</definedName>
    <definedName name="_xlchart.v1.1" hidden="1">'Problem 4'!$G$2</definedName>
    <definedName name="_xlchart.v1.10" hidden="1">'Problem 4'!$I$2</definedName>
    <definedName name="_xlchart.v1.11" hidden="1">'Problem 4'!$I$3:$I$13</definedName>
    <definedName name="_xlchart.v1.2" hidden="1">'Problem 4'!$G$3:$G$43</definedName>
    <definedName name="_xlchart.v1.3" hidden="1">'Problem 4'!$H$3:$H$13</definedName>
    <definedName name="_xlchart.v1.4" hidden="1">'Problem 4'!$I$2</definedName>
    <definedName name="_xlchart.v1.5" hidden="1">'Problem 4'!$I$3:$I$13</definedName>
    <definedName name="_xlchart.v1.6" hidden="1">'Problem 4'!$F$3:$F$43</definedName>
    <definedName name="_xlchart.v1.7" hidden="1">'Problem 4'!$G$2</definedName>
    <definedName name="_xlchart.v1.8" hidden="1">'Problem 4'!$G$3:$G$43</definedName>
    <definedName name="_xlchart.v1.9" hidden="1">'Problem 4'!$H$3:$H$13</definedName>
    <definedName name="_xleta.PI" hidden="1" xlm="1">#NAME?</definedName>
    <definedName name="solver_adj" localSheetId="4" hidden="1">'Problem 5'!$F$4:$F$5</definedName>
    <definedName name="solver_cvg" localSheetId="4" hidden="1">0.0001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itr" localSheetId="4" hidden="1">2147483647</definedName>
    <definedName name="solver_lin" localSheetId="3" hidden="1">2</definedName>
    <definedName name="solver_lin" localSheetId="4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3" hidden="1">1</definedName>
    <definedName name="solver_neg" localSheetId="4" hidden="1">1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opt" localSheetId="3" hidden="1">'Problem 4'!$D$44</definedName>
    <definedName name="solver_opt" localSheetId="4" hidden="1">'Problem 5'!$F$15</definedName>
    <definedName name="solver_pre" localSheetId="4" hidden="1">0.000001</definedName>
    <definedName name="solver_rbv" localSheetId="4" hidden="1">1</definedName>
    <definedName name="solver_rlx" localSheetId="4" hidden="1">1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3" hidden="1">1</definedName>
    <definedName name="solver_typ" localSheetId="4" hidden="1">2</definedName>
    <definedName name="solver_val" localSheetId="3" hidden="1">0</definedName>
    <definedName name="solver_val" localSheetId="4" hidden="1">0</definedName>
    <definedName name="solver_ver" localSheetId="3" hidden="1">2</definedName>
    <definedName name="solver_ver" localSheetId="4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4" l="1"/>
  <c r="H5" i="4" s="1"/>
  <c r="H6" i="4" s="1"/>
  <c r="H7" i="4" s="1"/>
  <c r="H8" i="4" s="1"/>
  <c r="H9" i="4" s="1"/>
  <c r="H10" i="4" s="1"/>
  <c r="H11" i="4" s="1"/>
  <c r="H12" i="4" s="1"/>
  <c r="H13" i="4" s="1"/>
  <c r="I4" i="4" a="1"/>
  <c r="I4" i="4" s="1"/>
  <c r="C10" i="3"/>
  <c r="C11" i="3" s="1"/>
  <c r="B10" i="3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C12" i="3" l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Z6" i="2" l="1" a="1"/>
  <c r="Z6" i="2" s="1"/>
  <c r="Y8" i="2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7" i="2"/>
  <c r="Y6" i="2"/>
  <c r="C11" i="5"/>
  <c r="E11" i="5" s="1"/>
  <c r="F11" i="5" s="1"/>
  <c r="C12" i="5"/>
  <c r="E12" i="5" s="1"/>
  <c r="F12" i="5" s="1"/>
  <c r="C13" i="5"/>
  <c r="E13" i="5" s="1"/>
  <c r="F13" i="5" s="1"/>
  <c r="C14" i="5"/>
  <c r="C10" i="5"/>
  <c r="E10" i="5" s="1"/>
  <c r="F10" i="5" s="1"/>
  <c r="E14" i="5"/>
  <c r="F14" i="5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C5" i="2"/>
  <c r="L48" i="4" a="1"/>
  <c r="L4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G2" i="4" a="1"/>
  <c r="G2" i="4" s="1"/>
  <c r="F2" i="4" a="1"/>
  <c r="F2" i="4" s="1"/>
  <c r="C4" i="4"/>
  <c r="B4" i="4"/>
  <c r="C5" i="4" s="1"/>
  <c r="A42" i="4"/>
  <c r="A43" i="4" s="1"/>
  <c r="A38" i="4"/>
  <c r="A39" i="4" s="1"/>
  <c r="A40" i="4" s="1"/>
  <c r="A41" i="4" s="1"/>
  <c r="A29" i="4"/>
  <c r="A30" i="4" s="1"/>
  <c r="A31" i="4" s="1"/>
  <c r="A32" i="4" s="1"/>
  <c r="A33" i="4" s="1"/>
  <c r="A34" i="4" s="1"/>
  <c r="A35" i="4" s="1"/>
  <c r="A36" i="4" s="1"/>
  <c r="A37" i="4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4" i="4"/>
  <c r="A3" i="4"/>
  <c r="AF6" i="2" a="1"/>
  <c r="AF6" i="2" s="1"/>
  <c r="AD6" i="2" a="1"/>
  <c r="AD6" i="2" s="1"/>
  <c r="AB6" i="2" a="1"/>
  <c r="AB6" i="2" s="1"/>
  <c r="AE6" i="2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C6" i="2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A6" i="2"/>
  <c r="AA7" i="2" s="1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AA24" i="2" s="1"/>
  <c r="AA25" i="2" s="1"/>
  <c r="AA26" i="2" s="1"/>
  <c r="F15" i="5" l="1"/>
  <c r="B5" i="4"/>
  <c r="C6" i="4" s="1"/>
  <c r="B6" i="4"/>
  <c r="C7" i="4" s="1"/>
  <c r="B7" i="4"/>
  <c r="B8" i="4" s="1"/>
  <c r="G2" i="1"/>
  <c r="F3" i="1"/>
  <c r="G3" i="1" s="1"/>
  <c r="D2" i="1"/>
  <c r="D3" i="1" s="1"/>
  <c r="C8" i="4" l="1"/>
  <c r="C9" i="4" s="1"/>
  <c r="E3" i="1"/>
  <c r="D4" i="1"/>
  <c r="F4" i="1"/>
  <c r="E2" i="1"/>
  <c r="B9" i="4" l="1"/>
  <c r="C10" i="4"/>
  <c r="B10" i="4"/>
  <c r="C11" i="4"/>
  <c r="F5" i="1"/>
  <c r="G4" i="1"/>
  <c r="D5" i="1"/>
  <c r="E4" i="1"/>
  <c r="B11" i="4" l="1"/>
  <c r="B12" i="4" s="1"/>
  <c r="C12" i="4"/>
  <c r="F6" i="1"/>
  <c r="G5" i="1"/>
  <c r="D6" i="1"/>
  <c r="E5" i="1"/>
  <c r="B13" i="4" l="1"/>
  <c r="C13" i="4"/>
  <c r="B14" i="4" s="1"/>
  <c r="D7" i="1"/>
  <c r="E6" i="1"/>
  <c r="F7" i="1"/>
  <c r="G6" i="1"/>
  <c r="C14" i="4" l="1"/>
  <c r="B15" i="4" s="1"/>
  <c r="F8" i="1"/>
  <c r="G7" i="1"/>
  <c r="D8" i="1"/>
  <c r="E7" i="1"/>
  <c r="C15" i="4" l="1"/>
  <c r="B16" i="4" s="1"/>
  <c r="D9" i="1"/>
  <c r="E8" i="1"/>
  <c r="F9" i="1"/>
  <c r="G8" i="1"/>
  <c r="C16" i="4" l="1"/>
  <c r="B17" i="4" s="1"/>
  <c r="F10" i="1"/>
  <c r="G9" i="1"/>
  <c r="D10" i="1"/>
  <c r="E9" i="1"/>
  <c r="C17" i="4" l="1"/>
  <c r="B18" i="4" s="1"/>
  <c r="E10" i="1"/>
  <c r="D11" i="1"/>
  <c r="E11" i="1" s="1"/>
  <c r="F11" i="1"/>
  <c r="G11" i="1" s="1"/>
  <c r="G10" i="1"/>
  <c r="C18" i="4" l="1"/>
  <c r="B19" i="4" s="1"/>
  <c r="C19" i="4" l="1"/>
  <c r="B20" i="4" s="1"/>
  <c r="C20" i="4" l="1"/>
  <c r="B21" i="4" s="1"/>
  <c r="C21" i="4" l="1"/>
  <c r="B22" i="4" s="1"/>
  <c r="C22" i="4" l="1"/>
  <c r="B23" i="4" s="1"/>
  <c r="C23" i="4" l="1"/>
  <c r="B24" i="4" s="1"/>
  <c r="C24" i="4" l="1"/>
  <c r="B25" i="4" s="1"/>
  <c r="C25" i="4" l="1"/>
  <c r="B26" i="4" s="1"/>
  <c r="C26" i="4" l="1"/>
  <c r="B27" i="4" s="1"/>
  <c r="C27" i="4" l="1"/>
  <c r="B28" i="4" s="1"/>
  <c r="C28" i="4" l="1"/>
  <c r="B29" i="4" s="1"/>
  <c r="C29" i="4" l="1"/>
  <c r="B30" i="4" s="1"/>
  <c r="C30" i="4" l="1"/>
  <c r="B31" i="4" s="1"/>
  <c r="C31" i="4" l="1"/>
  <c r="B32" i="4" s="1"/>
  <c r="C32" i="4" l="1"/>
  <c r="B33" i="4" s="1"/>
  <c r="C33" i="4" l="1"/>
  <c r="B34" i="4" s="1"/>
  <c r="C34" i="4" l="1"/>
  <c r="B35" i="4" s="1"/>
  <c r="C35" i="4" l="1"/>
  <c r="B36" i="4" s="1"/>
  <c r="C36" i="4" l="1"/>
  <c r="B37" i="4" s="1"/>
  <c r="C37" i="4" l="1"/>
  <c r="B38" i="4" s="1"/>
  <c r="C38" i="4" l="1"/>
  <c r="B39" i="4" s="1"/>
  <c r="C39" i="4" l="1"/>
  <c r="B40" i="4" s="1"/>
  <c r="C40" i="4" l="1"/>
  <c r="B41" i="4" s="1"/>
  <c r="C41" i="4" l="1"/>
  <c r="B42" i="4" s="1"/>
  <c r="C42" i="4" l="1"/>
  <c r="B43" i="4" s="1"/>
  <c r="C43" i="4" l="1"/>
  <c r="D43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<sst xmlns="http://schemas.openxmlformats.org/spreadsheetml/2006/main" count="78" uniqueCount="54">
  <si>
    <t>a+(b/x)</t>
  </si>
  <si>
    <t>f1</t>
  </si>
  <si>
    <t>f2</t>
  </si>
  <si>
    <t>d/(x-c)</t>
  </si>
  <si>
    <t>x</t>
  </si>
  <si>
    <t>&gt;=1</t>
  </si>
  <si>
    <t>a</t>
  </si>
  <si>
    <t>b</t>
  </si>
  <si>
    <t>c</t>
  </si>
  <si>
    <t>d</t>
  </si>
  <si>
    <t>f1(x)</t>
  </si>
  <si>
    <t>f2(x)</t>
  </si>
  <si>
    <t>tolerance</t>
  </si>
  <si>
    <t>X0</t>
  </si>
  <si>
    <t>iterations</t>
  </si>
  <si>
    <t>Error</t>
  </si>
  <si>
    <t>X</t>
  </si>
  <si>
    <t>dt</t>
  </si>
  <si>
    <t>dx</t>
  </si>
  <si>
    <t>t_max</t>
  </si>
  <si>
    <t>Time (t)</t>
  </si>
  <si>
    <t>x1</t>
  </si>
  <si>
    <t>x2</t>
  </si>
  <si>
    <t>x3</t>
  </si>
  <si>
    <t>x4</t>
  </si>
  <si>
    <t>log(k1*Pa)</t>
  </si>
  <si>
    <t>-2log(1+kA*Pa+Kb*Pb)</t>
  </si>
  <si>
    <t>P_a</t>
  </si>
  <si>
    <t>P_b</t>
  </si>
  <si>
    <t>r</t>
  </si>
  <si>
    <t>log(r)=</t>
  </si>
  <si>
    <t>k1</t>
  </si>
  <si>
    <t>T</t>
  </si>
  <si>
    <t>y_2</t>
  </si>
  <si>
    <t>Part A</t>
  </si>
  <si>
    <t>A</t>
  </si>
  <si>
    <t>B</t>
  </si>
  <si>
    <t>T(x)</t>
  </si>
  <si>
    <t>Part B</t>
  </si>
  <si>
    <t>ka</t>
  </si>
  <si>
    <t>kb</t>
  </si>
  <si>
    <t>rcalc</t>
  </si>
  <si>
    <t>rdata</t>
  </si>
  <si>
    <t>res</t>
  </si>
  <si>
    <t>res^2</t>
  </si>
  <si>
    <t>sum=</t>
  </si>
  <si>
    <t>tmax=</t>
  </si>
  <si>
    <t>dt=</t>
  </si>
  <si>
    <t>b1=</t>
  </si>
  <si>
    <t>b2=</t>
  </si>
  <si>
    <t>b3=</t>
  </si>
  <si>
    <t>t</t>
  </si>
  <si>
    <t>y1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</si>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</sst>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2"/>
      <color theme="1"/>
      <name val="Aptos Narrow"/>
      <family val="2"/>
      <scheme val="minor"/>
    </font>
    <font>
      <sz val="15"/>
      <color theme="1"/>
      <name val="Times New Roman"/>
      <family val="1"/>
    </font>
    <font>
      <sz val="12"/>
      <color rgb="FF000000"/>
      <name val="Aptos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B72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9DE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11" fontId="0" fillId="0" borderId="0" xfId="0" applyNumberFormat="1"/>
    <xf numFmtId="2" fontId="0" fillId="0" borderId="0" xfId="0" applyNumberFormat="1"/>
    <xf numFmtId="164" fontId="1" fillId="0" borderId="0" xfId="0" applyNumberFormat="1" applyFont="1"/>
    <xf numFmtId="0" fontId="1" fillId="0" borderId="0" xfId="0" applyFont="1"/>
    <xf numFmtId="0" fontId="0" fillId="0" borderId="0" xfId="0" quotePrefix="1"/>
    <xf numFmtId="0" fontId="0" fillId="3" borderId="0" xfId="0" applyFill="1"/>
    <xf numFmtId="11" fontId="0" fillId="4" borderId="0" xfId="0" applyNumberFormat="1" applyFill="1"/>
    <xf numFmtId="0" fontId="0" fillId="4" borderId="0" xfId="0" applyFill="1"/>
    <xf numFmtId="0" fontId="2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4" fillId="0" borderId="0" xfId="0" applyNumberFormat="1" applyFont="1"/>
    <xf numFmtId="2" fontId="4" fillId="0" borderId="0" xfId="0" applyNumberFormat="1" applyFont="1"/>
    <xf numFmtId="0" fontId="6" fillId="0" borderId="0" xfId="0" quotePrefix="1" applyFont="1" applyAlignment="1">
      <alignment horizontal="right"/>
    </xf>
    <xf numFmtId="164" fontId="7" fillId="0" borderId="0" xfId="0" applyNumberFormat="1" applyFont="1"/>
    <xf numFmtId="0" fontId="6" fillId="0" borderId="0" xfId="0" quotePrefix="1" applyFont="1"/>
    <xf numFmtId="2" fontId="7" fillId="0" borderId="0" xfId="0" applyNumberFormat="1" applyFont="1"/>
    <xf numFmtId="2" fontId="6" fillId="0" borderId="0" xfId="0" applyNumberFormat="1" applyFont="1"/>
    <xf numFmtId="164" fontId="7" fillId="0" borderId="0" xfId="0" applyNumberFormat="1" applyFont="1" applyFill="1"/>
    <xf numFmtId="0" fontId="6" fillId="0" borderId="0" xfId="0" quotePrefix="1" applyFont="1" applyFill="1"/>
    <xf numFmtId="0" fontId="6" fillId="0" borderId="0" xfId="0" applyFont="1" applyFill="1"/>
    <xf numFmtId="0" fontId="6" fillId="9" borderId="0" xfId="0" quotePrefix="1" applyFont="1" applyFill="1" applyAlignment="1">
      <alignment horizontal="right"/>
    </xf>
    <xf numFmtId="0" fontId="7" fillId="9" borderId="0" xfId="0" applyFont="1" applyFill="1"/>
    <xf numFmtId="0" fontId="6" fillId="9" borderId="0" xfId="0" applyFont="1" applyFill="1" applyAlignment="1">
      <alignment horizontal="right"/>
    </xf>
    <xf numFmtId="164" fontId="7" fillId="9" borderId="0" xfId="0" applyNumberFormat="1" applyFont="1" applyFill="1"/>
    <xf numFmtId="0" fontId="8" fillId="0" borderId="0" xfId="0" applyFont="1"/>
    <xf numFmtId="164" fontId="8" fillId="0" borderId="0" xfId="0" applyNumberFormat="1" applyFont="1" applyFill="1"/>
    <xf numFmtId="164" fontId="9" fillId="0" borderId="0" xfId="0" applyNumberFormat="1" applyFont="1" applyFill="1"/>
    <xf numFmtId="164" fontId="9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2" fillId="0" borderId="0" xfId="0" applyNumberFormat="1" applyFont="1" applyFill="1"/>
    <xf numFmtId="164" fontId="1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DE4"/>
      <color rgb="FFFB7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1'!$E$1</c:f>
              <c:strCache>
                <c:ptCount val="1"/>
                <c:pt idx="0">
                  <c:v>f1(x)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1'!$D$2:$D$11</c:f>
              <c:numCache>
                <c:formatCode>0.00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'Problem 1'!$E$2:$E$11</c:f>
              <c:numCache>
                <c:formatCode>0.00</c:formatCode>
                <c:ptCount val="10"/>
                <c:pt idx="0">
                  <c:v>14.238</c:v>
                </c:pt>
                <c:pt idx="1">
                  <c:v>12.119</c:v>
                </c:pt>
                <c:pt idx="2">
                  <c:v>11.412666666666667</c:v>
                </c:pt>
                <c:pt idx="3">
                  <c:v>11.0595</c:v>
                </c:pt>
                <c:pt idx="4">
                  <c:v>10.8476</c:v>
                </c:pt>
                <c:pt idx="5">
                  <c:v>10.706333333333333</c:v>
                </c:pt>
                <c:pt idx="6">
                  <c:v>10.605428571428572</c:v>
                </c:pt>
                <c:pt idx="7">
                  <c:v>10.52975</c:v>
                </c:pt>
                <c:pt idx="8">
                  <c:v>10.470888888888888</c:v>
                </c:pt>
                <c:pt idx="9">
                  <c:v>10.4238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93-F349-9263-724A4AF7C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8303"/>
        <c:axId val="922380639"/>
      </c:scatterChart>
      <c:valAx>
        <c:axId val="21469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380639"/>
        <c:crosses val="autoZero"/>
        <c:crossBetween val="midCat"/>
      </c:valAx>
      <c:valAx>
        <c:axId val="92238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1'!$G$1</c:f>
              <c:strCache>
                <c:ptCount val="1"/>
                <c:pt idx="0">
                  <c:v>f2(x)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1'!$F$2:$F$11</c:f>
              <c:numCache>
                <c:formatCode>0.00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'Problem 1'!$G$2:$G$11</c:f>
              <c:numCache>
                <c:formatCode>0.00</c:formatCode>
                <c:ptCount val="10"/>
                <c:pt idx="0">
                  <c:v>44.612266112266113</c:v>
                </c:pt>
                <c:pt idx="1">
                  <c:v>21.874108053007138</c:v>
                </c:pt>
                <c:pt idx="2">
                  <c:v>14.489196488858878</c:v>
                </c:pt>
                <c:pt idx="3">
                  <c:v>10.832155477031803</c:v>
                </c:pt>
                <c:pt idx="4">
                  <c:v>8.6491334139459894</c:v>
                </c:pt>
                <c:pt idx="5">
                  <c:v>7.1984233478698432</c:v>
                </c:pt>
                <c:pt idx="6">
                  <c:v>6.1644642344153979</c:v>
                </c:pt>
                <c:pt idx="7">
                  <c:v>5.3902285857824674</c:v>
                </c:pt>
                <c:pt idx="8">
                  <c:v>4.7887748270475345</c:v>
                </c:pt>
                <c:pt idx="9">
                  <c:v>4.308070668540454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C6-3743-9495-2B3835247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89535"/>
        <c:axId val="1501444576"/>
      </c:scatterChart>
      <c:valAx>
        <c:axId val="56428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44576"/>
        <c:crosses val="autoZero"/>
        <c:crossBetween val="midCat"/>
      </c:valAx>
      <c:valAx>
        <c:axId val="15014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8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2'!$AB$5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'Problem 2'!$AA$6:$AA$26</c:f>
              <c:numCache>
                <c:formatCode>0.000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2'!$AB$6:$AB$26</c:f>
              <c:numCache>
                <c:formatCode>0.000</c:formatCode>
                <c:ptCount val="21"/>
                <c:pt idx="0">
                  <c:v>0</c:v>
                </c:pt>
                <c:pt idx="1">
                  <c:v>0.1542</c:v>
                </c:pt>
                <c:pt idx="2">
                  <c:v>0.29899999999999999</c:v>
                </c:pt>
                <c:pt idx="3">
                  <c:v>0.43269999999999997</c:v>
                </c:pt>
                <c:pt idx="4">
                  <c:v>0.55369999999999997</c:v>
                </c:pt>
                <c:pt idx="5">
                  <c:v>0.65980000000000005</c:v>
                </c:pt>
                <c:pt idx="6">
                  <c:v>0.74919999999999998</c:v>
                </c:pt>
                <c:pt idx="7">
                  <c:v>0.81979999999999997</c:v>
                </c:pt>
                <c:pt idx="8">
                  <c:v>0.87019999999999997</c:v>
                </c:pt>
                <c:pt idx="9">
                  <c:v>0.89910000000000001</c:v>
                </c:pt>
                <c:pt idx="10">
                  <c:v>0.90590000000000004</c:v>
                </c:pt>
                <c:pt idx="11">
                  <c:v>0.89059999999999995</c:v>
                </c:pt>
                <c:pt idx="12">
                  <c:v>0.85389999999999999</c:v>
                </c:pt>
                <c:pt idx="13">
                  <c:v>0.79759999999999998</c:v>
                </c:pt>
                <c:pt idx="14">
                  <c:v>0.72489999999999999</c:v>
                </c:pt>
                <c:pt idx="15">
                  <c:v>0.64119999999999999</c:v>
                </c:pt>
                <c:pt idx="16">
                  <c:v>0.55489999999999995</c:v>
                </c:pt>
                <c:pt idx="17">
                  <c:v>0.47739999999999999</c:v>
                </c:pt>
                <c:pt idx="18">
                  <c:v>0.42259999999999998</c:v>
                </c:pt>
                <c:pt idx="19">
                  <c:v>0.40379999999999999</c:v>
                </c:pt>
                <c:pt idx="20">
                  <c:v>0.43030000000000002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27-8344-8DDF-76A361F3A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382271"/>
        <c:axId val="1612375759"/>
      </c:scatterChart>
      <c:valAx>
        <c:axId val="1423382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75759"/>
        <c:crosses val="autoZero"/>
        <c:crossBetween val="midCat"/>
      </c:valAx>
      <c:valAx>
        <c:axId val="16123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382271"/>
        <c:crosses val="autoZero"/>
        <c:crossBetween val="midCat"/>
      </c:valAx>
      <c:spPr>
        <a:noFill/>
        <a:ln>
          <a:solidFill>
            <a:schemeClr val="accent6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2'!$AD$5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'Problem 2'!$AC$6:$AC$26</c:f>
              <c:numCache>
                <c:formatCode>0.000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2'!$AD$6:$AD$26</c:f>
              <c:numCache>
                <c:formatCode>0.000</c:formatCode>
                <c:ptCount val="21"/>
                <c:pt idx="0">
                  <c:v>0</c:v>
                </c:pt>
                <c:pt idx="1">
                  <c:v>8.5099999999999995E-2</c:v>
                </c:pt>
                <c:pt idx="2">
                  <c:v>0.1653</c:v>
                </c:pt>
                <c:pt idx="3">
                  <c:v>0.24010000000000001</c:v>
                </c:pt>
                <c:pt idx="4">
                  <c:v>0.30919999999999997</c:v>
                </c:pt>
                <c:pt idx="5">
                  <c:v>0.37240000000000001</c:v>
                </c:pt>
                <c:pt idx="6">
                  <c:v>0.42980000000000002</c:v>
                </c:pt>
                <c:pt idx="7">
                  <c:v>0.48170000000000002</c:v>
                </c:pt>
                <c:pt idx="8">
                  <c:v>0.52859999999999996</c:v>
                </c:pt>
                <c:pt idx="9">
                  <c:v>0.57099999999999995</c:v>
                </c:pt>
                <c:pt idx="10">
                  <c:v>0.60980000000000001</c:v>
                </c:pt>
                <c:pt idx="11">
                  <c:v>0.64580000000000004</c:v>
                </c:pt>
                <c:pt idx="12">
                  <c:v>0.68</c:v>
                </c:pt>
                <c:pt idx="13">
                  <c:v>0.71330000000000005</c:v>
                </c:pt>
                <c:pt idx="14">
                  <c:v>0.74670000000000003</c:v>
                </c:pt>
                <c:pt idx="15">
                  <c:v>0.78120000000000001</c:v>
                </c:pt>
                <c:pt idx="16">
                  <c:v>0.8175</c:v>
                </c:pt>
                <c:pt idx="17">
                  <c:v>0.85619999999999996</c:v>
                </c:pt>
                <c:pt idx="18">
                  <c:v>0.89800000000000002</c:v>
                </c:pt>
                <c:pt idx="19">
                  <c:v>0.94289999999999996</c:v>
                </c:pt>
                <c:pt idx="20">
                  <c:v>0.99129999999999996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4-1245-9B28-C4B1D120B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349759"/>
        <c:axId val="1615328479"/>
      </c:scatterChart>
      <c:valAx>
        <c:axId val="161534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28479"/>
        <c:crosses val="autoZero"/>
        <c:crossBetween val="midCat"/>
      </c:valAx>
      <c:valAx>
        <c:axId val="161532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2'!$AF$5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'Problem 2'!$AE$6:$AE$26</c:f>
              <c:numCache>
                <c:formatCode>0.000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2'!$AF$6:$AF$26</c:f>
              <c:numCache>
                <c:formatCode>0.000</c:formatCode>
                <c:ptCount val="21"/>
                <c:pt idx="0">
                  <c:v>0</c:v>
                </c:pt>
                <c:pt idx="1">
                  <c:v>0.11650000000000001</c:v>
                </c:pt>
                <c:pt idx="2">
                  <c:v>0.22739999999999999</c:v>
                </c:pt>
                <c:pt idx="3">
                  <c:v>0.33300000000000002</c:v>
                </c:pt>
                <c:pt idx="4">
                  <c:v>0.43369999999999997</c:v>
                </c:pt>
                <c:pt idx="5">
                  <c:v>0.52959999999999996</c:v>
                </c:pt>
                <c:pt idx="6">
                  <c:v>0.62119999999999997</c:v>
                </c:pt>
                <c:pt idx="7">
                  <c:v>0.70860000000000001</c:v>
                </c:pt>
                <c:pt idx="8">
                  <c:v>0.79210000000000003</c:v>
                </c:pt>
                <c:pt idx="9">
                  <c:v>0.872</c:v>
                </c:pt>
                <c:pt idx="10">
                  <c:v>0.94840000000000002</c:v>
                </c:pt>
                <c:pt idx="11">
                  <c:v>1.0215000000000001</c:v>
                </c:pt>
                <c:pt idx="12">
                  <c:v>1.0915999999999999</c:v>
                </c:pt>
                <c:pt idx="13">
                  <c:v>1.1588000000000001</c:v>
                </c:pt>
                <c:pt idx="14">
                  <c:v>1.2233000000000001</c:v>
                </c:pt>
                <c:pt idx="15">
                  <c:v>1.2850999999999999</c:v>
                </c:pt>
                <c:pt idx="16">
                  <c:v>1.3446</c:v>
                </c:pt>
                <c:pt idx="17">
                  <c:v>1.4017999999999999</c:v>
                </c:pt>
                <c:pt idx="18">
                  <c:v>1.4567000000000001</c:v>
                </c:pt>
                <c:pt idx="19">
                  <c:v>1.5096000000000001</c:v>
                </c:pt>
                <c:pt idx="20">
                  <c:v>1.5606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F3-7B4C-AB51-01A7DF27A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05279"/>
        <c:axId val="1659853439"/>
      </c:scatterChart>
      <c:valAx>
        <c:axId val="1658905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53439"/>
        <c:crosses val="autoZero"/>
        <c:crossBetween val="midCat"/>
      </c:valAx>
      <c:valAx>
        <c:axId val="165985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05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2'!$Z$5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2'!$Y$6:$Y$26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'Problem 2'!$Z$6:$Z$26</c:f>
              <c:numCache>
                <c:formatCode>General</c:formatCode>
                <c:ptCount val="21"/>
                <c:pt idx="0">
                  <c:v>0</c:v>
                </c:pt>
                <c:pt idx="1">
                  <c:v>0.15640000000000001</c:v>
                </c:pt>
                <c:pt idx="2">
                  <c:v>0.309</c:v>
                </c:pt>
                <c:pt idx="3">
                  <c:v>0.45400000000000001</c:v>
                </c:pt>
                <c:pt idx="4">
                  <c:v>0.58779999999999999</c:v>
                </c:pt>
                <c:pt idx="5">
                  <c:v>0.70709999999999995</c:v>
                </c:pt>
                <c:pt idx="6">
                  <c:v>0.80900000000000005</c:v>
                </c:pt>
                <c:pt idx="7">
                  <c:v>0.89100000000000001</c:v>
                </c:pt>
                <c:pt idx="8">
                  <c:v>0.95109999999999995</c:v>
                </c:pt>
                <c:pt idx="9">
                  <c:v>0.98770000000000002</c:v>
                </c:pt>
                <c:pt idx="10">
                  <c:v>1</c:v>
                </c:pt>
                <c:pt idx="11">
                  <c:v>0.98770000000000002</c:v>
                </c:pt>
                <c:pt idx="12">
                  <c:v>0.95109999999999995</c:v>
                </c:pt>
                <c:pt idx="13">
                  <c:v>0.89100000000000001</c:v>
                </c:pt>
                <c:pt idx="14">
                  <c:v>0.80900000000000005</c:v>
                </c:pt>
                <c:pt idx="15">
                  <c:v>0.70709999999999995</c:v>
                </c:pt>
                <c:pt idx="16">
                  <c:v>0.58779999999999999</c:v>
                </c:pt>
                <c:pt idx="17">
                  <c:v>0.45400000000000001</c:v>
                </c:pt>
                <c:pt idx="18">
                  <c:v>0.309</c:v>
                </c:pt>
                <c:pt idx="19">
                  <c:v>0.15640000000000001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5B-4540-AF82-6C2108F0D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908399"/>
        <c:axId val="591083024"/>
      </c:scatterChart>
      <c:valAx>
        <c:axId val="129790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83024"/>
        <c:crosses val="autoZero"/>
        <c:crossBetween val="midCat"/>
      </c:valAx>
      <c:valAx>
        <c:axId val="5910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908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'Problem 3'!$B$8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'Problem 3'!$A$9:$A$209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cat>
          <c:val>
            <c:numRef>
              <c:f>'Problem 3'!$B$9:$B$209</c:f>
              <c:numCache>
                <c:formatCode>0.000</c:formatCode>
                <c:ptCount val="201"/>
                <c:pt idx="0">
                  <c:v>0.03</c:v>
                </c:pt>
                <c:pt idx="1">
                  <c:v>3.1902287234042551E-2</c:v>
                </c:pt>
                <c:pt idx="2">
                  <c:v>3.3920968948441488E-2</c:v>
                </c:pt>
                <c:pt idx="3">
                  <c:v>3.606261538817794E-2</c:v>
                </c:pt>
                <c:pt idx="4">
                  <c:v>3.8334095897193346E-2</c:v>
                </c:pt>
                <c:pt idx="5">
                  <c:v>4.0742582965171512E-2</c:v>
                </c:pt>
                <c:pt idx="6">
                  <c:v>4.3295554858574142E-2</c:v>
                </c:pt>
                <c:pt idx="7">
                  <c:v>4.600079659317402E-2</c:v>
                </c:pt>
                <c:pt idx="8">
                  <c:v>4.886639898246093E-2</c:v>
                </c:pt>
                <c:pt idx="9">
                  <c:v>5.1900755473053499E-2</c:v>
                </c:pt>
                <c:pt idx="10">
                  <c:v>5.5112556455024539E-2</c:v>
                </c:pt>
                <c:pt idx="11">
                  <c:v>5.8510780712323282E-2</c:v>
                </c:pt>
                <c:pt idx="12">
                  <c:v>6.2104683656851151E-2</c:v>
                </c:pt>
                <c:pt idx="13">
                  <c:v>6.5903781969934794E-2</c:v>
                </c:pt>
                <c:pt idx="14">
                  <c:v>6.9917834257789871E-2</c:v>
                </c:pt>
                <c:pt idx="15">
                  <c:v>7.4156817314070714E-2</c:v>
                </c:pt>
                <c:pt idx="16">
                  <c:v>7.8630897573890232E-2</c:v>
                </c:pt>
                <c:pt idx="17">
                  <c:v>8.3350397341054983E-2</c:v>
                </c:pt>
                <c:pt idx="18">
                  <c:v>8.8325755375119913E-2</c:v>
                </c:pt>
                <c:pt idx="19">
                  <c:v>9.3567481438786695E-2</c:v>
                </c:pt>
                <c:pt idx="20">
                  <c:v>9.9086104430821637E-2</c:v>
                </c:pt>
                <c:pt idx="21">
                  <c:v>0.10489211376680795</c:v>
                </c:pt>
                <c:pt idx="22">
                  <c:v>0.11099589372146396</c:v>
                </c:pt>
                <c:pt idx="23">
                  <c:v>0.11740765051372172</c:v>
                </c:pt>
                <c:pt idx="24">
                  <c:v>0.12413733200094021</c:v>
                </c:pt>
                <c:pt idx="25">
                  <c:v>0.13119453995300348</c:v>
                </c:pt>
                <c:pt idx="26">
                  <c:v>0.13858843500180504</c:v>
                </c:pt>
                <c:pt idx="27">
                  <c:v>0.14632763450749312</c:v>
                </c:pt>
                <c:pt idx="28">
                  <c:v>0.1544201037500248</c:v>
                </c:pt>
                <c:pt idx="29">
                  <c:v>0.16287304104250033</c:v>
                </c:pt>
                <c:pt idx="30">
                  <c:v>0.17169275756998911</c:v>
                </c:pt>
                <c:pt idx="31">
                  <c:v>0.18088455298164238</c:v>
                </c:pt>
                <c:pt idx="32">
                  <c:v>0.19045258800116055</c:v>
                </c:pt>
                <c:pt idx="33">
                  <c:v>0.20039975556619374</c:v>
                </c:pt>
                <c:pt idx="34">
                  <c:v>0.21072755225468384</c:v>
                </c:pt>
                <c:pt idx="35">
                  <c:v>0.22143595199780083</c:v>
                </c:pt>
                <c:pt idx="36">
                  <c:v>0.2325232843059602</c:v>
                </c:pt>
                <c:pt idx="37">
                  <c:v>0.24398611943623444</c:v>
                </c:pt>
                <c:pt idx="38">
                  <c:v>0.25581916309518049</c:v>
                </c:pt>
                <c:pt idx="39">
                  <c:v>0.26801516338904241</c:v>
                </c:pt>
                <c:pt idx="40">
                  <c:v>0.2805648327917451</c:v>
                </c:pt>
                <c:pt idx="41">
                  <c:v>0.29345678788889734</c:v>
                </c:pt>
                <c:pt idx="42">
                  <c:v>0.30667750956322276</c:v>
                </c:pt>
                <c:pt idx="43">
                  <c:v>0.32021132610545483</c:v>
                </c:pt>
                <c:pt idx="44">
                  <c:v>0.33404042145952489</c:v>
                </c:pt>
                <c:pt idx="45">
                  <c:v>0.34814487044005982</c:v>
                </c:pt>
                <c:pt idx="46">
                  <c:v>0.36250270229611881</c:v>
                </c:pt>
                <c:pt idx="47">
                  <c:v>0.37708999344463667</c:v>
                </c:pt>
                <c:pt idx="48">
                  <c:v>0.39188098957193807</c:v>
                </c:pt>
                <c:pt idx="49">
                  <c:v>0.40684825661846785</c:v>
                </c:pt>
                <c:pt idx="50">
                  <c:v>0.42196285944151646</c:v>
                </c:pt>
                <c:pt idx="51">
                  <c:v>0.43719456621791664</c:v>
                </c:pt>
                <c:pt idx="52">
                  <c:v>0.45251207593088599</c:v>
                </c:pt>
                <c:pt idx="53">
                  <c:v>0.46788326561122623</c:v>
                </c:pt>
                <c:pt idx="54">
                  <c:v>0.48327545340168054</c:v>
                </c:pt>
                <c:pt idx="55">
                  <c:v>0.49865567301133179</c:v>
                </c:pt>
                <c:pt idx="56">
                  <c:v>0.51399095474801215</c:v>
                </c:pt>
                <c:pt idx="57">
                  <c:v>0.52924860807936691</c:v>
                </c:pt>
                <c:pt idx="58">
                  <c:v>0.54439650058985956</c:v>
                </c:pt>
                <c:pt idx="59">
                  <c:v>0.55940332827693284</c:v>
                </c:pt>
                <c:pt idx="60">
                  <c:v>0.57423887236256255</c:v>
                </c:pt>
                <c:pt idx="61">
                  <c:v>0.58887423817692641</c:v>
                </c:pt>
                <c:pt idx="62">
                  <c:v>0.60328207218236207</c:v>
                </c:pt>
                <c:pt idx="63">
                  <c:v>0.61743675382584906</c:v>
                </c:pt>
                <c:pt idx="64">
                  <c:v>0.63131455961009897</c:v>
                </c:pt>
                <c:pt idx="65">
                  <c:v>0.64489379752731801</c:v>
                </c:pt>
                <c:pt idx="66">
                  <c:v>0.65815491077509891</c:v>
                </c:pt>
                <c:pt idx="67">
                  <c:v>0.67108055044063564</c:v>
                </c:pt>
                <c:pt idx="68">
                  <c:v>0.68365561756974114</c:v>
                </c:pt>
                <c:pt idx="69">
                  <c:v>0.69586727570676077</c:v>
                </c:pt>
                <c:pt idx="70">
                  <c:v>0.70770493558079783</c:v>
                </c:pt>
                <c:pt idx="71">
                  <c:v>0.71916021410828146</c:v>
                </c:pt>
                <c:pt idx="72">
                  <c:v>0.73022687027286792</c:v>
                </c:pt>
                <c:pt idx="73">
                  <c:v>0.74090072072735003</c:v>
                </c:pt>
                <c:pt idx="74">
                  <c:v>0.75117953813997329</c:v>
                </c:pt>
                <c:pt idx="75">
                  <c:v>0.76106293538487346</c:v>
                </c:pt>
                <c:pt idx="76">
                  <c:v>0.77055223866227429</c:v>
                </c:pt>
                <c:pt idx="77">
                  <c:v>0.77965035254014525</c:v>
                </c:pt>
                <c:pt idx="78">
                  <c:v>0.78836161974839047</c:v>
                </c:pt>
                <c:pt idx="79">
                  <c:v>0.79669167834324406</c:v>
                </c:pt>
                <c:pt idx="80">
                  <c:v>0.80464731860732219</c:v>
                </c:pt>
                <c:pt idx="81">
                  <c:v>0.81223634177301884</c:v>
                </c:pt>
                <c:pt idx="82">
                  <c:v>0.81946742236580961</c:v>
                </c:pt>
                <c:pt idx="83">
                  <c:v>0.82634997567025348</c:v>
                </c:pt>
                <c:pt idx="84">
                  <c:v>0.83289403153409125</c:v>
                </c:pt>
                <c:pt idx="85">
                  <c:v>0.83911011545211167</c:v>
                </c:pt>
                <c:pt idx="86">
                  <c:v>0.84500913761694763</c:v>
                </c:pt>
                <c:pt idx="87">
                  <c:v>0.85060229039258428</c:v>
                </c:pt>
                <c:pt idx="88">
                  <c:v>0.85590095446055092</c:v>
                </c:pt>
                <c:pt idx="89">
                  <c:v>0.86091661370969086</c:v>
                </c:pt>
                <c:pt idx="90">
                  <c:v>0.86566077878813397</c:v>
                </c:pt>
                <c:pt idx="91">
                  <c:v>0.87014491910987257</c:v>
                </c:pt>
                <c:pt idx="92">
                  <c:v>0.87438040300672493</c:v>
                </c:pt>
                <c:pt idx="93">
                  <c:v>0.87837844563757572</c:v>
                </c:pt>
                <c:pt idx="94">
                  <c:v>0.88215006420840636</c:v>
                </c:pt>
                <c:pt idx="95">
                  <c:v>0.88570604001641906</c:v>
                </c:pt>
                <c:pt idx="96">
                  <c:v>0.8890568868071087</c:v>
                </c:pt>
                <c:pt idx="97">
                  <c:v>0.89221282492208687</c:v>
                </c:pt>
                <c:pt idx="98">
                  <c:v>0.89518376071556649</c:v>
                </c:pt>
                <c:pt idx="99">
                  <c:v>0.89797927072658434</c:v>
                </c:pt>
                <c:pt idx="100">
                  <c:v>0.90060859011036765</c:v>
                </c:pt>
                <c:pt idx="101">
                  <c:v>0.90308060485405606</c:v>
                </c:pt>
                <c:pt idx="102">
                  <c:v>0.90540384732778001</c:v>
                </c:pt>
                <c:pt idx="103">
                  <c:v>0.9075864947506066</c:v>
                </c:pt>
                <c:pt idx="104">
                  <c:v>0.90963637018100874</c:v>
                </c:pt>
                <c:pt idx="105">
                  <c:v>0.91156094567241441</c:v>
                </c:pt>
                <c:pt idx="106">
                  <c:v>0.91336734726531421</c:v>
                </c:pt>
                <c:pt idx="107">
                  <c:v>0.91506236151778142</c:v>
                </c:pt>
                <c:pt idx="108">
                  <c:v>0.91665244330564755</c:v>
                </c:pt>
                <c:pt idx="109">
                  <c:v>0.91814372465164307</c:v>
                </c:pt>
                <c:pt idx="110">
                  <c:v>0.91954202436932986</c:v>
                </c:pt>
                <c:pt idx="111">
                  <c:v>0.92085285833246611</c:v>
                </c:pt>
                <c:pt idx="112">
                  <c:v>0.92208145020346677</c:v>
                </c:pt>
                <c:pt idx="113">
                  <c:v>0.92323274247582465</c:v>
                </c:pt>
                <c:pt idx="114">
                  <c:v>0.92431140770474352</c:v>
                </c:pt>
                <c:pt idx="115">
                  <c:v>0.92532185981785142</c:v>
                </c:pt>
                <c:pt idx="116">
                  <c:v>0.92626826541377361</c:v>
                </c:pt>
                <c:pt idx="117">
                  <c:v>0.92715455497063326</c:v>
                </c:pt>
                <c:pt idx="118">
                  <c:v>0.92798443389931295</c:v>
                </c:pt>
                <c:pt idx="119">
                  <c:v>0.9287613933876514</c:v>
                </c:pt>
                <c:pt idx="120">
                  <c:v>0.9294887209917736</c:v>
                </c:pt>
                <c:pt idx="121">
                  <c:v>0.93016951093956934</c:v>
                </c:pt>
                <c:pt idx="122">
                  <c:v>0.93080667411904516</c:v>
                </c:pt>
                <c:pt idx="123">
                  <c:v>0.93140294773098242</c:v>
                </c:pt>
                <c:pt idx="124">
                  <c:v>0.93196090459113989</c:v>
                </c:pt>
                <c:pt idx="125">
                  <c:v>0.93248296207222658</c:v>
                </c:pt>
                <c:pt idx="126">
                  <c:v>0.93297139068013601</c:v>
                </c:pt>
                <c:pt idx="127">
                  <c:v>0.93342832226254713</c:v>
                </c:pt>
                <c:pt idx="128">
                  <c:v>0.93385575785103891</c:v>
                </c:pt>
                <c:pt idx="129">
                  <c:v>0.93425557514040347</c:v>
                </c:pt>
                <c:pt idx="130">
                  <c:v>0.93462953561092899</c:v>
                </c:pt>
                <c:pt idx="131">
                  <c:v>0.93497929130112811</c:v>
                </c:pt>
                <c:pt idx="132">
                  <c:v>0.93530639123974735</c:v>
                </c:pt>
                <c:pt idx="133">
                  <c:v>0.93561228754695958</c:v>
                </c:pt>
                <c:pt idx="134">
                  <c:v>0.93589834121545568</c:v>
                </c:pt>
                <c:pt idx="135">
                  <c:v>0.93616582758274391</c:v>
                </c:pt>
                <c:pt idx="136">
                  <c:v>0.93641594150637508</c:v>
                </c:pt>
                <c:pt idx="137">
                  <c:v>0.93664980225405725</c:v>
                </c:pt>
                <c:pt idx="138">
                  <c:v>0.93686845812074271</c:v>
                </c:pt>
                <c:pt idx="139">
                  <c:v>0.93707289078476763</c:v>
                </c:pt>
                <c:pt idx="140">
                  <c:v>0.93726401941503823</c:v>
                </c:pt>
                <c:pt idx="141">
                  <c:v>0.93744270454108791</c:v>
                </c:pt>
                <c:pt idx="142">
                  <c:v>0.93760975169759964</c:v>
                </c:pt>
                <c:pt idx="143">
                  <c:v>0.93776591485471006</c:v>
                </c:pt>
                <c:pt idx="144">
                  <c:v>0.93791189964509192</c:v>
                </c:pt>
                <c:pt idx="145">
                  <c:v>0.93804836639846334</c:v>
                </c:pt>
                <c:pt idx="146">
                  <c:v>0.93817593299380198</c:v>
                </c:pt>
                <c:pt idx="147">
                  <c:v>0.93829517753915581</c:v>
                </c:pt>
                <c:pt idx="148">
                  <c:v>0.93840664088854819</c:v>
                </c:pt>
                <c:pt idx="149">
                  <c:v>0.93851082900507343</c:v>
                </c:pt>
                <c:pt idx="150">
                  <c:v>0.93860821517887782</c:v>
                </c:pt>
                <c:pt idx="151">
                  <c:v>0.93869924210832434</c:v>
                </c:pt>
                <c:pt idx="152">
                  <c:v>0.93878432385224342</c:v>
                </c:pt>
                <c:pt idx="153">
                  <c:v>0.9388638476607869</c:v>
                </c:pt>
                <c:pt idx="154">
                  <c:v>0.93893817569202664</c:v>
                </c:pt>
                <c:pt idx="155">
                  <c:v>0.93900764662106972</c:v>
                </c:pt>
                <c:pt idx="156">
                  <c:v>0.93907257714811043</c:v>
                </c:pt>
                <c:pt idx="157">
                  <c:v>0.93913326341149317</c:v>
                </c:pt>
                <c:pt idx="158">
                  <c:v>0.93918998231153339</c:v>
                </c:pt>
                <c:pt idx="159">
                  <c:v>0.93924299275052481</c:v>
                </c:pt>
                <c:pt idx="160">
                  <c:v>0.93929253679405855</c:v>
                </c:pt>
                <c:pt idx="161">
                  <c:v>0.93933884075848995</c:v>
                </c:pt>
                <c:pt idx="162">
                  <c:v>0.93938211622911094</c:v>
                </c:pt>
                <c:pt idx="163">
                  <c:v>0.93942256101332411</c:v>
                </c:pt>
                <c:pt idx="164">
                  <c:v>0.93946036003286226</c:v>
                </c:pt>
                <c:pt idx="165">
                  <c:v>0.93949568615885892</c:v>
                </c:pt>
                <c:pt idx="166">
                  <c:v>0.93952870099335206</c:v>
                </c:pt>
                <c:pt idx="167">
                  <c:v>0.93955955560058502</c:v>
                </c:pt>
                <c:pt idx="168">
                  <c:v>0.93958839119127002</c:v>
                </c:pt>
                <c:pt idx="169">
                  <c:v>0.93961533976278577</c:v>
                </c:pt>
                <c:pt idx="170">
                  <c:v>0.93964052469810078</c:v>
                </c:pt>
                <c:pt idx="171">
                  <c:v>0.93966406132604186</c:v>
                </c:pt>
                <c:pt idx="172">
                  <c:v>0.93968605744536815</c:v>
                </c:pt>
                <c:pt idx="173">
                  <c:v>0.9397066138149569</c:v>
                </c:pt>
                <c:pt idx="174">
                  <c:v>0.93972582461226639</c:v>
                </c:pt>
                <c:pt idx="175">
                  <c:v>0.93974377786210406</c:v>
                </c:pt>
                <c:pt idx="176">
                  <c:v>0.93976055583760343</c:v>
                </c:pt>
                <c:pt idx="177">
                  <c:v>0.93977623543519284</c:v>
                </c:pt>
                <c:pt idx="178">
                  <c:v>0.93979088852522707</c:v>
                </c:pt>
                <c:pt idx="179">
                  <c:v>0.93980458227984764</c:v>
                </c:pt>
                <c:pt idx="180">
                  <c:v>0.93981737947953936</c:v>
                </c:pt>
                <c:pt idx="181">
                  <c:v>0.93982933879975539</c:v>
                </c:pt>
                <c:pt idx="182">
                  <c:v>0.93984051507889954</c:v>
                </c:pt>
                <c:pt idx="183">
                  <c:v>0.93985095956886855</c:v>
                </c:pt>
                <c:pt idx="184">
                  <c:v>0.93986072016928346</c:v>
                </c:pt>
                <c:pt idx="185">
                  <c:v>0.93986984164646548</c:v>
                </c:pt>
                <c:pt idx="186">
                  <c:v>0.93987836583814499</c:v>
                </c:pt>
                <c:pt idx="187">
                  <c:v>0.93988633184482739</c:v>
                </c:pt>
                <c:pt idx="188">
                  <c:v>0.93989377620868331</c:v>
                </c:pt>
                <c:pt idx="189">
                  <c:v>0.93990073308077104</c:v>
                </c:pt>
                <c:pt idx="190">
                  <c:v>0.93990723437735091</c:v>
                </c:pt>
                <c:pt idx="191">
                  <c:v>0.93991330992599864</c:v>
                </c:pt>
                <c:pt idx="192">
                  <c:v>0.9399189876021824</c:v>
                </c:pt>
                <c:pt idx="193">
                  <c:v>0.93992429345692341</c:v>
                </c:pt>
                <c:pt idx="194">
                  <c:v>0.93992925183612042</c:v>
                </c:pt>
                <c:pt idx="195">
                  <c:v>0.93993388549208079</c:v>
                </c:pt>
                <c:pt idx="196">
                  <c:v>0.93993821568776559</c:v>
                </c:pt>
                <c:pt idx="197">
                  <c:v>0.93994226229422417</c:v>
                </c:pt>
                <c:pt idx="198">
                  <c:v>0.93994604388166147</c:v>
                </c:pt>
                <c:pt idx="199">
                  <c:v>0.93994957780455335</c:v>
                </c:pt>
                <c:pt idx="200">
                  <c:v>0.93995288028119861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0-2F4B-BC5E-CC92A0542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2313279"/>
        <c:axId val="591314800"/>
      </c:lineChart>
      <c:catAx>
        <c:axId val="150231327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14800"/>
        <c:crosses val="autoZero"/>
        <c:auto val="1"/>
        <c:lblAlgn val="ctr"/>
        <c:lblOffset val="100"/>
        <c:noMultiLvlLbl val="0"/>
      </c:catAx>
      <c:valAx>
        <c:axId val="59131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31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3'!$F$7:$F$8</c:f>
              <c:strCache>
                <c:ptCount val="2"/>
                <c:pt idx="0">
                  <c:v>Part B</c:v>
                </c:pt>
                <c:pt idx="1">
                  <c:v>y1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 3'!$E$9:$E$209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3'!$F$9:$F$209</c:f>
              <c:numCache>
                <c:formatCode>0.000</c:formatCode>
                <c:ptCount val="201"/>
                <c:pt idx="0">
                  <c:v>0.03</c:v>
                </c:pt>
                <c:pt idx="1">
                  <c:v>3.1960484474220743E-2</c:v>
                </c:pt>
                <c:pt idx="2">
                  <c:v>3.4044301251944555E-2</c:v>
                </c:pt>
                <c:pt idx="3">
                  <c:v>3.625856703645837E-2</c:v>
                </c:pt>
                <c:pt idx="4">
                  <c:v>3.8610723352005917E-2</c:v>
                </c:pt>
                <c:pt idx="5">
                  <c:v>4.1108539613097711E-2</c:v>
                </c:pt>
                <c:pt idx="6">
                  <c:v>4.3760114342380488E-2</c:v>
                </c:pt>
                <c:pt idx="7">
                  <c:v>4.6573874232801557E-2</c:v>
                </c:pt>
                <c:pt idx="8">
                  <c:v>4.9558570723074589E-2</c:v>
                </c:pt>
                <c:pt idx="9">
                  <c:v>5.272327372894766E-2</c:v>
                </c:pt>
                <c:pt idx="10">
                  <c:v>5.6077362147128454E-2</c:v>
                </c:pt>
                <c:pt idx="11">
                  <c:v>5.9630510724712413E-2</c:v>
                </c:pt>
                <c:pt idx="12">
                  <c:v>6.3392672865517613E-2</c:v>
                </c:pt>
                <c:pt idx="13">
                  <c:v>6.7374058926950559E-2</c:v>
                </c:pt>
                <c:pt idx="14">
                  <c:v>7.1585109548177761E-2</c:v>
                </c:pt>
                <c:pt idx="15">
                  <c:v>7.6036463543903712E-2</c:v>
                </c:pt>
                <c:pt idx="16">
                  <c:v>8.0738919899572978E-2</c:v>
                </c:pt>
                <c:pt idx="17">
                  <c:v>8.5703393415100512E-2</c:v>
                </c:pt>
                <c:pt idx="18">
                  <c:v>9.094086356720528E-2</c:v>
                </c:pt>
                <c:pt idx="19">
                  <c:v>9.6462316197093792E-2</c:v>
                </c:pt>
                <c:pt idx="20">
                  <c:v>0.10227867768267788</c:v>
                </c:pt>
                <c:pt idx="21">
                  <c:v>0.10840074132476044</c:v>
                </c:pt>
                <c:pt idx="22">
                  <c:v>0.11483908576661706</c:v>
                </c:pt>
                <c:pt idx="23">
                  <c:v>0.12160398537785522</c:v>
                </c:pt>
                <c:pt idx="24">
                  <c:v>0.12870531266770335</c:v>
                </c:pt>
                <c:pt idx="25">
                  <c:v>0.13615243295082743</c:v>
                </c:pt>
                <c:pt idx="26">
                  <c:v>0.14395409167057063</c:v>
                </c:pt>
                <c:pt idx="27">
                  <c:v>0.15211829498949175</c:v>
                </c:pt>
                <c:pt idx="28">
                  <c:v>0.16065218448352789</c:v>
                </c:pt>
                <c:pt idx="29">
                  <c:v>0.16956190702110113</c:v>
                </c:pt>
                <c:pt idx="30">
                  <c:v>0.17885248116773211</c:v>
                </c:pt>
                <c:pt idx="31">
                  <c:v>0.18852766172442731</c:v>
                </c:pt>
                <c:pt idx="32">
                  <c:v>0.19858980427693199</c:v>
                </c:pt>
                <c:pt idx="33">
                  <c:v>0.20903973189400488</c:v>
                </c:pt>
                <c:pt idx="34">
                  <c:v>0.21987660635585216</c:v>
                </c:pt>
                <c:pt idx="35">
                  <c:v>0.23109780650722139</c:v>
                </c:pt>
                <c:pt idx="36">
                  <c:v>0.24269881650098274</c:v>
                </c:pt>
                <c:pt idx="37">
                  <c:v>0.25467312681449739</c:v>
                </c:pt>
                <c:pt idx="38">
                  <c:v>0.26701215097006675</c:v>
                </c:pt>
                <c:pt idx="39">
                  <c:v>0.27970516086055663</c:v>
                </c:pt>
                <c:pt idx="40">
                  <c:v>0.29273924346188412</c:v>
                </c:pt>
                <c:pt idx="41">
                  <c:v>0.30609928149797239</c:v>
                </c:pt>
                <c:pt idx="42">
                  <c:v>0.31976796030690807</c:v>
                </c:pt>
                <c:pt idx="43">
                  <c:v>0.33372580273937946</c:v>
                </c:pt>
                <c:pt idx="44">
                  <c:v>0.34795123340672018</c:v>
                </c:pt>
                <c:pt idx="45">
                  <c:v>0.36242067299580039</c:v>
                </c:pt>
                <c:pt idx="46">
                  <c:v>0.37710866269649762</c:v>
                </c:pt>
                <c:pt idx="47">
                  <c:v>0.39198801806434591</c:v>
                </c:pt>
                <c:pt idx="48">
                  <c:v>0.4070300108902799</c:v>
                </c:pt>
                <c:pt idx="49">
                  <c:v>0.42220457689854296</c:v>
                </c:pt>
                <c:pt idx="50">
                  <c:v>0.43748054637220285</c:v>
                </c:pt>
                <c:pt idx="51">
                  <c:v>0.45282589414318247</c:v>
                </c:pt>
                <c:pt idx="52">
                  <c:v>0.46820800480890185</c:v>
                </c:pt>
                <c:pt idx="53">
                  <c:v>0.48359394857625254</c:v>
                </c:pt>
                <c:pt idx="54">
                  <c:v>0.4989507628068508</c:v>
                </c:pt>
                <c:pt idx="55">
                  <c:v>0.51424573416060471</c:v>
                </c:pt>
                <c:pt idx="56">
                  <c:v>0.52944667621593844</c:v>
                </c:pt>
                <c:pt idx="57">
                  <c:v>0.54452219758543607</c:v>
                </c:pt>
                <c:pt idx="58">
                  <c:v>0.55944195583855849</c:v>
                </c:pt>
                <c:pt idx="59">
                  <c:v>0.57417689297474339</c:v>
                </c:pt>
                <c:pt idx="60">
                  <c:v>0.58869944874071412</c:v>
                </c:pt>
                <c:pt idx="61">
                  <c:v>0.60298374873042904</c:v>
                </c:pt>
                <c:pt idx="62">
                  <c:v>0.61700576491667636</c:v>
                </c:pt>
                <c:pt idx="63">
                  <c:v>0.63074344701013407</c:v>
                </c:pt>
                <c:pt idx="64">
                  <c:v>0.64417682379510488</c:v>
                </c:pt>
                <c:pt idx="65">
                  <c:v>0.65728807432312075</c:v>
                </c:pt>
                <c:pt idx="66">
                  <c:v>0.67006156953123008</c:v>
                </c:pt>
                <c:pt idx="67">
                  <c:v>0.68248388547015426</c:v>
                </c:pt>
                <c:pt idx="68">
                  <c:v>0.69454378986253562</c:v>
                </c:pt>
                <c:pt idx="69">
                  <c:v>0.70623220415222276</c:v>
                </c:pt>
                <c:pt idx="70">
                  <c:v>0.71754214354609636</c:v>
                </c:pt>
                <c:pt idx="71">
                  <c:v>0.72846863778927984</c:v>
                </c:pt>
                <c:pt idx="72">
                  <c:v>0.73900863555591945</c:v>
                </c:pt>
                <c:pt idx="73">
                  <c:v>0.74916089538782449</c:v>
                </c:pt>
                <c:pt idx="74">
                  <c:v>0.75892586608162993</c:v>
                </c:pt>
                <c:pt idx="75">
                  <c:v>0.76830555932317923</c:v>
                </c:pt>
                <c:pt idx="76">
                  <c:v>0.7773034172080151</c:v>
                </c:pt>
                <c:pt idx="77">
                  <c:v>0.78592417708204632</c:v>
                </c:pt>
                <c:pt idx="78">
                  <c:v>0.79417373589919571</c:v>
                </c:pt>
                <c:pt idx="79">
                  <c:v>0.80205901603490781</c:v>
                </c:pt>
                <c:pt idx="80">
                  <c:v>0.80958783422644098</c:v>
                </c:pt>
                <c:pt idx="81">
                  <c:v>0.81676877504211798</c:v>
                </c:pt>
                <c:pt idx="82">
                  <c:v>0.82361107001986622</c:v>
                </c:pt>
                <c:pt idx="83">
                  <c:v>0.83012448336659328</c:v>
                </c:pt>
                <c:pt idx="84">
                  <c:v>0.83631920487884126</c:v>
                </c:pt>
                <c:pt idx="85">
                  <c:v>0.84220575053498603</c:v>
                </c:pt>
                <c:pt idx="86">
                  <c:v>0.84779487102195983</c:v>
                </c:pt>
                <c:pt idx="87">
                  <c:v>0.85309746829598143</c:v>
                </c:pt>
                <c:pt idx="88">
                  <c:v>0.85812452013707385</c:v>
                </c:pt>
                <c:pt idx="89">
                  <c:v>0.86288701254051814</c:v>
                </c:pt>
                <c:pt idx="90">
                  <c:v>0.86739587969357757</c:v>
                </c:pt>
                <c:pt idx="91">
                  <c:v>0.87166195121118117</c:v>
                </c:pt>
                <c:pt idx="92">
                  <c:v>0.87569590624788596</c:v>
                </c:pt>
                <c:pt idx="93">
                  <c:v>0.87950823406331391</c:v>
                </c:pt>
                <c:pt idx="94">
                  <c:v>0.88310920059231335</c:v>
                </c:pt>
                <c:pt idx="95">
                  <c:v>0.88650882055729163</c:v>
                </c:pt>
                <c:pt idx="96">
                  <c:v>0.88971683465656426</c:v>
                </c:pt>
                <c:pt idx="97">
                  <c:v>0.89274269136735185</c:v>
                </c:pt>
                <c:pt idx="98">
                  <c:v>0.89559553291357397</c:v>
                </c:pt>
                <c:pt idx="99">
                  <c:v>0.89828418496535811</c:v>
                </c:pt>
                <c:pt idx="100">
                  <c:v>0.90081714965788406</c:v>
                </c:pt>
                <c:pt idx="101">
                  <c:v>0.90320260154069476</c:v>
                </c:pt>
                <c:pt idx="102">
                  <c:v>0.90544838609395106</c:v>
                </c:pt>
                <c:pt idx="103">
                  <c:v>0.90756202047447787</c:v>
                </c:pt>
                <c:pt idx="104">
                  <c:v>0.90955069618117923</c:v>
                </c:pt>
                <c:pt idx="105">
                  <c:v>0.91142128335594652</c:v>
                </c:pt>
                <c:pt idx="106">
                  <c:v>0.91318033646212704</c:v>
                </c:pt>
                <c:pt idx="107">
                  <c:v>0.91483410110762875</c:v>
                </c:pt>
                <c:pt idx="108">
                  <c:v>0.91638852180357755</c:v>
                </c:pt>
                <c:pt idx="109">
                  <c:v>0.91784925047194055</c:v>
                </c:pt>
                <c:pt idx="110">
                  <c:v>0.91922165553658375</c:v>
                </c:pt>
                <c:pt idx="111">
                  <c:v>0.92051083145177992</c:v>
                </c:pt>
                <c:pt idx="112">
                  <c:v>0.92172160854020613</c:v>
                </c:pt>
                <c:pt idx="113">
                  <c:v>0.92285856302898883</c:v>
                </c:pt>
                <c:pt idx="114">
                  <c:v>0.92392602718739514</c:v>
                </c:pt>
                <c:pt idx="115">
                  <c:v>0.92492809948339805</c:v>
                </c:pt>
                <c:pt idx="116">
                  <c:v>0.92586865468862611</c:v>
                </c:pt>
                <c:pt idx="117">
                  <c:v>0.92675135387221619</c:v>
                </c:pt>
                <c:pt idx="118">
                  <c:v>0.92757965423391908</c:v>
                </c:pt>
                <c:pt idx="119">
                  <c:v>0.92835681873553222</c:v>
                </c:pt>
                <c:pt idx="120">
                  <c:v>0.92908592549744828</c:v>
                </c:pt>
                <c:pt idx="121">
                  <c:v>0.92976987693389468</c:v>
                </c:pt>
                <c:pt idx="122">
                  <c:v>0.93041140860637972</c:v>
                </c:pt>
                <c:pt idx="123">
                  <c:v>0.93101309778003349</c:v>
                </c:pt>
                <c:pt idx="124">
                  <c:v>0.93157737167201571</c:v>
                </c:pt>
                <c:pt idx="125">
                  <c:v>0.93210651538502109</c:v>
                </c:pt>
                <c:pt idx="126">
                  <c:v>0.9326026795222202</c:v>
                </c:pt>
                <c:pt idx="127">
                  <c:v>0.9330678874827788</c:v>
                </c:pt>
                <c:pt idx="128">
                  <c:v>0.93350404243947271</c:v>
                </c:pt>
                <c:pt idx="129">
                  <c:v>0.93391293400189201</c:v>
                </c:pt>
                <c:pt idx="130">
                  <c:v>0.93429624457036697</c:v>
                </c:pt>
                <c:pt idx="131">
                  <c:v>0.93465555538708767</c:v>
                </c:pt>
                <c:pt idx="132">
                  <c:v>0.93499235229195998</c:v>
                </c:pt>
                <c:pt idx="133">
                  <c:v>0.93530803119159045</c:v>
                </c:pt>
                <c:pt idx="134">
                  <c:v>0.9356039032504383</c:v>
                </c:pt>
                <c:pt idx="135">
                  <c:v>0.93588119981364981</c:v>
                </c:pt>
                <c:pt idx="136">
                  <c:v>0.93614107707142247</c:v>
                </c:pt>
                <c:pt idx="137">
                  <c:v>0.93638462047494941</c:v>
                </c:pt>
                <c:pt idx="138">
                  <c:v>0.93661284891409446</c:v>
                </c:pt>
                <c:pt idx="139">
                  <c:v>0.93682671866695777</c:v>
                </c:pt>
                <c:pt idx="140">
                  <c:v>0.937027127131426</c:v>
                </c:pt>
                <c:pt idx="141">
                  <c:v>0.93721491634867393</c:v>
                </c:pt>
                <c:pt idx="142">
                  <c:v>0.93739087632840568</c:v>
                </c:pt>
                <c:pt idx="143">
                  <c:v>0.93755574818540488</c:v>
                </c:pt>
                <c:pt idx="144">
                  <c:v>0.93771022709671037</c:v>
                </c:pt>
                <c:pt idx="145">
                  <c:v>0.93785496508845889</c:v>
                </c:pt>
                <c:pt idx="146">
                  <c:v>0.9379905736611367</c:v>
                </c:pt>
                <c:pt idx="147">
                  <c:v>0.93811762626167572</c:v>
                </c:pt>
                <c:pt idx="148">
                  <c:v>0.93823666061050837</c:v>
                </c:pt>
                <c:pt idx="149">
                  <c:v>0.93834818089137229</c:v>
                </c:pt>
                <c:pt idx="150">
                  <c:v>0.93845265981133019</c:v>
                </c:pt>
                <c:pt idx="151">
                  <c:v>0.93855054053814391</c:v>
                </c:pt>
                <c:pt idx="152">
                  <c:v>0.9386422385218206</c:v>
                </c:pt>
                <c:pt idx="153">
                  <c:v>0.93872814320683151</c:v>
                </c:pt>
                <c:pt idx="154">
                  <c:v>0.93880861964119189</c:v>
                </c:pt>
                <c:pt idx="155">
                  <c:v>0.9388840099882898</c:v>
                </c:pt>
                <c:pt idx="156">
                  <c:v>0.93895463494705345</c:v>
                </c:pt>
                <c:pt idx="157">
                  <c:v>0.93902079508576497</c:v>
                </c:pt>
                <c:pt idx="158">
                  <c:v>0.93908277209455016</c:v>
                </c:pt>
                <c:pt idx="159">
                  <c:v>0.93914082996131021</c:v>
                </c:pt>
                <c:pt idx="160">
                  <c:v>0.9391952160756053</c:v>
                </c:pt>
                <c:pt idx="161">
                  <c:v>0.93924616226475599</c:v>
                </c:pt>
                <c:pt idx="162">
                  <c:v>0.9392938857661941</c:v>
                </c:pt>
                <c:pt idx="163">
                  <c:v>0.93933859013987153</c:v>
                </c:pt>
                <c:pt idx="164">
                  <c:v>0.93938046612432158</c:v>
                </c:pt>
                <c:pt idx="165">
                  <c:v>0.93941969243976586</c:v>
                </c:pt>
                <c:pt idx="166">
                  <c:v>0.93945643654146382</c:v>
                </c:pt>
                <c:pt idx="167">
                  <c:v>0.93949085532632126</c:v>
                </c:pt>
                <c:pt idx="168">
                  <c:v>0.93952309579559801</c:v>
                </c:pt>
                <c:pt idx="169">
                  <c:v>0.93955329567639034</c:v>
                </c:pt>
                <c:pt idx="170">
                  <c:v>0.93958158400440717</c:v>
                </c:pt>
                <c:pt idx="171">
                  <c:v>0.93960808167041032</c:v>
                </c:pt>
                <c:pt idx="172">
                  <c:v>0.93963290193254967</c:v>
                </c:pt>
                <c:pt idx="173">
                  <c:v>0.93965615089669052</c:v>
                </c:pt>
                <c:pt idx="174">
                  <c:v>0.93967792796670635</c:v>
                </c:pt>
                <c:pt idx="175">
                  <c:v>0.93969832626659111</c:v>
                </c:pt>
                <c:pt idx="176">
                  <c:v>0.93971743303613342</c:v>
                </c:pt>
                <c:pt idx="177">
                  <c:v>0.93973533000179132</c:v>
                </c:pt>
                <c:pt idx="178">
                  <c:v>0.9397520937243049</c:v>
                </c:pt>
                <c:pt idx="179">
                  <c:v>0.93976779592449244</c:v>
                </c:pt>
                <c:pt idx="180">
                  <c:v>0.93978250378858663</c:v>
                </c:pt>
                <c:pt idx="181">
                  <c:v>0.93979628025438533</c:v>
                </c:pt>
                <c:pt idx="182">
                  <c:v>0.93980918427941262</c:v>
                </c:pt>
                <c:pt idx="183">
                  <c:v>0.93982127109221258</c:v>
                </c:pt>
                <c:pt idx="184">
                  <c:v>0.93983259242783035</c:v>
                </c:pt>
                <c:pt idx="185">
                  <c:v>0.93984319674846761</c:v>
                </c:pt>
                <c:pt idx="186">
                  <c:v>0.93985312945024213</c:v>
                </c:pt>
                <c:pt idx="187">
                  <c:v>0.93986243305691963</c:v>
                </c:pt>
                <c:pt idx="188">
                  <c:v>0.93987114740143629</c:v>
                </c:pt>
                <c:pt idx="189">
                  <c:v>0.93987930979597611</c:v>
                </c:pt>
                <c:pt idx="190">
                  <c:v>0.93988695519132226</c:v>
                </c:pt>
                <c:pt idx="191">
                  <c:v>0.93989411632615594</c:v>
                </c:pt>
                <c:pt idx="192">
                  <c:v>0.93990082386693363</c:v>
                </c:pt>
                <c:pt idx="193">
                  <c:v>0.93990710653893617</c:v>
                </c:pt>
                <c:pt idx="194">
                  <c:v>0.93991299124904371</c:v>
                </c:pt>
                <c:pt idx="195">
                  <c:v>0.93991850320075832</c:v>
                </c:pt>
                <c:pt idx="196">
                  <c:v>0.93992366600196087</c:v>
                </c:pt>
                <c:pt idx="197">
                  <c:v>0.93992850176586162</c:v>
                </c:pt>
                <c:pt idx="198">
                  <c:v>0.93993303120557159</c:v>
                </c:pt>
                <c:pt idx="199">
                  <c:v>0.93993727372269742</c:v>
                </c:pt>
                <c:pt idx="200">
                  <c:v>0.93994124749033736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344E-B1E1-7B4E73736A9A}"/>
            </c:ext>
          </c:extLst>
        </c:ser>
        <c:ser>
          <c:idx val="1"/>
          <c:order val="1"/>
          <c:tx>
            <c:strRef>
              <c:f>'Problem 3'!$G$7:$G$8</c:f>
              <c:strCache>
                <c:ptCount val="2"/>
                <c:pt idx="0">
                  <c:v>Part B</c:v>
                </c:pt>
                <c:pt idx="1">
                  <c:v>y2</c:v>
                </c:pt>
              </c:strCache>
            </c:strRef>
          </c:tx>
          <c:spPr>
            <a:ln w="19050" cap="rnd">
              <a:solidFill>
                <a:srgbClr val="669DE4"/>
              </a:solidFill>
              <a:round/>
            </a:ln>
            <a:effectLst/>
          </c:spPr>
          <c:marker>
            <c:symbol val="none"/>
          </c:marker>
          <c:xVal>
            <c:numRef>
              <c:f>'Problem 3'!$E$9:$E$209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'Problem 3'!$G$9:$G$209</c:f>
              <c:numCache>
                <c:formatCode>0.000</c:formatCode>
                <c:ptCount val="201"/>
                <c:pt idx="0">
                  <c:v>0</c:v>
                </c:pt>
                <c:pt idx="1">
                  <c:v>2.6463227792553192E-4</c:v>
                </c:pt>
                <c:pt idx="2">
                  <c:v>5.465394733310861E-4</c:v>
                </c:pt>
                <c:pt idx="3">
                  <c:v>8.4680582518096268E-4</c:v>
                </c:pt>
                <c:pt idx="4">
                  <c:v>1.1665777999567478E-3</c:v>
                </c:pt>
                <c:pt idx="5">
                  <c:v>1.5070668854666363E-3</c:v>
                </c:pt>
                <c:pt idx="6">
                  <c:v>1.869552403583572E-3</c:v>
                </c:pt>
                <c:pt idx="7">
                  <c:v>2.2553843248379257E-3</c:v>
                </c:pt>
                <c:pt idx="8">
                  <c:v>2.6659860650751119E-3</c:v>
                </c:pt>
                <c:pt idx="9">
                  <c:v>3.1028572414445042E-3</c:v>
                </c:pt>
                <c:pt idx="10">
                  <c:v>3.5675763618176187E-3</c:v>
                </c:pt>
                <c:pt idx="11">
                  <c:v>4.0618034183511429E-3</c:v>
                </c:pt>
                <c:pt idx="12">
                  <c:v>4.5872823523316593E-3</c:v>
                </c:pt>
                <c:pt idx="13">
                  <c:v>5.1458433536901048E-3</c:v>
                </c:pt>
                <c:pt idx="14">
                  <c:v>5.739404954691496E-3</c:v>
                </c:pt>
                <c:pt idx="15">
                  <c:v>6.3699758733371838E-3</c:v>
                </c:pt>
                <c:pt idx="16">
                  <c:v>7.0396565580239335E-3</c:v>
                </c:pt>
                <c:pt idx="17">
                  <c:v>7.7506403810620669E-3</c:v>
                </c:pt>
                <c:pt idx="18">
                  <c:v>8.5052144248551446E-3</c:v>
                </c:pt>
                <c:pt idx="19">
                  <c:v>9.3057598009945904E-3</c:v>
                </c:pt>
                <c:pt idx="20">
                  <c:v>1.0154751439350114E-2</c:v>
                </c:pt>
                <c:pt idx="21">
                  <c:v>1.1054757281584414E-2</c:v>
                </c:pt>
                <c:pt idx="22">
                  <c:v>1.200843681154925E-2</c:v>
                </c:pt>
                <c:pt idx="23">
                  <c:v>1.3018538853906291E-2</c:v>
                </c:pt>
                <c:pt idx="24">
                  <c:v>1.4087898572250172E-2</c:v>
                </c:pt>
                <c:pt idx="25">
                  <c:v>1.5219433599192924E-2</c:v>
                </c:pt>
                <c:pt idx="26">
                  <c:v>1.6416139233502946E-2</c:v>
                </c:pt>
                <c:pt idx="27">
                  <c:v>1.7681082643681088E-2</c:v>
                </c:pt>
                <c:pt idx="28">
                  <c:v>1.9017396023494181E-2</c:v>
                </c:pt>
                <c:pt idx="29">
                  <c:v>2.0428268653146394E-2</c:v>
                </c:pt>
                <c:pt idx="30">
                  <c:v>2.1916937830094171E-2</c:v>
                </c:pt>
                <c:pt idx="31">
                  <c:v>2.3486678646101489E-2</c:v>
                </c:pt>
                <c:pt idx="32">
                  <c:v>2.5140792602033134E-2</c:v>
                </c:pt>
                <c:pt idx="33">
                  <c:v>2.6882595069069454E-2</c:v>
                </c:pt>
                <c:pt idx="34">
                  <c:v>2.8715401624389094E-2</c:v>
                </c:pt>
                <c:pt idx="35">
                  <c:v>3.0642513310705183E-2</c:v>
                </c:pt>
                <c:pt idx="36">
                  <c:v>3.2667200892050635E-2</c:v>
                </c:pt>
                <c:pt idx="37">
                  <c:v>3.4792688202476094E-2</c:v>
                </c:pt>
                <c:pt idx="38">
                  <c:v>3.7022134709325985E-2</c:v>
                </c:pt>
                <c:pt idx="39">
                  <c:v>3.935861743786484E-2</c:v>
                </c:pt>
                <c:pt idx="40">
                  <c:v>4.1805112428513619E-2</c:v>
                </c:pt>
                <c:pt idx="41">
                  <c:v>4.4364475921023827E-2</c:v>
                </c:pt>
                <c:pt idx="42">
                  <c:v>4.7039425480714256E-2</c:v>
                </c:pt>
                <c:pt idx="43">
                  <c:v>4.9832521299550112E-2</c:v>
                </c:pt>
                <c:pt idx="44">
                  <c:v>5.2746147918505702E-2</c:v>
                </c:pt>
                <c:pt idx="45">
                  <c:v>5.5782496626528573E-2</c:v>
                </c:pt>
                <c:pt idx="46">
                  <c:v>5.8943548794829874E-2</c:v>
                </c:pt>
                <c:pt idx="47">
                  <c:v>6.2231060402626527E-2</c:v>
                </c:pt>
                <c:pt idx="48">
                  <c:v>6.5646548001508057E-2</c:v>
                </c:pt>
                <c:pt idx="49">
                  <c:v>6.9191276350169723E-2</c:v>
                </c:pt>
                <c:pt idx="50">
                  <c:v>7.2866247929464528E-2</c:v>
                </c:pt>
                <c:pt idx="51">
                  <c:v>7.6672194519956521E-2</c:v>
                </c:pt>
                <c:pt idx="52">
                  <c:v>8.0609570991037938E-2</c:v>
                </c:pt>
                <c:pt idx="53">
                  <c:v>8.4678551413069764E-2</c:v>
                </c:pt>
                <c:pt idx="54">
                  <c:v>8.8879027562989751E-2</c:v>
                </c:pt>
                <c:pt idx="55">
                  <c:v>9.3210609850633411E-2</c:v>
                </c:pt>
                <c:pt idx="56">
                  <c:v>9.7672630648963324E-2</c:v>
                </c:pt>
                <c:pt idx="57">
                  <c:v>0.10226414996787395</c:v>
                </c:pt>
                <c:pt idx="58">
                  <c:v>0.10698396336957974</c:v>
                </c:pt>
                <c:pt idx="59">
                  <c:v>0.11183061198506508</c:v>
                </c:pt>
                <c:pt idx="60">
                  <c:v>0.11680239445678778</c:v>
                </c:pt>
                <c:pt idx="61">
                  <c:v>0.12189738060370571</c:v>
                </c:pt>
                <c:pt idx="62">
                  <c:v>0.12711342658142763</c:v>
                </c:pt>
                <c:pt idx="63">
                  <c:v>0.13244819129331528</c:v>
                </c:pt>
                <c:pt idx="64">
                  <c:v>0.13789915379786621</c:v>
                </c:pt>
                <c:pt idx="65">
                  <c:v>0.14346363145361773</c:v>
                </c:pt>
                <c:pt idx="66">
                  <c:v>0.14913879854483605</c:v>
                </c:pt>
                <c:pt idx="67">
                  <c:v>0.15492170513889528</c:v>
                </c:pt>
                <c:pt idx="68">
                  <c:v>0.16080929593885535</c:v>
                </c:pt>
                <c:pt idx="69">
                  <c:v>0.16679842891154453</c:v>
                </c:pt>
                <c:pt idx="70">
                  <c:v>0.17288589349160063</c:v>
                </c:pt>
                <c:pt idx="71">
                  <c:v>0.17906842818455093</c:v>
                </c:pt>
                <c:pt idx="72">
                  <c:v>0.18534273741625859</c:v>
                </c:pt>
                <c:pt idx="73">
                  <c:v>0.19170550750111107</c:v>
                </c:pt>
                <c:pt idx="74">
                  <c:v>0.19815342162643343</c:v>
                </c:pt>
                <c:pt idx="75">
                  <c:v>0.20468317377512027</c:v>
                </c:pt>
                <c:pt idx="76">
                  <c:v>0.21129148153184402</c:v>
                </c:pt>
                <c:pt idx="77">
                  <c:v>0.21797509773997664</c:v>
                </c:pt>
                <c:pt idx="78">
                  <c:v>0.22473082099622255</c:v>
                </c:pt>
                <c:pt idx="79">
                  <c:v>0.23155550498768115</c:v>
                </c:pt>
                <c:pt idx="80">
                  <c:v>0.23844606669150695</c:v>
                </c:pt>
                <c:pt idx="81">
                  <c:v>0.24539949347047069</c:v>
                </c:pt>
                <c:pt idx="82">
                  <c:v>0.25241284910857686</c:v>
                </c:pt>
                <c:pt idx="83">
                  <c:v>0.25948327883954969</c:v>
                </c:pt>
                <c:pt idx="84">
                  <c:v>0.26660801342759349</c:v>
                </c:pt>
                <c:pt idx="85">
                  <c:v>0.27378437236453773</c:v>
                </c:pt>
                <c:pt idx="86">
                  <c:v>0.28100976625047486</c:v>
                </c:pt>
                <c:pt idx="87">
                  <c:v>0.28828169842649792</c:v>
                </c:pt>
                <c:pt idx="88">
                  <c:v>0.29559776592834769</c:v>
                </c:pt>
                <c:pt idx="89">
                  <c:v>0.30295565982888678</c:v>
                </c:pt>
                <c:pt idx="90">
                  <c:v>0.31035316503552629</c:v>
                </c:pt>
                <c:pt idx="91">
                  <c:v>0.31778815960621609</c:v>
                </c:pt>
                <c:pt idx="92">
                  <c:v>0.32525861364454162</c:v>
                </c:pt>
                <c:pt idx="93">
                  <c:v>0.33276258783099127</c:v>
                </c:pt>
                <c:pt idx="94">
                  <c:v>0.3402982316437041</c:v>
                </c:pt>
                <c:pt idx="95">
                  <c:v>0.34786378131808532</c:v>
                </c:pt>
                <c:pt idx="96">
                  <c:v>0.35545755759068681</c:v>
                </c:pt>
                <c:pt idx="97">
                  <c:v>0.36307796326876629</c:v>
                </c:pt>
                <c:pt idx="98">
                  <c:v>0.37072348066302996</c:v>
                </c:pt>
                <c:pt idx="99">
                  <c:v>0.37839266891727874</c:v>
                </c:pt>
                <c:pt idx="100">
                  <c:v>0.38608416126505446</c:v>
                </c:pt>
                <c:pt idx="101">
                  <c:v>0.39379666223995308</c:v>
                </c:pt>
                <c:pt idx="102">
                  <c:v>0.40152894486305046</c:v>
                </c:pt>
                <c:pt idx="103">
                  <c:v>0.40927984782789023</c:v>
                </c:pt>
                <c:pt idx="104">
                  <c:v>0.41704827270071321</c:v>
                </c:pt>
                <c:pt idx="105">
                  <c:v>0.42483318115106877</c:v>
                </c:pt>
                <c:pt idx="106">
                  <c:v>0.43263359222563313</c:v>
                </c:pt>
                <c:pt idx="107">
                  <c:v>0.44044857967596346</c:v>
                </c:pt>
                <c:pt idx="108">
                  <c:v>0.44827726934902995</c:v>
                </c:pt>
                <c:pt idx="109">
                  <c:v>0.45611883664767888</c:v>
                </c:pt>
                <c:pt idx="110">
                  <c:v>0.46397250406667845</c:v>
                </c:pt>
                <c:pt idx="111">
                  <c:v>0.47183753880866941</c:v>
                </c:pt>
                <c:pt idx="112">
                  <c:v>0.47971325048317615</c:v>
                </c:pt>
                <c:pt idx="113">
                  <c:v>0.4875989888908126</c:v>
                </c:pt>
                <c:pt idx="114">
                  <c:v>0.49549414189393237</c:v>
                </c:pt>
                <c:pt idx="115">
                  <c:v>0.50339813337420936</c:v>
                </c:pt>
                <c:pt idx="116">
                  <c:v>0.51131042127698323</c:v>
                </c:pt>
                <c:pt idx="117">
                  <c:v>0.51923049574165114</c:v>
                </c:pt>
                <c:pt idx="118">
                  <c:v>0.52715787731692199</c:v>
                </c:pt>
                <c:pt idx="119">
                  <c:v>0.53509211525936617</c:v>
                </c:pt>
                <c:pt idx="120">
                  <c:v>0.54303278591337845</c:v>
                </c:pt>
                <c:pt idx="121">
                  <c:v>0.55097949117041811</c:v>
                </c:pt>
                <c:pt idx="122">
                  <c:v>0.55893185700519199</c:v>
                </c:pt>
                <c:pt idx="123">
                  <c:v>0.56688953208629533</c:v>
                </c:pt>
                <c:pt idx="124">
                  <c:v>0.57485218645871416</c:v>
                </c:pt>
                <c:pt idx="125">
                  <c:v>0.58281951029551848</c:v>
                </c:pt>
                <c:pt idx="126">
                  <c:v>0.59079121271603108</c:v>
                </c:pt>
                <c:pt idx="127">
                  <c:v>0.5987670206677399</c:v>
                </c:pt>
                <c:pt idx="128">
                  <c:v>0.60674667786922265</c:v>
                </c:pt>
                <c:pt idx="129">
                  <c:v>0.61472994381137791</c:v>
                </c:pt>
                <c:pt idx="130">
                  <c:v>0.62271659281429226</c:v>
                </c:pt>
                <c:pt idx="131">
                  <c:v>0.6307064131371245</c:v>
                </c:pt>
                <c:pt idx="132">
                  <c:v>0.63869920613844755</c:v>
                </c:pt>
                <c:pt idx="133">
                  <c:v>0.64669478548455783</c:v>
                </c:pt>
                <c:pt idx="134">
                  <c:v>0.65469297640333723</c:v>
                </c:pt>
                <c:pt idx="135">
                  <c:v>0.66269361498133106</c:v>
                </c:pt>
                <c:pt idx="136">
                  <c:v>0.67069654750178953</c:v>
                </c:pt>
                <c:pt idx="137">
                  <c:v>0.6787016298215065</c:v>
                </c:pt>
                <c:pt idx="138">
                  <c:v>0.68670872678437256</c:v>
                </c:pt>
                <c:pt idx="139">
                  <c:v>0.69471771166965135</c:v>
                </c:pt>
                <c:pt idx="140">
                  <c:v>0.70272846567306979</c:v>
                </c:pt>
                <c:pt idx="141">
                  <c:v>0.71074087741890235</c:v>
                </c:pt>
                <c:pt idx="142">
                  <c:v>0.71875484250131261</c:v>
                </c:pt>
                <c:pt idx="143">
                  <c:v>0.72677026305329828</c:v>
                </c:pt>
                <c:pt idx="144">
                  <c:v>0.73478704734166667</c:v>
                </c:pt>
                <c:pt idx="145">
                  <c:v>0.74280510938654631</c:v>
                </c:pt>
                <c:pt idx="146">
                  <c:v>0.75082436860401691</c:v>
                </c:pt>
                <c:pt idx="147">
                  <c:v>0.75884474947051139</c:v>
                </c:pt>
                <c:pt idx="148">
                  <c:v>0.76686618120771777</c:v>
                </c:pt>
                <c:pt idx="149">
                  <c:v>0.77488859748677297</c:v>
                </c:pt>
                <c:pt idx="150">
                  <c:v>0.7829119361506095</c:v>
                </c:pt>
                <c:pt idx="151">
                  <c:v>0.79093613895337478</c:v>
                </c:pt>
                <c:pt idx="152">
                  <c:v>0.79896115131590584</c:v>
                </c:pt>
                <c:pt idx="153">
                  <c:v>0.8069869220962963</c:v>
                </c:pt>
                <c:pt idx="154">
                  <c:v>0.81501340337464934</c:v>
                </c:pt>
                <c:pt idx="155">
                  <c:v>0.82304055025115919</c:v>
                </c:pt>
                <c:pt idx="156">
                  <c:v>0.83106832065671543</c:v>
                </c:pt>
                <c:pt idx="157">
                  <c:v>0.83909667517526876</c:v>
                </c:pt>
                <c:pt idx="158">
                  <c:v>0.84712557687724277</c:v>
                </c:pt>
                <c:pt idx="159">
                  <c:v>0.85515499116331672</c:v>
                </c:pt>
                <c:pt idx="160">
                  <c:v>0.86318488561794515</c:v>
                </c:pt>
                <c:pt idx="161">
                  <c:v>0.87121522987201649</c:v>
                </c:pt>
                <c:pt idx="162">
                  <c:v>0.8792459954740891</c:v>
                </c:pt>
                <c:pt idx="163">
                  <c:v>0.88727715576967703</c:v>
                </c:pt>
                <c:pt idx="164">
                  <c:v>0.89530868578808742</c:v>
                </c:pt>
                <c:pt idx="165">
                  <c:v>0.90334056213634462</c:v>
                </c:pt>
                <c:pt idx="166">
                  <c:v>0.91137276289976032</c:v>
                </c:pt>
                <c:pt idx="167">
                  <c:v>0.91940526754873908</c:v>
                </c:pt>
                <c:pt idx="168">
                  <c:v>0.92743805685143166</c:v>
                </c:pt>
                <c:pt idx="169">
                  <c:v>0.93547111279187212</c:v>
                </c:pt>
                <c:pt idx="170">
                  <c:v>0.94350441849325817</c:v>
                </c:pt>
                <c:pt idx="171">
                  <c:v>0.95153795814605335</c:v>
                </c:pt>
                <c:pt idx="172">
                  <c:v>0.95957171694061139</c:v>
                </c:pt>
                <c:pt idx="173">
                  <c:v>0.96760568100403899</c:v>
                </c:pt>
                <c:pt idx="174">
                  <c:v>0.9756398373410331</c:v>
                </c:pt>
                <c:pt idx="175">
                  <c:v>0.98367417377844391</c:v>
                </c:pt>
                <c:pt idx="176">
                  <c:v>0.99170867891332981</c:v>
                </c:pt>
                <c:pt idx="177">
                  <c:v>0.99974334206428628</c:v>
                </c:pt>
                <c:pt idx="178">
                  <c:v>1.0077781532258425</c:v>
                </c:pt>
                <c:pt idx="179">
                  <c:v>1.015813103025734</c:v>
                </c:pt>
                <c:pt idx="180">
                  <c:v>1.0238481826848704</c:v>
                </c:pt>
                <c:pt idx="181">
                  <c:v>1.0318833839798294</c:v>
                </c:pt>
                <c:pt idx="182">
                  <c:v>1.039918699207717</c:v>
                </c:pt>
                <c:pt idx="183">
                  <c:v>1.0479541211532466</c:v>
                </c:pt>
                <c:pt idx="184">
                  <c:v>1.0559896430578977</c:v>
                </c:pt>
                <c:pt idx="185">
                  <c:v>1.0640252585910202</c:v>
                </c:pt>
                <c:pt idx="186">
                  <c:v>1.0720609618227659</c:v>
                </c:pt>
                <c:pt idx="187">
                  <c:v>1.0800967471987295</c:v>
                </c:pt>
                <c:pt idx="188">
                  <c:v>1.0881326095161925</c:v>
                </c:pt>
                <c:pt idx="189">
                  <c:v>1.0961685439018674</c:v>
                </c:pt>
                <c:pt idx="190">
                  <c:v>1.1042045457910497</c:v>
                </c:pt>
                <c:pt idx="191">
                  <c:v>1.1122406109080882</c:v>
                </c:pt>
                <c:pt idx="192">
                  <c:v>1.1202767352480894</c:v>
                </c:pt>
                <c:pt idx="193">
                  <c:v>1.1283129150597786</c:v>
                </c:pt>
                <c:pt idx="194">
                  <c:v>1.1363491468294462</c:v>
                </c:pt>
                <c:pt idx="195">
                  <c:v>1.1443854272659082</c:v>
                </c:pt>
                <c:pt idx="196">
                  <c:v>1.1524217532864187</c:v>
                </c:pt>
                <c:pt idx="197">
                  <c:v>1.1604581220034733</c:v>
                </c:pt>
                <c:pt idx="198">
                  <c:v>1.1684945307124479</c:v>
                </c:pt>
                <c:pt idx="199">
                  <c:v>1.1765309768800192</c:v>
                </c:pt>
                <c:pt idx="200">
                  <c:v>1.1845674581333179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72-344E-B1E1-7B4E73736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450767"/>
        <c:axId val="1483732623"/>
      </c:scatterChart>
      <c:valAx>
        <c:axId val="150245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732623"/>
        <c:crosses val="autoZero"/>
        <c:crossBetween val="midCat"/>
      </c:valAx>
      <c:valAx>
        <c:axId val="148373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45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'Problem 4'!$G$2</c:f>
              <c:strCache>
                <c:ptCount val="1"/>
                <c:pt idx="0">
                  <c:v>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'Problem 4'!$F$3:$F$43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</c:numCache>
            </c:numRef>
          </c:xVal>
          <c:yVal>
            <c:numRef>
              <c:f>'Problem 4'!$G$3:$G$43</c:f>
              <c:numCache>
                <c:formatCode>General</c:formatCode>
                <c:ptCount val="41"/>
                <c:pt idx="0">
                  <c:v>1</c:v>
                </c:pt>
                <c:pt idx="1">
                  <c:v>1.2026865392770141</c:v>
                </c:pt>
                <c:pt idx="2">
                  <c:v>1.3947813829148492</c:v>
                </c:pt>
                <c:pt idx="3">
                  <c:v>1.5772714271925607</c:v>
                </c:pt>
                <c:pt idx="4">
                  <c:v>1.7510693480565283</c:v>
                </c:pt>
                <c:pt idx="5">
                  <c:v>1.917019589928975</c:v>
                </c:pt>
                <c:pt idx="6">
                  <c:v>2.075903882854456</c:v>
                </c:pt>
                <c:pt idx="7">
                  <c:v>2.2284463254377886</c:v>
                </c:pt>
                <c:pt idx="8">
                  <c:v>2.3753180680611519</c:v>
                </c:pt>
                <c:pt idx="9">
                  <c:v>2.51714162813738</c:v>
                </c:pt>
                <c:pt idx="10">
                  <c:v>2.6544948666422403</c:v>
                </c:pt>
                <c:pt idx="11">
                  <c:v>2.7879146528535124</c:v>
                </c:pt>
                <c:pt idx="12">
                  <c:v>2.9179002420932516</c:v>
                </c:pt>
                <c:pt idx="13">
                  <c:v>3.0449163893071223</c:v>
                </c:pt>
                <c:pt idx="14">
                  <c:v>3.1693962195077652</c:v>
                </c:pt>
                <c:pt idx="15">
                  <c:v>3.2917438744455119</c:v>
                </c:pt>
                <c:pt idx="16">
                  <c:v>3.412336953337987</c:v>
                </c:pt>
                <c:pt idx="17">
                  <c:v>3.5315287640798241</c:v>
                </c:pt>
                <c:pt idx="18">
                  <c:v>3.6496504000552368</c:v>
                </c:pt>
                <c:pt idx="19">
                  <c:v>3.7670126564806696</c:v>
                </c:pt>
                <c:pt idx="20">
                  <c:v>3.8839077991040392</c:v>
                </c:pt>
                <c:pt idx="21">
                  <c:v>4.0006111970736802</c:v>
                </c:pt>
                <c:pt idx="22">
                  <c:v>4.1173828308570757</c:v>
                </c:pt>
                <c:pt idx="23">
                  <c:v>4.2344686852304543</c:v>
                </c:pt>
                <c:pt idx="24">
                  <c:v>4.3521020365694811</c:v>
                </c:pt>
                <c:pt idx="25">
                  <c:v>4.4705046429431805</c:v>
                </c:pt>
                <c:pt idx="26">
                  <c:v>4.5898878448428961</c:v>
                </c:pt>
                <c:pt idx="27">
                  <c:v>4.7104535837610229</c:v>
                </c:pt>
                <c:pt idx="28">
                  <c:v>4.8323953452661117</c:v>
                </c:pt>
                <c:pt idx="29">
                  <c:v>4.9558990326979631</c:v>
                </c:pt>
                <c:pt idx="30">
                  <c:v>5.0811437771248782</c:v>
                </c:pt>
                <c:pt idx="31">
                  <c:v>5.2083026887620347</c:v>
                </c:pt>
                <c:pt idx="32">
                  <c:v>5.3375435546419849</c:v>
                </c:pt>
                <c:pt idx="33">
                  <c:v>5.4690294869527314</c:v>
                </c:pt>
                <c:pt idx="34">
                  <c:v>5.6029195261131752</c:v>
                </c:pt>
                <c:pt idx="35">
                  <c:v>5.7393692023375662</c:v>
                </c:pt>
                <c:pt idx="36">
                  <c:v>5.8785310591477504</c:v>
                </c:pt>
                <c:pt idx="37">
                  <c:v>6.0205551420225021</c:v>
                </c:pt>
                <c:pt idx="38">
                  <c:v>6.1655894551251977</c:v>
                </c:pt>
                <c:pt idx="39">
                  <c:v>6.3137803888228428</c:v>
                </c:pt>
                <c:pt idx="40">
                  <c:v>6.4652731204994254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65-1F4D-9E46-F33A999DE533}"/>
            </c:ext>
          </c:extLst>
        </c:ser>
        <c:ser>
          <c:idx val="0"/>
          <c:order val="1"/>
          <c:tx>
            <c:strRef>
              <c:f>'Problem 4'!$I$2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4'!$H$3:$H$13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</c:numCache>
            </c:numRef>
          </c:xVal>
          <c:yVal>
            <c:numRef>
              <c:f>'Problem 4'!$I$3:$I$13</c:f>
              <c:numCache>
                <c:formatCode>General</c:formatCode>
                <c:ptCount val="11"/>
                <c:pt idx="0">
                  <c:v>1</c:v>
                </c:pt>
                <c:pt idx="1">
                  <c:v>0.94621916931124306</c:v>
                </c:pt>
                <c:pt idx="2">
                  <c:v>1.7184428230863054</c:v>
                </c:pt>
                <c:pt idx="3">
                  <c:v>2.3763873697417668</c:v>
                </c:pt>
                <c:pt idx="4">
                  <c:v>2.9647560849959365</c:v>
                </c:pt>
                <c:pt idx="5">
                  <c:v>3.517594346021927</c:v>
                </c:pt>
                <c:pt idx="6">
                  <c:v>4.0614654448985332</c:v>
                </c:pt>
                <c:pt idx="7">
                  <c:v>4.6177769056120681</c:v>
                </c:pt>
                <c:pt idx="8">
                  <c:v>5.2044963518544876</c:v>
                </c:pt>
                <c:pt idx="9">
                  <c:v>5.8374303115748143</c:v>
                </c:pt>
                <c:pt idx="10">
                  <c:v>6.5311919263123448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65-1F4D-9E46-F33A999D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772880"/>
        <c:axId val="1112996592"/>
      </c:scatterChart>
      <c:valAx>
        <c:axId val="111277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996592"/>
        <c:crosses val="autoZero"/>
        <c:crossBetween val="midCat"/>
      </c:valAx>
      <c:valAx>
        <c:axId val="111299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728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4'!$I$2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'Problem 4'!$H$3:$H$13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</c:numCache>
            </c:numRef>
          </c:xVal>
          <c:yVal>
            <c:numRef>
              <c:f>'Problem 4'!$I$3:$I$13</c:f>
              <c:numCache>
                <c:formatCode>General</c:formatCode>
                <c:ptCount val="11"/>
                <c:pt idx="0">
                  <c:v>1</c:v>
                </c:pt>
                <c:pt idx="1">
                  <c:v>0.94621916931124306</c:v>
                </c:pt>
                <c:pt idx="2">
                  <c:v>1.7184428230863054</c:v>
                </c:pt>
                <c:pt idx="3">
                  <c:v>2.3763873697417668</c:v>
                </c:pt>
                <c:pt idx="4">
                  <c:v>2.9647560849959365</c:v>
                </c:pt>
                <c:pt idx="5">
                  <c:v>3.517594346021927</c:v>
                </c:pt>
                <c:pt idx="6">
                  <c:v>4.0614654448985332</c:v>
                </c:pt>
                <c:pt idx="7">
                  <c:v>4.6177769056120681</c:v>
                </c:pt>
                <c:pt idx="8">
                  <c:v>5.2044963518544876</c:v>
                </c:pt>
                <c:pt idx="9">
                  <c:v>5.8374303115748143</c:v>
                </c:pt>
                <c:pt idx="10">
                  <c:v>6.5311919263123448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81-8148-8DC1-2FE3B9936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772880"/>
        <c:axId val="1112996592"/>
      </c:scatterChart>
      <c:valAx>
        <c:axId val="111277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996592"/>
        <c:crosses val="autoZero"/>
        <c:crossBetween val="midCat"/>
      </c:valAx>
      <c:valAx>
        <c:axId val="111299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7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0</xdr:row>
      <xdr:rowOff>0</xdr:rowOff>
    </xdr:from>
    <xdr:to>
      <xdr:col>12</xdr:col>
      <xdr:colOff>469900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6F99DA-5F93-9839-0B94-61155ABAB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469901</xdr:colOff>
      <xdr:row>0</xdr:row>
      <xdr:rowOff>0</xdr:rowOff>
    </xdr:from>
    <xdr:to>
      <xdr:col>18</xdr:col>
      <xdr:colOff>88901</xdr:colOff>
      <xdr:row>13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7AFB7D-DDCB-A186-48F7-0CF72CCD8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</xdr:row>
      <xdr:rowOff>10160</xdr:rowOff>
    </xdr:from>
    <xdr:to>
      <xdr:col>1</xdr:col>
      <xdr:colOff>812800</xdr:colOff>
      <xdr:row>12</xdr:row>
      <xdr:rowOff>10160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E909B02-6669-E454-5721-815B9F809F48}"/>
            </a:ext>
          </a:extLst>
        </xdr:cNvPr>
        <xdr:cNvSpPr txBox="1"/>
      </xdr:nvSpPr>
      <xdr:spPr>
        <a:xfrm>
          <a:off x="0" y="1838960"/>
          <a:ext cx="163576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Part</a:t>
          </a:r>
          <a:r>
            <a:rPr lang="en-US" sz="1100" baseline="0"/>
            <a:t> B - We will guess that the root, X0 to be 4</a:t>
          </a:r>
        </a:p>
        <a:p>
          <a:endParaRPr lang="en-US" sz="1100" baseline="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411890</xdr:colOff>
      <xdr:row>27</xdr:row>
      <xdr:rowOff>216716</xdr:rowOff>
    </xdr:from>
    <xdr:to>
      <xdr:col>35</xdr:col>
      <xdr:colOff>6962</xdr:colOff>
      <xdr:row>39</xdr:row>
      <xdr:rowOff>112908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886977-1775-518A-0F85-C4A33A12B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1244</xdr:colOff>
      <xdr:row>39</xdr:row>
      <xdr:rowOff>97046</xdr:rowOff>
    </xdr:from>
    <xdr:to>
      <xdr:col>29</xdr:col>
      <xdr:colOff>424577</xdr:colOff>
      <xdr:row>50</xdr:row>
      <xdr:rowOff>229255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60CDB6-78E9-6361-AB09-0578C8998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439716</xdr:colOff>
      <xdr:row>39</xdr:row>
      <xdr:rowOff>96687</xdr:rowOff>
    </xdr:from>
    <xdr:to>
      <xdr:col>35</xdr:col>
      <xdr:colOff>34789</xdr:colOff>
      <xdr:row>50</xdr:row>
      <xdr:rowOff>234362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42ED89-17F2-C4D6-6BD7-654FF21F8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816925</xdr:colOff>
      <xdr:row>27</xdr:row>
      <xdr:rowOff>227588</xdr:rowOff>
    </xdr:from>
    <xdr:to>
      <xdr:col>29</xdr:col>
      <xdr:colOff>427179</xdr:colOff>
      <xdr:row>39</xdr:row>
      <xdr:rowOff>99484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A2504F1-DF9E-21D9-D319-A3405AAAE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129</xdr:row>
      <xdr:rowOff>196850</xdr:rowOff>
    </xdr:from>
    <xdr:to>
      <xdr:col>14</xdr:col>
      <xdr:colOff>787400</xdr:colOff>
      <xdr:row>141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E6C0E9-0C54-6D70-1E5C-CE80881EF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4</xdr:row>
      <xdr:rowOff>171450</xdr:rowOff>
    </xdr:from>
    <xdr:to>
      <xdr:col>12</xdr:col>
      <xdr:colOff>558800</xdr:colOff>
      <xdr:row>16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141AA0-7BF8-9940-5BE8-4FAECCDAA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62938</xdr:colOff>
      <xdr:row>10</xdr:row>
      <xdr:rowOff>10790</xdr:rowOff>
    </xdr:from>
    <xdr:to>
      <xdr:col>15</xdr:col>
      <xdr:colOff>532726</xdr:colOff>
      <xdr:row>23</xdr:row>
      <xdr:rowOff>124079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1F68430-3F97-80B6-AA75-0236905A7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6743</xdr:colOff>
      <xdr:row>23</xdr:row>
      <xdr:rowOff>10790</xdr:rowOff>
    </xdr:from>
    <xdr:to>
      <xdr:col>15</xdr:col>
      <xdr:colOff>476531</xdr:colOff>
      <xdr:row>36</xdr:row>
      <xdr:rowOff>124078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9E13742-C354-0490-C0FE-BCF81AC9A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E3E0-3531-A348-A112-B9EE83A2E3AB}">
  <sheetPr codeName="Sheet1"/>
  <dimension ref="A1:G24"/>
  <sheetViews>
    <sheetView tabSelected="1" topLeftCell="K1" zoomScale="125" zoomScaleNormal="125" workbookViewId="0">
      <selection activeCell="A21" sqref="A21"/>
    </sheetView>
  </sheetViews>
  <sheetFormatPr baseColWidth="10" defaultRowHeight="16" x14ac:dyDescent="0.2"/>
  <sheetData>
    <row r="1" spans="1:7" x14ac:dyDescent="0.2">
      <c r="A1" t="s">
        <v>1</v>
      </c>
      <c r="B1" t="s">
        <v>0</v>
      </c>
      <c r="D1" t="s">
        <v>4</v>
      </c>
      <c r="E1" t="s">
        <v>10</v>
      </c>
      <c r="F1" t="s">
        <v>4</v>
      </c>
      <c r="G1" t="s">
        <v>11</v>
      </c>
    </row>
    <row r="2" spans="1:7" x14ac:dyDescent="0.2">
      <c r="A2" t="s">
        <v>2</v>
      </c>
      <c r="B2" t="s">
        <v>3</v>
      </c>
      <c r="D2" s="3">
        <f>1</f>
        <v>1</v>
      </c>
      <c r="E2" s="3">
        <f>($B$5+($B$6/D2))</f>
        <v>14.238</v>
      </c>
      <c r="F2" s="3">
        <v>1</v>
      </c>
      <c r="G2" s="3">
        <f>$B$8/(F2-$B$7)</f>
        <v>44.612266112266113</v>
      </c>
    </row>
    <row r="3" spans="1:7" x14ac:dyDescent="0.2">
      <c r="D3" s="3">
        <f>D2+1</f>
        <v>2</v>
      </c>
      <c r="E3" s="3">
        <f t="shared" ref="E3:E11" si="0">($B$5+($B$6/D3))</f>
        <v>12.119</v>
      </c>
      <c r="F3" s="3">
        <f>F2+1</f>
        <v>2</v>
      </c>
      <c r="G3" s="3">
        <f t="shared" ref="G3:G11" si="1">$B$8/(F3-$B$7)</f>
        <v>21.874108053007138</v>
      </c>
    </row>
    <row r="4" spans="1:7" x14ac:dyDescent="0.2">
      <c r="A4" t="s">
        <v>4</v>
      </c>
      <c r="B4" t="s">
        <v>5</v>
      </c>
      <c r="D4" s="3">
        <f t="shared" ref="D4:D10" si="2">D3+1</f>
        <v>3</v>
      </c>
      <c r="E4" s="3">
        <f t="shared" si="0"/>
        <v>11.412666666666667</v>
      </c>
      <c r="F4" s="3">
        <f t="shared" ref="F4:F11" si="3">F3+1</f>
        <v>3</v>
      </c>
      <c r="G4" s="3">
        <f t="shared" si="1"/>
        <v>14.489196488858878</v>
      </c>
    </row>
    <row r="5" spans="1:7" x14ac:dyDescent="0.2">
      <c r="A5" t="s">
        <v>6</v>
      </c>
      <c r="B5">
        <v>10</v>
      </c>
      <c r="D5" s="3">
        <f t="shared" si="2"/>
        <v>4</v>
      </c>
      <c r="E5" s="3">
        <f t="shared" si="0"/>
        <v>11.0595</v>
      </c>
      <c r="F5" s="3">
        <f t="shared" si="3"/>
        <v>4</v>
      </c>
      <c r="G5" s="3">
        <f t="shared" si="1"/>
        <v>10.832155477031803</v>
      </c>
    </row>
    <row r="6" spans="1:7" x14ac:dyDescent="0.2">
      <c r="A6" t="s">
        <v>7</v>
      </c>
      <c r="B6">
        <v>4.2380000000000004</v>
      </c>
      <c r="D6" s="3">
        <f t="shared" si="2"/>
        <v>5</v>
      </c>
      <c r="E6" s="3">
        <f t="shared" si="0"/>
        <v>10.8476</v>
      </c>
      <c r="F6" s="3">
        <f t="shared" si="3"/>
        <v>5</v>
      </c>
      <c r="G6" s="3">
        <f t="shared" si="1"/>
        <v>8.6491334139459894</v>
      </c>
    </row>
    <row r="7" spans="1:7" x14ac:dyDescent="0.2">
      <c r="A7" t="s">
        <v>8</v>
      </c>
      <c r="B7">
        <v>3.7999999999999999E-2</v>
      </c>
      <c r="D7" s="3">
        <f t="shared" si="2"/>
        <v>6</v>
      </c>
      <c r="E7" s="3">
        <f t="shared" si="0"/>
        <v>10.706333333333333</v>
      </c>
      <c r="F7" s="3">
        <f t="shared" si="3"/>
        <v>6</v>
      </c>
      <c r="G7" s="3">
        <f t="shared" si="1"/>
        <v>7.1984233478698432</v>
      </c>
    </row>
    <row r="8" spans="1:7" x14ac:dyDescent="0.2">
      <c r="A8" t="s">
        <v>9</v>
      </c>
      <c r="B8">
        <v>42.917000000000002</v>
      </c>
      <c r="D8" s="3">
        <f t="shared" si="2"/>
        <v>7</v>
      </c>
      <c r="E8" s="3">
        <f t="shared" si="0"/>
        <v>10.605428571428572</v>
      </c>
      <c r="F8" s="3">
        <f t="shared" si="3"/>
        <v>7</v>
      </c>
      <c r="G8" s="3">
        <f t="shared" si="1"/>
        <v>6.1644642344153979</v>
      </c>
    </row>
    <row r="9" spans="1:7" x14ac:dyDescent="0.2">
      <c r="D9" s="3">
        <f t="shared" si="2"/>
        <v>8</v>
      </c>
      <c r="E9" s="3">
        <f t="shared" si="0"/>
        <v>10.52975</v>
      </c>
      <c r="F9" s="3">
        <f t="shared" si="3"/>
        <v>8</v>
      </c>
      <c r="G9" s="3">
        <f t="shared" si="1"/>
        <v>5.3902285857824674</v>
      </c>
    </row>
    <row r="10" spans="1:7" x14ac:dyDescent="0.2">
      <c r="D10" s="3">
        <f t="shared" si="2"/>
        <v>9</v>
      </c>
      <c r="E10" s="3">
        <f t="shared" si="0"/>
        <v>10.470888888888888</v>
      </c>
      <c r="F10" s="3">
        <f t="shared" si="3"/>
        <v>9</v>
      </c>
      <c r="G10" s="3">
        <f t="shared" si="1"/>
        <v>4.7887748270475345</v>
      </c>
    </row>
    <row r="11" spans="1:7" x14ac:dyDescent="0.2">
      <c r="D11" s="3">
        <f>D10+1</f>
        <v>10</v>
      </c>
      <c r="E11" s="3">
        <f t="shared" si="0"/>
        <v>10.4238</v>
      </c>
      <c r="F11" s="3">
        <f t="shared" si="3"/>
        <v>10</v>
      </c>
      <c r="G11" s="3">
        <f t="shared" si="1"/>
        <v>4.308070668540454</v>
      </c>
    </row>
    <row r="16" spans="1:7" s="1" customFormat="1" x14ac:dyDescent="0.2"/>
    <row r="17" spans="1:6" x14ac:dyDescent="0.2">
      <c r="A17" s="7">
        <v>10</v>
      </c>
      <c r="B17" s="7" t="s">
        <v>6</v>
      </c>
      <c r="D17">
        <v>1</v>
      </c>
      <c r="E17">
        <v>9.2074487776295122E-2</v>
      </c>
      <c r="F17" t="s">
        <v>15</v>
      </c>
    </row>
    <row r="18" spans="1:6" x14ac:dyDescent="0.2">
      <c r="A18" s="7">
        <v>4.2380000000000004</v>
      </c>
      <c r="B18" s="7" t="s">
        <v>7</v>
      </c>
      <c r="D18">
        <v>2</v>
      </c>
      <c r="E18">
        <v>2.0921076014133178E-3</v>
      </c>
    </row>
    <row r="19" spans="1:6" x14ac:dyDescent="0.2">
      <c r="A19" s="7">
        <v>3.7999999999999999E-2</v>
      </c>
      <c r="B19" s="7" t="s">
        <v>8</v>
      </c>
      <c r="D19">
        <v>3</v>
      </c>
      <c r="E19">
        <v>1.1327992499587936E-6</v>
      </c>
    </row>
    <row r="20" spans="1:6" x14ac:dyDescent="0.2">
      <c r="A20" s="7">
        <v>42.917000000000002</v>
      </c>
      <c r="B20" s="7" t="s">
        <v>9</v>
      </c>
      <c r="D20">
        <v>4</v>
      </c>
      <c r="E20">
        <v>3.3173463975799677E-13</v>
      </c>
    </row>
    <row r="21" spans="1:6" x14ac:dyDescent="0.2">
      <c r="A21" s="8">
        <v>1.0000000000000001E-9</v>
      </c>
      <c r="B21" s="9" t="s">
        <v>12</v>
      </c>
    </row>
    <row r="22" spans="1:6" x14ac:dyDescent="0.2">
      <c r="A22" s="9">
        <v>4</v>
      </c>
      <c r="B22" s="9" t="s">
        <v>13</v>
      </c>
    </row>
    <row r="23" spans="1:6" x14ac:dyDescent="0.2">
      <c r="A23">
        <v>3.9100187526246999</v>
      </c>
      <c r="B23" t="s">
        <v>16</v>
      </c>
    </row>
    <row r="24" spans="1:6" x14ac:dyDescent="0.2">
      <c r="A24">
        <v>4</v>
      </c>
      <c r="B24" t="s">
        <v>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E7BF-3178-7944-9CEC-6A6EF73ED330}">
  <sheetPr codeName="Sheet2"/>
  <dimension ref="A2:AF1106"/>
  <sheetViews>
    <sheetView topLeftCell="V1" zoomScale="50" zoomScaleNormal="50" workbookViewId="0">
      <selection activeCell="AH27" sqref="AH27"/>
    </sheetView>
  </sheetViews>
  <sheetFormatPr baseColWidth="10" defaultRowHeight="19" x14ac:dyDescent="0.2"/>
  <cols>
    <col min="1" max="1" width="11" style="4" bestFit="1" customWidth="1"/>
    <col min="2" max="2" width="11" style="5" bestFit="1" customWidth="1"/>
    <col min="3" max="3" width="13.1640625" style="5" bestFit="1" customWidth="1"/>
    <col min="4" max="4" width="12.6640625" style="5" bestFit="1" customWidth="1"/>
    <col min="5" max="5" width="13.1640625" style="5" bestFit="1" customWidth="1"/>
    <col min="6" max="6" width="12.6640625" style="5" bestFit="1" customWidth="1"/>
    <col min="7" max="12" width="13.1640625" style="5" bestFit="1" customWidth="1"/>
    <col min="13" max="14" width="12.6640625" style="5" bestFit="1" customWidth="1"/>
    <col min="15" max="19" width="13.1640625" style="5" bestFit="1" customWidth="1"/>
    <col min="20" max="20" width="12.6640625" style="5" bestFit="1" customWidth="1"/>
    <col min="21" max="22" width="13.1640625" style="5" bestFit="1" customWidth="1"/>
    <col min="23" max="16384" width="10.83203125" style="5"/>
  </cols>
  <sheetData>
    <row r="2" spans="1:32" x14ac:dyDescent="0.2">
      <c r="B2" s="5" t="s">
        <v>17</v>
      </c>
      <c r="C2" s="5">
        <v>1E-3</v>
      </c>
      <c r="D2" s="5" t="s">
        <v>19</v>
      </c>
      <c r="E2" s="5">
        <v>1</v>
      </c>
    </row>
    <row r="3" spans="1:32" x14ac:dyDescent="0.2">
      <c r="B3" s="5" t="s">
        <v>18</v>
      </c>
      <c r="C3" s="5">
        <v>0.05</v>
      </c>
    </row>
    <row r="5" spans="1:32" x14ac:dyDescent="0.2">
      <c r="A5" s="17" t="s">
        <v>20</v>
      </c>
      <c r="B5" s="18">
        <v>0</v>
      </c>
      <c r="C5" s="18">
        <f>B5+$C$3</f>
        <v>0.05</v>
      </c>
      <c r="D5" s="18">
        <f t="shared" ref="D5:V5" si="0">C5+$C$3</f>
        <v>0.1</v>
      </c>
      <c r="E5" s="18">
        <f t="shared" si="0"/>
        <v>0.15000000000000002</v>
      </c>
      <c r="F5" s="18">
        <f t="shared" si="0"/>
        <v>0.2</v>
      </c>
      <c r="G5" s="18">
        <f t="shared" si="0"/>
        <v>0.25</v>
      </c>
      <c r="H5" s="18">
        <f t="shared" si="0"/>
        <v>0.3</v>
      </c>
      <c r="I5" s="18">
        <f t="shared" si="0"/>
        <v>0.35</v>
      </c>
      <c r="J5" s="18">
        <f t="shared" si="0"/>
        <v>0.39999999999999997</v>
      </c>
      <c r="K5" s="18">
        <f t="shared" si="0"/>
        <v>0.44999999999999996</v>
      </c>
      <c r="L5" s="18">
        <f t="shared" si="0"/>
        <v>0.49999999999999994</v>
      </c>
      <c r="M5" s="18">
        <f t="shared" si="0"/>
        <v>0.54999999999999993</v>
      </c>
      <c r="N5" s="18">
        <f t="shared" si="0"/>
        <v>0.6</v>
      </c>
      <c r="O5" s="18">
        <f t="shared" si="0"/>
        <v>0.65</v>
      </c>
      <c r="P5" s="18">
        <f t="shared" si="0"/>
        <v>0.70000000000000007</v>
      </c>
      <c r="Q5" s="18">
        <f t="shared" si="0"/>
        <v>0.75000000000000011</v>
      </c>
      <c r="R5" s="18">
        <f t="shared" si="0"/>
        <v>0.80000000000000016</v>
      </c>
      <c r="S5" s="18">
        <f t="shared" si="0"/>
        <v>0.8500000000000002</v>
      </c>
      <c r="T5" s="18">
        <f t="shared" si="0"/>
        <v>0.90000000000000024</v>
      </c>
      <c r="U5" s="18">
        <f t="shared" si="0"/>
        <v>0.95000000000000029</v>
      </c>
      <c r="V5" s="18">
        <f t="shared" si="0"/>
        <v>1.0000000000000002</v>
      </c>
      <c r="W5"/>
      <c r="X5"/>
      <c r="Y5" t="s">
        <v>18</v>
      </c>
      <c r="Z5" t="s">
        <v>21</v>
      </c>
      <c r="AA5" s="5" t="s">
        <v>18</v>
      </c>
      <c r="AB5" s="5" t="s">
        <v>22</v>
      </c>
      <c r="AC5" s="5" t="s">
        <v>18</v>
      </c>
      <c r="AD5" s="5" t="s">
        <v>23</v>
      </c>
      <c r="AE5" s="5" t="s">
        <v>18</v>
      </c>
      <c r="AF5" s="5" t="s">
        <v>24</v>
      </c>
    </row>
    <row r="6" spans="1:32" x14ac:dyDescent="0.2">
      <c r="A6" s="19">
        <v>0</v>
      </c>
      <c r="B6" s="20">
        <v>0</v>
      </c>
      <c r="C6" s="20">
        <v>0.15640000000000001</v>
      </c>
      <c r="D6" s="20">
        <v>0.309</v>
      </c>
      <c r="E6" s="20">
        <v>0.45400000000000001</v>
      </c>
      <c r="F6" s="20">
        <v>0.58779999999999999</v>
      </c>
      <c r="G6" s="20">
        <v>0.70709999999999995</v>
      </c>
      <c r="H6" s="20">
        <v>0.80900000000000005</v>
      </c>
      <c r="I6" s="20">
        <v>0.89100000000000001</v>
      </c>
      <c r="J6" s="20">
        <v>0.95109999999999995</v>
      </c>
      <c r="K6" s="20">
        <v>0.98770000000000002</v>
      </c>
      <c r="L6" s="20">
        <v>1</v>
      </c>
      <c r="M6" s="20">
        <v>0.98770000000000002</v>
      </c>
      <c r="N6" s="20">
        <v>0.95109999999999995</v>
      </c>
      <c r="O6" s="20">
        <v>0.89100000000000001</v>
      </c>
      <c r="P6" s="20">
        <v>0.80900000000000005</v>
      </c>
      <c r="Q6" s="20">
        <v>0.70709999999999995</v>
      </c>
      <c r="R6" s="20">
        <v>0.58779999999999999</v>
      </c>
      <c r="S6" s="20">
        <v>0.45400000000000001</v>
      </c>
      <c r="T6" s="20">
        <v>0.309</v>
      </c>
      <c r="U6" s="20">
        <v>0.15640000000000001</v>
      </c>
      <c r="V6" s="20">
        <v>0</v>
      </c>
      <c r="W6"/>
      <c r="X6"/>
      <c r="Y6">
        <f>0</f>
        <v>0</v>
      </c>
      <c r="Z6" cm="1">
        <f t="array" ref="Z6:Z26">TRANSPOSE(B6:V6)</f>
        <v>0</v>
      </c>
      <c r="AA6" s="4">
        <f>0</f>
        <v>0</v>
      </c>
      <c r="AB6" s="4" cm="1">
        <f t="array" ref="AB6:AB26">TRANSPOSE(B16:V16)</f>
        <v>0</v>
      </c>
      <c r="AC6" s="4">
        <f>0</f>
        <v>0</v>
      </c>
      <c r="AD6" s="4" cm="1">
        <f t="array" ref="AD6:AD26">TRANSPOSE(B106:V106)</f>
        <v>0</v>
      </c>
      <c r="AE6" s="4">
        <f>0</f>
        <v>0</v>
      </c>
      <c r="AF6" s="4" cm="1">
        <f t="array" ref="AF6:AF26">TRANSPOSE(B1006:V1006)</f>
        <v>0</v>
      </c>
    </row>
    <row r="7" spans="1:32" x14ac:dyDescent="0.2">
      <c r="A7" s="19">
        <v>1E-3</v>
      </c>
      <c r="B7" s="20">
        <v>0</v>
      </c>
      <c r="C7" s="20">
        <v>0.1575</v>
      </c>
      <c r="D7" s="20">
        <v>0.30890000000000001</v>
      </c>
      <c r="E7" s="20">
        <v>0.45229999999999998</v>
      </c>
      <c r="F7" s="20">
        <v>0.58450000000000002</v>
      </c>
      <c r="G7" s="20">
        <v>0.70240000000000002</v>
      </c>
      <c r="H7" s="20">
        <v>0.80289999999999995</v>
      </c>
      <c r="I7" s="20">
        <v>0.88370000000000004</v>
      </c>
      <c r="J7" s="20">
        <v>0.94269999999999998</v>
      </c>
      <c r="K7" s="20">
        <v>0.97850000000000004</v>
      </c>
      <c r="L7" s="20">
        <v>0.99019999999999997</v>
      </c>
      <c r="M7" s="20">
        <v>0.97750000000000004</v>
      </c>
      <c r="N7" s="20">
        <v>0.94079999999999997</v>
      </c>
      <c r="O7" s="20">
        <v>0.88090000000000002</v>
      </c>
      <c r="P7" s="20">
        <v>0.79930000000000001</v>
      </c>
      <c r="Q7" s="20">
        <v>0.69799999999999995</v>
      </c>
      <c r="R7" s="20">
        <v>0.5796</v>
      </c>
      <c r="S7" s="20">
        <v>0.44719999999999999</v>
      </c>
      <c r="T7" s="20">
        <v>0.30590000000000001</v>
      </c>
      <c r="U7" s="20">
        <v>0.17069999999999999</v>
      </c>
      <c r="V7" s="20">
        <v>0.1227</v>
      </c>
      <c r="W7"/>
      <c r="X7"/>
      <c r="Y7">
        <f>Y6+$C$3</f>
        <v>0.05</v>
      </c>
      <c r="Z7">
        <v>0.15640000000000001</v>
      </c>
      <c r="AA7" s="4">
        <f>AA6+$C$3</f>
        <v>0.05</v>
      </c>
      <c r="AB7" s="4">
        <v>0.1542</v>
      </c>
      <c r="AC7" s="4">
        <f>AC6+$C$3</f>
        <v>0.05</v>
      </c>
      <c r="AD7" s="4">
        <v>8.5099999999999995E-2</v>
      </c>
      <c r="AE7" s="4">
        <f>AE6+$C$3</f>
        <v>0.05</v>
      </c>
      <c r="AF7" s="4">
        <v>0.11650000000000001</v>
      </c>
    </row>
    <row r="8" spans="1:32" x14ac:dyDescent="0.2">
      <c r="A8" s="19">
        <v>2E-3</v>
      </c>
      <c r="B8" s="20">
        <v>0</v>
      </c>
      <c r="C8" s="20">
        <v>0.15790000000000001</v>
      </c>
      <c r="D8" s="20">
        <v>0.3085</v>
      </c>
      <c r="E8" s="20">
        <v>0.45050000000000001</v>
      </c>
      <c r="F8" s="20">
        <v>0.58130000000000004</v>
      </c>
      <c r="G8" s="20">
        <v>0.6976</v>
      </c>
      <c r="H8" s="20">
        <v>0.79679999999999995</v>
      </c>
      <c r="I8" s="20">
        <v>0.87639999999999996</v>
      </c>
      <c r="J8" s="20">
        <v>0.93440000000000001</v>
      </c>
      <c r="K8" s="20">
        <v>0.96940000000000004</v>
      </c>
      <c r="L8" s="20">
        <v>0.98050000000000004</v>
      </c>
      <c r="M8" s="20">
        <v>0.96740000000000004</v>
      </c>
      <c r="N8" s="20">
        <v>0.93059999999999998</v>
      </c>
      <c r="O8" s="20">
        <v>0.87080000000000002</v>
      </c>
      <c r="P8" s="20">
        <v>0.78959999999999997</v>
      </c>
      <c r="Q8" s="20">
        <v>0.68899999999999995</v>
      </c>
      <c r="R8" s="20">
        <v>0.57179999999999997</v>
      </c>
      <c r="S8" s="20">
        <v>0.44219999999999998</v>
      </c>
      <c r="T8" s="20">
        <v>0.30990000000000001</v>
      </c>
      <c r="U8" s="20">
        <v>0.2046</v>
      </c>
      <c r="V8" s="20">
        <v>0.18909999999999999</v>
      </c>
      <c r="W8"/>
      <c r="X8"/>
      <c r="Y8">
        <f t="shared" ref="Y8:Y26" si="1">Y7+$C$3</f>
        <v>0.1</v>
      </c>
      <c r="Z8">
        <v>0.309</v>
      </c>
      <c r="AA8" s="4">
        <f t="shared" ref="Y8:AE26" si="2">AA7+$C$3</f>
        <v>0.1</v>
      </c>
      <c r="AB8" s="4">
        <v>0.29899999999999999</v>
      </c>
      <c r="AC8" s="4">
        <f t="shared" si="2"/>
        <v>0.1</v>
      </c>
      <c r="AD8" s="4">
        <v>0.1653</v>
      </c>
      <c r="AE8" s="4">
        <f t="shared" si="2"/>
        <v>0.1</v>
      </c>
      <c r="AF8" s="4">
        <v>0.22739999999999999</v>
      </c>
    </row>
    <row r="9" spans="1:32" x14ac:dyDescent="0.2">
      <c r="A9" s="19">
        <v>3.0000000000000001E-3</v>
      </c>
      <c r="B9" s="20">
        <v>0</v>
      </c>
      <c r="C9" s="20">
        <v>0.15790000000000001</v>
      </c>
      <c r="D9" s="20">
        <v>0.30790000000000001</v>
      </c>
      <c r="E9" s="20">
        <v>0.44869999999999999</v>
      </c>
      <c r="F9" s="20">
        <v>0.57799999999999996</v>
      </c>
      <c r="G9" s="20">
        <v>0.69289999999999996</v>
      </c>
      <c r="H9" s="20">
        <v>0.79079999999999995</v>
      </c>
      <c r="I9" s="20">
        <v>0.86919999999999997</v>
      </c>
      <c r="J9" s="20">
        <v>0.92610000000000003</v>
      </c>
      <c r="K9" s="20">
        <v>0.96030000000000004</v>
      </c>
      <c r="L9" s="20">
        <v>0.9708</v>
      </c>
      <c r="M9" s="20">
        <v>0.95750000000000002</v>
      </c>
      <c r="N9" s="20">
        <v>0.92049999999999998</v>
      </c>
      <c r="O9" s="20">
        <v>0.8609</v>
      </c>
      <c r="P9" s="20">
        <v>0.78010000000000002</v>
      </c>
      <c r="Q9" s="20">
        <v>0.6804</v>
      </c>
      <c r="R9" s="20">
        <v>0.56499999999999995</v>
      </c>
      <c r="S9" s="20">
        <v>0.44019999999999998</v>
      </c>
      <c r="T9" s="20">
        <v>0.32050000000000001</v>
      </c>
      <c r="U9" s="20">
        <v>0.23780000000000001</v>
      </c>
      <c r="V9" s="20">
        <v>0.23669999999999999</v>
      </c>
      <c r="W9"/>
      <c r="X9"/>
      <c r="Y9">
        <f t="shared" si="1"/>
        <v>0.15000000000000002</v>
      </c>
      <c r="Z9">
        <v>0.45400000000000001</v>
      </c>
      <c r="AA9" s="4">
        <f t="shared" si="2"/>
        <v>0.15000000000000002</v>
      </c>
      <c r="AB9" s="4">
        <v>0.43269999999999997</v>
      </c>
      <c r="AC9" s="4">
        <f t="shared" si="2"/>
        <v>0.15000000000000002</v>
      </c>
      <c r="AD9" s="4">
        <v>0.24010000000000001</v>
      </c>
      <c r="AE9" s="4">
        <f t="shared" si="2"/>
        <v>0.15000000000000002</v>
      </c>
      <c r="AF9" s="4">
        <v>0.33300000000000002</v>
      </c>
    </row>
    <row r="10" spans="1:32" x14ac:dyDescent="0.2">
      <c r="A10" s="19">
        <v>4.0000000000000001E-3</v>
      </c>
      <c r="B10" s="20">
        <v>0</v>
      </c>
      <c r="C10" s="20">
        <v>0.15770000000000001</v>
      </c>
      <c r="D10" s="20">
        <v>0.307</v>
      </c>
      <c r="E10" s="20">
        <v>0.44669999999999999</v>
      </c>
      <c r="F10" s="20">
        <v>0.57469999999999999</v>
      </c>
      <c r="G10" s="20">
        <v>0.68820000000000003</v>
      </c>
      <c r="H10" s="20">
        <v>0.78480000000000005</v>
      </c>
      <c r="I10" s="20">
        <v>0.86199999999999999</v>
      </c>
      <c r="J10" s="20">
        <v>0.91800000000000004</v>
      </c>
      <c r="K10" s="20">
        <v>0.95130000000000003</v>
      </c>
      <c r="L10" s="20">
        <v>0.96130000000000004</v>
      </c>
      <c r="M10" s="20">
        <v>0.9476</v>
      </c>
      <c r="N10" s="20">
        <v>0.91049999999999998</v>
      </c>
      <c r="O10" s="20">
        <v>0.85109999999999997</v>
      </c>
      <c r="P10" s="20">
        <v>0.77090000000000003</v>
      </c>
      <c r="Q10" s="20">
        <v>0.67230000000000001</v>
      </c>
      <c r="R10" s="20">
        <v>0.55959999999999999</v>
      </c>
      <c r="S10" s="20">
        <v>0.44119999999999998</v>
      </c>
      <c r="T10" s="20">
        <v>0.3342</v>
      </c>
      <c r="U10" s="20">
        <v>0.2681</v>
      </c>
      <c r="V10" s="20">
        <v>0.27529999999999999</v>
      </c>
      <c r="W10"/>
      <c r="X10"/>
      <c r="Y10">
        <f t="shared" si="1"/>
        <v>0.2</v>
      </c>
      <c r="Z10">
        <v>0.58779999999999999</v>
      </c>
      <c r="AA10" s="4">
        <f t="shared" si="2"/>
        <v>0.2</v>
      </c>
      <c r="AB10" s="4">
        <v>0.55369999999999997</v>
      </c>
      <c r="AC10" s="4">
        <f t="shared" si="2"/>
        <v>0.2</v>
      </c>
      <c r="AD10" s="4">
        <v>0.30919999999999997</v>
      </c>
      <c r="AE10" s="4">
        <f t="shared" si="2"/>
        <v>0.2</v>
      </c>
      <c r="AF10" s="4">
        <v>0.43369999999999997</v>
      </c>
    </row>
    <row r="11" spans="1:32" x14ac:dyDescent="0.2">
      <c r="A11" s="19">
        <v>5.0000000000000001E-3</v>
      </c>
      <c r="B11" s="20">
        <v>0</v>
      </c>
      <c r="C11" s="20">
        <v>0.15740000000000001</v>
      </c>
      <c r="D11" s="20">
        <v>0.30599999999999999</v>
      </c>
      <c r="E11" s="20">
        <v>0.4446</v>
      </c>
      <c r="F11" s="20">
        <v>0.57130000000000003</v>
      </c>
      <c r="G11" s="20">
        <v>0.6835</v>
      </c>
      <c r="H11" s="20">
        <v>0.77880000000000005</v>
      </c>
      <c r="I11" s="20">
        <v>0.8548</v>
      </c>
      <c r="J11" s="20">
        <v>0.90980000000000005</v>
      </c>
      <c r="K11" s="20">
        <v>0.94240000000000002</v>
      </c>
      <c r="L11" s="20">
        <v>0.95179999999999998</v>
      </c>
      <c r="M11" s="20">
        <v>0.93779999999999997</v>
      </c>
      <c r="N11" s="20">
        <v>0.90069999999999995</v>
      </c>
      <c r="O11" s="20">
        <v>0.84150000000000003</v>
      </c>
      <c r="P11" s="20">
        <v>0.76200000000000001</v>
      </c>
      <c r="Q11" s="20">
        <v>0.66500000000000004</v>
      </c>
      <c r="R11" s="20">
        <v>0.55579999999999996</v>
      </c>
      <c r="S11" s="20">
        <v>0.44450000000000001</v>
      </c>
      <c r="T11" s="20">
        <v>0.34910000000000002</v>
      </c>
      <c r="U11" s="20">
        <v>0.29549999999999998</v>
      </c>
      <c r="V11" s="20">
        <v>0.30830000000000002</v>
      </c>
      <c r="W11"/>
      <c r="X11"/>
      <c r="Y11">
        <f t="shared" si="1"/>
        <v>0.25</v>
      </c>
      <c r="Z11">
        <v>0.70709999999999995</v>
      </c>
      <c r="AA11" s="4">
        <f t="shared" si="2"/>
        <v>0.25</v>
      </c>
      <c r="AB11" s="4">
        <v>0.65980000000000005</v>
      </c>
      <c r="AC11" s="4">
        <f t="shared" si="2"/>
        <v>0.25</v>
      </c>
      <c r="AD11" s="4">
        <v>0.37240000000000001</v>
      </c>
      <c r="AE11" s="4">
        <f t="shared" si="2"/>
        <v>0.25</v>
      </c>
      <c r="AF11" s="4">
        <v>0.52959999999999996</v>
      </c>
    </row>
    <row r="12" spans="1:32" x14ac:dyDescent="0.2">
      <c r="A12" s="19">
        <v>6.0000000000000001E-3</v>
      </c>
      <c r="B12" s="20">
        <v>0</v>
      </c>
      <c r="C12" s="20">
        <v>0.15690000000000001</v>
      </c>
      <c r="D12" s="20">
        <v>0.30480000000000002</v>
      </c>
      <c r="E12" s="20">
        <v>0.44240000000000002</v>
      </c>
      <c r="F12" s="20">
        <v>0.56789999999999996</v>
      </c>
      <c r="G12" s="20">
        <v>0.67879999999999996</v>
      </c>
      <c r="H12" s="20">
        <v>0.77280000000000004</v>
      </c>
      <c r="I12" s="20">
        <v>0.8478</v>
      </c>
      <c r="J12" s="20">
        <v>0.90180000000000005</v>
      </c>
      <c r="K12" s="20">
        <v>0.93359999999999999</v>
      </c>
      <c r="L12" s="20">
        <v>0.9425</v>
      </c>
      <c r="M12" s="20">
        <v>0.92810000000000004</v>
      </c>
      <c r="N12" s="20">
        <v>0.89100000000000001</v>
      </c>
      <c r="O12" s="20">
        <v>0.83209999999999995</v>
      </c>
      <c r="P12" s="20">
        <v>0.75339999999999996</v>
      </c>
      <c r="Q12" s="20">
        <v>0.65849999999999997</v>
      </c>
      <c r="R12" s="20">
        <v>0.5534</v>
      </c>
      <c r="S12" s="20">
        <v>0.44950000000000001</v>
      </c>
      <c r="T12" s="20">
        <v>0.36430000000000001</v>
      </c>
      <c r="U12" s="20">
        <v>0.3206</v>
      </c>
      <c r="V12" s="20">
        <v>0.33739999999999998</v>
      </c>
      <c r="W12"/>
      <c r="X12"/>
      <c r="Y12">
        <f t="shared" si="1"/>
        <v>0.3</v>
      </c>
      <c r="Z12">
        <v>0.80900000000000005</v>
      </c>
      <c r="AA12" s="4">
        <f t="shared" si="2"/>
        <v>0.3</v>
      </c>
      <c r="AB12" s="4">
        <v>0.74919999999999998</v>
      </c>
      <c r="AC12" s="4">
        <f t="shared" si="2"/>
        <v>0.3</v>
      </c>
      <c r="AD12" s="4">
        <v>0.42980000000000002</v>
      </c>
      <c r="AE12" s="4">
        <f t="shared" si="2"/>
        <v>0.3</v>
      </c>
      <c r="AF12" s="4">
        <v>0.62119999999999997</v>
      </c>
    </row>
    <row r="13" spans="1:32" x14ac:dyDescent="0.2">
      <c r="A13" s="19">
        <v>7.0000000000000001E-3</v>
      </c>
      <c r="B13" s="20">
        <v>0</v>
      </c>
      <c r="C13" s="20">
        <v>0.15629999999999999</v>
      </c>
      <c r="D13" s="20">
        <v>0.30349999999999999</v>
      </c>
      <c r="E13" s="20">
        <v>0.44009999999999999</v>
      </c>
      <c r="F13" s="20">
        <v>0.56440000000000001</v>
      </c>
      <c r="G13" s="20">
        <v>0.67410000000000003</v>
      </c>
      <c r="H13" s="20">
        <v>0.76690000000000003</v>
      </c>
      <c r="I13" s="20">
        <v>0.8407</v>
      </c>
      <c r="J13" s="20">
        <v>0.89380000000000004</v>
      </c>
      <c r="K13" s="20">
        <v>0.92490000000000006</v>
      </c>
      <c r="L13" s="20">
        <v>0.93320000000000003</v>
      </c>
      <c r="M13" s="20">
        <v>0.91849999999999998</v>
      </c>
      <c r="N13" s="20">
        <v>0.88139999999999996</v>
      </c>
      <c r="O13" s="20">
        <v>0.82299999999999995</v>
      </c>
      <c r="P13" s="20">
        <v>0.74550000000000005</v>
      </c>
      <c r="Q13" s="20">
        <v>0.65290000000000004</v>
      </c>
      <c r="R13" s="20">
        <v>0.5524</v>
      </c>
      <c r="S13" s="20">
        <v>0.4556</v>
      </c>
      <c r="T13" s="20">
        <v>0.3795</v>
      </c>
      <c r="U13" s="20">
        <v>0.34370000000000001</v>
      </c>
      <c r="V13" s="20">
        <v>0.36370000000000002</v>
      </c>
      <c r="W13"/>
      <c r="X13"/>
      <c r="Y13">
        <f t="shared" si="1"/>
        <v>0.35</v>
      </c>
      <c r="Z13">
        <v>0.89100000000000001</v>
      </c>
      <c r="AA13" s="4">
        <f t="shared" si="2"/>
        <v>0.35</v>
      </c>
      <c r="AB13" s="4">
        <v>0.81979999999999997</v>
      </c>
      <c r="AC13" s="4">
        <f t="shared" si="2"/>
        <v>0.35</v>
      </c>
      <c r="AD13" s="4">
        <v>0.48170000000000002</v>
      </c>
      <c r="AE13" s="4">
        <f t="shared" si="2"/>
        <v>0.35</v>
      </c>
      <c r="AF13" s="4">
        <v>0.70860000000000001</v>
      </c>
    </row>
    <row r="14" spans="1:32" x14ac:dyDescent="0.2">
      <c r="A14" s="19">
        <v>8.0000000000000002E-3</v>
      </c>
      <c r="B14" s="20">
        <v>0</v>
      </c>
      <c r="C14" s="20">
        <v>0.15570000000000001</v>
      </c>
      <c r="D14" s="20">
        <v>0.30209999999999998</v>
      </c>
      <c r="E14" s="20">
        <v>0.43780000000000002</v>
      </c>
      <c r="F14" s="20">
        <v>0.56089999999999995</v>
      </c>
      <c r="G14" s="20">
        <v>0.6694</v>
      </c>
      <c r="H14" s="20">
        <v>0.76100000000000001</v>
      </c>
      <c r="I14" s="20">
        <v>0.8337</v>
      </c>
      <c r="J14" s="20">
        <v>0.88590000000000002</v>
      </c>
      <c r="K14" s="20">
        <v>0.91620000000000001</v>
      </c>
      <c r="L14" s="20">
        <v>0.92400000000000004</v>
      </c>
      <c r="M14" s="20">
        <v>0.90910000000000002</v>
      </c>
      <c r="N14" s="20">
        <v>0.872</v>
      </c>
      <c r="O14" s="20">
        <v>0.81410000000000005</v>
      </c>
      <c r="P14" s="20">
        <v>0.73799999999999999</v>
      </c>
      <c r="Q14" s="20">
        <v>0.6482</v>
      </c>
      <c r="R14" s="20">
        <v>0.5524</v>
      </c>
      <c r="S14" s="20">
        <v>0.46239999999999998</v>
      </c>
      <c r="T14" s="20">
        <v>0.39429999999999998</v>
      </c>
      <c r="U14" s="20">
        <v>0.36509999999999998</v>
      </c>
      <c r="V14" s="20">
        <v>0.3876</v>
      </c>
      <c r="W14"/>
      <c r="X14"/>
      <c r="Y14">
        <f t="shared" si="1"/>
        <v>0.39999999999999997</v>
      </c>
      <c r="Z14">
        <v>0.95109999999999995</v>
      </c>
      <c r="AA14" s="4">
        <f t="shared" si="2"/>
        <v>0.39999999999999997</v>
      </c>
      <c r="AB14" s="4">
        <v>0.87019999999999997</v>
      </c>
      <c r="AC14" s="4">
        <f t="shared" si="2"/>
        <v>0.39999999999999997</v>
      </c>
      <c r="AD14" s="4">
        <v>0.52859999999999996</v>
      </c>
      <c r="AE14" s="4">
        <f t="shared" si="2"/>
        <v>0.39999999999999997</v>
      </c>
      <c r="AF14" s="4">
        <v>0.79210000000000003</v>
      </c>
    </row>
    <row r="15" spans="1:32" x14ac:dyDescent="0.2">
      <c r="A15" s="19">
        <v>8.9999999999999993E-3</v>
      </c>
      <c r="B15" s="20">
        <v>0</v>
      </c>
      <c r="C15" s="20">
        <v>0.155</v>
      </c>
      <c r="D15" s="20">
        <v>0.30059999999999998</v>
      </c>
      <c r="E15" s="20">
        <v>0.43530000000000002</v>
      </c>
      <c r="F15" s="20">
        <v>0.55730000000000002</v>
      </c>
      <c r="G15" s="20">
        <v>0.66459999999999997</v>
      </c>
      <c r="H15" s="20">
        <v>0.75509999999999999</v>
      </c>
      <c r="I15" s="20">
        <v>0.82669999999999999</v>
      </c>
      <c r="J15" s="20">
        <v>0.878</v>
      </c>
      <c r="K15" s="20">
        <v>0.90759999999999996</v>
      </c>
      <c r="L15" s="20">
        <v>0.91490000000000005</v>
      </c>
      <c r="M15" s="20">
        <v>0.89980000000000004</v>
      </c>
      <c r="N15" s="20">
        <v>0.8629</v>
      </c>
      <c r="O15" s="20">
        <v>0.80569999999999997</v>
      </c>
      <c r="P15" s="20">
        <v>0.73119999999999996</v>
      </c>
      <c r="Q15" s="20">
        <v>0.64429999999999998</v>
      </c>
      <c r="R15" s="20">
        <v>0.55330000000000001</v>
      </c>
      <c r="S15" s="20">
        <v>0.46970000000000001</v>
      </c>
      <c r="T15" s="20">
        <v>0.40860000000000002</v>
      </c>
      <c r="U15" s="20">
        <v>0.3851</v>
      </c>
      <c r="V15" s="20">
        <v>0.40970000000000001</v>
      </c>
      <c r="W15"/>
      <c r="X15"/>
      <c r="Y15">
        <f t="shared" si="1"/>
        <v>0.44999999999999996</v>
      </c>
      <c r="Z15">
        <v>0.98770000000000002</v>
      </c>
      <c r="AA15" s="4">
        <f t="shared" si="2"/>
        <v>0.44999999999999996</v>
      </c>
      <c r="AB15" s="4">
        <v>0.89910000000000001</v>
      </c>
      <c r="AC15" s="4">
        <f t="shared" si="2"/>
        <v>0.44999999999999996</v>
      </c>
      <c r="AD15" s="4">
        <v>0.57099999999999995</v>
      </c>
      <c r="AE15" s="4">
        <f t="shared" si="2"/>
        <v>0.44999999999999996</v>
      </c>
      <c r="AF15" s="4">
        <v>0.872</v>
      </c>
    </row>
    <row r="16" spans="1:32" x14ac:dyDescent="0.2">
      <c r="A16" s="19">
        <v>0.01</v>
      </c>
      <c r="B16" s="20">
        <v>0</v>
      </c>
      <c r="C16" s="20">
        <v>0.1542</v>
      </c>
      <c r="D16" s="20">
        <v>0.29899999999999999</v>
      </c>
      <c r="E16" s="20">
        <v>0.43269999999999997</v>
      </c>
      <c r="F16" s="20">
        <v>0.55369999999999997</v>
      </c>
      <c r="G16" s="20">
        <v>0.65980000000000005</v>
      </c>
      <c r="H16" s="20">
        <v>0.74919999999999998</v>
      </c>
      <c r="I16" s="20">
        <v>0.81979999999999997</v>
      </c>
      <c r="J16" s="20">
        <v>0.87019999999999997</v>
      </c>
      <c r="K16" s="20">
        <v>0.89910000000000001</v>
      </c>
      <c r="L16" s="20">
        <v>0.90590000000000004</v>
      </c>
      <c r="M16" s="20">
        <v>0.89059999999999995</v>
      </c>
      <c r="N16" s="20">
        <v>0.85389999999999999</v>
      </c>
      <c r="O16" s="20">
        <v>0.79759999999999998</v>
      </c>
      <c r="P16" s="20">
        <v>0.72489999999999999</v>
      </c>
      <c r="Q16" s="20">
        <v>0.64119999999999999</v>
      </c>
      <c r="R16" s="20">
        <v>0.55489999999999995</v>
      </c>
      <c r="S16" s="20">
        <v>0.47739999999999999</v>
      </c>
      <c r="T16" s="20">
        <v>0.42259999999999998</v>
      </c>
      <c r="U16" s="20">
        <v>0.40379999999999999</v>
      </c>
      <c r="V16" s="20">
        <v>0.43030000000000002</v>
      </c>
      <c r="W16"/>
      <c r="X16"/>
      <c r="Y16">
        <f t="shared" si="1"/>
        <v>0.49999999999999994</v>
      </c>
      <c r="Z16">
        <v>1</v>
      </c>
      <c r="AA16" s="4">
        <f t="shared" si="2"/>
        <v>0.49999999999999994</v>
      </c>
      <c r="AB16" s="4">
        <v>0.90590000000000004</v>
      </c>
      <c r="AC16" s="4">
        <f t="shared" si="2"/>
        <v>0.49999999999999994</v>
      </c>
      <c r="AD16" s="4">
        <v>0.60980000000000001</v>
      </c>
      <c r="AE16" s="4">
        <f t="shared" si="2"/>
        <v>0.49999999999999994</v>
      </c>
      <c r="AF16" s="4">
        <v>0.94840000000000002</v>
      </c>
    </row>
    <row r="17" spans="1:32" x14ac:dyDescent="0.2">
      <c r="A17" s="19">
        <v>1.0999999999999999E-2</v>
      </c>
      <c r="B17" s="20">
        <v>0</v>
      </c>
      <c r="C17" s="20">
        <v>0.15340000000000001</v>
      </c>
      <c r="D17" s="20">
        <v>0.29730000000000001</v>
      </c>
      <c r="E17" s="20">
        <v>0.43009999999999998</v>
      </c>
      <c r="F17" s="20">
        <v>0.55000000000000004</v>
      </c>
      <c r="G17" s="20">
        <v>0.65510000000000002</v>
      </c>
      <c r="H17" s="20">
        <v>0.74329999999999996</v>
      </c>
      <c r="I17" s="20">
        <v>0.81289999999999996</v>
      </c>
      <c r="J17" s="20">
        <v>0.86240000000000006</v>
      </c>
      <c r="K17" s="20">
        <v>0.89059999999999995</v>
      </c>
      <c r="L17" s="20">
        <v>0.89700000000000002</v>
      </c>
      <c r="M17" s="20">
        <v>0.88160000000000005</v>
      </c>
      <c r="N17" s="20">
        <v>0.84530000000000005</v>
      </c>
      <c r="O17" s="20">
        <v>0.79</v>
      </c>
      <c r="P17" s="20">
        <v>0.71919999999999995</v>
      </c>
      <c r="Q17" s="20">
        <v>0.63880000000000003</v>
      </c>
      <c r="R17" s="20">
        <v>0.55700000000000005</v>
      </c>
      <c r="S17" s="20">
        <v>0.48520000000000002</v>
      </c>
      <c r="T17" s="20">
        <v>0.436</v>
      </c>
      <c r="U17" s="20">
        <v>0.42149999999999999</v>
      </c>
      <c r="V17" s="20">
        <v>0.44950000000000001</v>
      </c>
      <c r="W17"/>
      <c r="X17"/>
      <c r="Y17">
        <f t="shared" si="1"/>
        <v>0.54999999999999993</v>
      </c>
      <c r="Z17">
        <v>0.98770000000000002</v>
      </c>
      <c r="AA17" s="4">
        <f t="shared" si="2"/>
        <v>0.54999999999999993</v>
      </c>
      <c r="AB17" s="4">
        <v>0.89059999999999995</v>
      </c>
      <c r="AC17" s="4">
        <f t="shared" si="2"/>
        <v>0.54999999999999993</v>
      </c>
      <c r="AD17" s="4">
        <v>0.64580000000000004</v>
      </c>
      <c r="AE17" s="4">
        <f t="shared" si="2"/>
        <v>0.54999999999999993</v>
      </c>
      <c r="AF17" s="4">
        <v>1.0215000000000001</v>
      </c>
    </row>
    <row r="18" spans="1:32" x14ac:dyDescent="0.2">
      <c r="A18" s="19">
        <v>1.2E-2</v>
      </c>
      <c r="B18" s="20">
        <v>0</v>
      </c>
      <c r="C18" s="20">
        <v>0.15260000000000001</v>
      </c>
      <c r="D18" s="20">
        <v>0.29559999999999997</v>
      </c>
      <c r="E18" s="20">
        <v>0.42749999999999999</v>
      </c>
      <c r="F18" s="20">
        <v>0.54630000000000001</v>
      </c>
      <c r="G18" s="20">
        <v>0.65029999999999999</v>
      </c>
      <c r="H18" s="20">
        <v>0.73740000000000006</v>
      </c>
      <c r="I18" s="20">
        <v>0.80610000000000004</v>
      </c>
      <c r="J18" s="20">
        <v>0.85470000000000002</v>
      </c>
      <c r="K18" s="20">
        <v>0.88229999999999997</v>
      </c>
      <c r="L18" s="20">
        <v>0.88829999999999998</v>
      </c>
      <c r="M18" s="20">
        <v>0.87280000000000002</v>
      </c>
      <c r="N18" s="20">
        <v>0.83689999999999998</v>
      </c>
      <c r="O18" s="20">
        <v>0.78280000000000005</v>
      </c>
      <c r="P18" s="20">
        <v>0.71409999999999996</v>
      </c>
      <c r="Q18" s="20">
        <v>0.63690000000000002</v>
      </c>
      <c r="R18" s="20">
        <v>0.55969999999999998</v>
      </c>
      <c r="S18" s="20">
        <v>0.49309999999999998</v>
      </c>
      <c r="T18" s="20">
        <v>0.44900000000000001</v>
      </c>
      <c r="U18" s="20">
        <v>0.43819999999999998</v>
      </c>
      <c r="V18" s="20">
        <v>0.46750000000000003</v>
      </c>
      <c r="W18"/>
      <c r="X18"/>
      <c r="Y18">
        <f t="shared" si="1"/>
        <v>0.6</v>
      </c>
      <c r="Z18">
        <v>0.95109999999999995</v>
      </c>
      <c r="AA18" s="4">
        <f t="shared" si="2"/>
        <v>0.6</v>
      </c>
      <c r="AB18" s="4">
        <v>0.85389999999999999</v>
      </c>
      <c r="AC18" s="4">
        <f t="shared" si="2"/>
        <v>0.6</v>
      </c>
      <c r="AD18" s="4">
        <v>0.68</v>
      </c>
      <c r="AE18" s="4">
        <f t="shared" si="2"/>
        <v>0.6</v>
      </c>
      <c r="AF18" s="4">
        <v>1.0915999999999999</v>
      </c>
    </row>
    <row r="19" spans="1:32" x14ac:dyDescent="0.2">
      <c r="A19" s="19">
        <v>1.2999999999999999E-2</v>
      </c>
      <c r="B19" s="20">
        <v>0</v>
      </c>
      <c r="C19" s="20">
        <v>0.1517</v>
      </c>
      <c r="D19" s="20">
        <v>0.29389999999999999</v>
      </c>
      <c r="E19" s="20">
        <v>0.42470000000000002</v>
      </c>
      <c r="F19" s="20">
        <v>0.54259999999999997</v>
      </c>
      <c r="G19" s="20">
        <v>0.64549999999999996</v>
      </c>
      <c r="H19" s="20">
        <v>0.73160000000000003</v>
      </c>
      <c r="I19" s="20">
        <v>0.79930000000000001</v>
      </c>
      <c r="J19" s="20">
        <v>0.84709999999999996</v>
      </c>
      <c r="K19" s="20">
        <v>0.87409999999999999</v>
      </c>
      <c r="L19" s="20">
        <v>0.87970000000000004</v>
      </c>
      <c r="M19" s="20">
        <v>0.86429999999999996</v>
      </c>
      <c r="N19" s="20">
        <v>0.82889999999999997</v>
      </c>
      <c r="O19" s="20">
        <v>0.77600000000000002</v>
      </c>
      <c r="P19" s="20">
        <v>0.70950000000000002</v>
      </c>
      <c r="Q19" s="20">
        <v>0.63560000000000005</v>
      </c>
      <c r="R19" s="20">
        <v>0.56259999999999999</v>
      </c>
      <c r="S19" s="20">
        <v>0.501</v>
      </c>
      <c r="T19" s="20">
        <v>0.46150000000000002</v>
      </c>
      <c r="U19" s="20">
        <v>0.45400000000000001</v>
      </c>
      <c r="V19" s="20">
        <v>0.48459999999999998</v>
      </c>
      <c r="W19"/>
      <c r="X19"/>
      <c r="Y19">
        <f t="shared" si="1"/>
        <v>0.65</v>
      </c>
      <c r="Z19">
        <v>0.89100000000000001</v>
      </c>
      <c r="AA19" s="4">
        <f t="shared" si="2"/>
        <v>0.65</v>
      </c>
      <c r="AB19" s="4">
        <v>0.79759999999999998</v>
      </c>
      <c r="AC19" s="4">
        <f t="shared" si="2"/>
        <v>0.65</v>
      </c>
      <c r="AD19" s="4">
        <v>0.71330000000000005</v>
      </c>
      <c r="AE19" s="4">
        <f t="shared" si="2"/>
        <v>0.65</v>
      </c>
      <c r="AF19" s="4">
        <v>1.1588000000000001</v>
      </c>
    </row>
    <row r="20" spans="1:32" x14ac:dyDescent="0.2">
      <c r="A20" s="19">
        <v>1.4E-2</v>
      </c>
      <c r="B20" s="20">
        <v>0</v>
      </c>
      <c r="C20" s="20">
        <v>0.15079999999999999</v>
      </c>
      <c r="D20" s="20">
        <v>0.29210000000000003</v>
      </c>
      <c r="E20" s="20">
        <v>0.42199999999999999</v>
      </c>
      <c r="F20" s="20">
        <v>0.53879999999999995</v>
      </c>
      <c r="G20" s="20">
        <v>0.64059999999999995</v>
      </c>
      <c r="H20" s="20">
        <v>0.7258</v>
      </c>
      <c r="I20" s="20">
        <v>0.79249999999999998</v>
      </c>
      <c r="J20" s="20">
        <v>0.83950000000000002</v>
      </c>
      <c r="K20" s="20">
        <v>0.8659</v>
      </c>
      <c r="L20" s="20">
        <v>0.87119999999999997</v>
      </c>
      <c r="M20" s="20">
        <v>0.85589999999999999</v>
      </c>
      <c r="N20" s="20">
        <v>0.82110000000000005</v>
      </c>
      <c r="O20" s="20">
        <v>0.76949999999999996</v>
      </c>
      <c r="P20" s="20">
        <v>0.70530000000000004</v>
      </c>
      <c r="Q20" s="20">
        <v>0.63470000000000004</v>
      </c>
      <c r="R20" s="20">
        <v>0.56589999999999996</v>
      </c>
      <c r="S20" s="20">
        <v>0.50880000000000003</v>
      </c>
      <c r="T20" s="20">
        <v>0.47360000000000002</v>
      </c>
      <c r="U20" s="20">
        <v>0.46910000000000002</v>
      </c>
      <c r="V20" s="20">
        <v>0.50070000000000003</v>
      </c>
      <c r="W20"/>
      <c r="X20"/>
      <c r="Y20">
        <f t="shared" si="1"/>
        <v>0.70000000000000007</v>
      </c>
      <c r="Z20">
        <v>0.80900000000000005</v>
      </c>
      <c r="AA20" s="4">
        <f t="shared" si="2"/>
        <v>0.70000000000000007</v>
      </c>
      <c r="AB20" s="4">
        <v>0.72489999999999999</v>
      </c>
      <c r="AC20" s="4">
        <f t="shared" si="2"/>
        <v>0.70000000000000007</v>
      </c>
      <c r="AD20" s="4">
        <v>0.74670000000000003</v>
      </c>
      <c r="AE20" s="4">
        <f t="shared" si="2"/>
        <v>0.70000000000000007</v>
      </c>
      <c r="AF20" s="4">
        <v>1.2233000000000001</v>
      </c>
    </row>
    <row r="21" spans="1:32" x14ac:dyDescent="0.2">
      <c r="A21" s="19">
        <v>1.4999999999999999E-2</v>
      </c>
      <c r="B21" s="20">
        <v>0</v>
      </c>
      <c r="C21" s="20">
        <v>0.14990000000000001</v>
      </c>
      <c r="D21" s="20">
        <v>0.29020000000000001</v>
      </c>
      <c r="E21" s="20">
        <v>0.41920000000000002</v>
      </c>
      <c r="F21" s="20">
        <v>0.53500000000000003</v>
      </c>
      <c r="G21" s="20">
        <v>0.63580000000000003</v>
      </c>
      <c r="H21" s="20">
        <v>0.71989999999999998</v>
      </c>
      <c r="I21" s="20">
        <v>0.78580000000000005</v>
      </c>
      <c r="J21" s="20">
        <v>0.83199999999999996</v>
      </c>
      <c r="K21" s="20">
        <v>0.8579</v>
      </c>
      <c r="L21" s="20">
        <v>0.8629</v>
      </c>
      <c r="M21" s="20">
        <v>0.84770000000000001</v>
      </c>
      <c r="N21" s="20">
        <v>0.81369999999999998</v>
      </c>
      <c r="O21" s="20">
        <v>0.76349999999999996</v>
      </c>
      <c r="P21" s="20">
        <v>0.7016</v>
      </c>
      <c r="Q21" s="20">
        <v>0.63419999999999999</v>
      </c>
      <c r="R21" s="20">
        <v>0.56940000000000002</v>
      </c>
      <c r="S21" s="20">
        <v>0.51659999999999995</v>
      </c>
      <c r="T21" s="20">
        <v>0.48530000000000001</v>
      </c>
      <c r="U21" s="20">
        <v>0.48349999999999999</v>
      </c>
      <c r="V21" s="20">
        <v>0.51600000000000001</v>
      </c>
      <c r="W21"/>
      <c r="X21"/>
      <c r="Y21">
        <f t="shared" si="1"/>
        <v>0.75000000000000011</v>
      </c>
      <c r="Z21">
        <v>0.70709999999999995</v>
      </c>
      <c r="AA21" s="4">
        <f t="shared" si="2"/>
        <v>0.75000000000000011</v>
      </c>
      <c r="AB21" s="4">
        <v>0.64119999999999999</v>
      </c>
      <c r="AC21" s="4">
        <f t="shared" si="2"/>
        <v>0.75000000000000011</v>
      </c>
      <c r="AD21" s="4">
        <v>0.78120000000000001</v>
      </c>
      <c r="AE21" s="4">
        <f t="shared" si="2"/>
        <v>0.75000000000000011</v>
      </c>
      <c r="AF21" s="4">
        <v>1.2850999999999999</v>
      </c>
    </row>
    <row r="22" spans="1:32" x14ac:dyDescent="0.2">
      <c r="A22" s="19">
        <v>1.6E-2</v>
      </c>
      <c r="B22" s="20">
        <v>0</v>
      </c>
      <c r="C22" s="20">
        <v>0.14899999999999999</v>
      </c>
      <c r="D22" s="20">
        <v>0.28839999999999999</v>
      </c>
      <c r="E22" s="20">
        <v>0.41639999999999999</v>
      </c>
      <c r="F22" s="20">
        <v>0.53120000000000001</v>
      </c>
      <c r="G22" s="20">
        <v>0.63100000000000001</v>
      </c>
      <c r="H22" s="20">
        <v>0.71409999999999996</v>
      </c>
      <c r="I22" s="20">
        <v>0.77910000000000001</v>
      </c>
      <c r="J22" s="20">
        <v>0.8246</v>
      </c>
      <c r="K22" s="20">
        <v>0.84989999999999999</v>
      </c>
      <c r="L22" s="20">
        <v>0.8548</v>
      </c>
      <c r="M22" s="20">
        <v>0.83979999999999999</v>
      </c>
      <c r="N22" s="20">
        <v>0.80659999999999998</v>
      </c>
      <c r="O22" s="20">
        <v>0.75790000000000002</v>
      </c>
      <c r="P22" s="20">
        <v>0.69830000000000003</v>
      </c>
      <c r="Q22" s="20">
        <v>0.6341</v>
      </c>
      <c r="R22" s="20">
        <v>0.57310000000000005</v>
      </c>
      <c r="S22" s="20">
        <v>0.52429999999999999</v>
      </c>
      <c r="T22" s="20">
        <v>0.49659999999999999</v>
      </c>
      <c r="U22" s="20">
        <v>0.49719999999999998</v>
      </c>
      <c r="V22" s="20">
        <v>0.53069999999999995</v>
      </c>
      <c r="W22"/>
      <c r="X22"/>
      <c r="Y22">
        <f t="shared" si="1"/>
        <v>0.80000000000000016</v>
      </c>
      <c r="Z22">
        <v>0.58779999999999999</v>
      </c>
      <c r="AA22" s="4">
        <f t="shared" si="2"/>
        <v>0.80000000000000016</v>
      </c>
      <c r="AB22" s="4">
        <v>0.55489999999999995</v>
      </c>
      <c r="AC22" s="4">
        <f t="shared" si="2"/>
        <v>0.80000000000000016</v>
      </c>
      <c r="AD22" s="4">
        <v>0.8175</v>
      </c>
      <c r="AE22" s="4">
        <f t="shared" si="2"/>
        <v>0.80000000000000016</v>
      </c>
      <c r="AF22" s="4">
        <v>1.3446</v>
      </c>
    </row>
    <row r="23" spans="1:32" x14ac:dyDescent="0.2">
      <c r="A23" s="19">
        <v>1.7000000000000001E-2</v>
      </c>
      <c r="B23" s="20">
        <v>0</v>
      </c>
      <c r="C23" s="20">
        <v>0.14799999999999999</v>
      </c>
      <c r="D23" s="20">
        <v>0.28649999999999998</v>
      </c>
      <c r="E23" s="20">
        <v>0.41349999999999998</v>
      </c>
      <c r="F23" s="20">
        <v>0.52729999999999999</v>
      </c>
      <c r="G23" s="20">
        <v>0.62609999999999999</v>
      </c>
      <c r="H23" s="20">
        <v>0.70830000000000004</v>
      </c>
      <c r="I23" s="20">
        <v>0.77239999999999998</v>
      </c>
      <c r="J23" s="20">
        <v>0.81730000000000003</v>
      </c>
      <c r="K23" s="20">
        <v>0.84209999999999996</v>
      </c>
      <c r="L23" s="20">
        <v>0.84689999999999999</v>
      </c>
      <c r="M23" s="20">
        <v>0.83220000000000005</v>
      </c>
      <c r="N23" s="20">
        <v>0.79969999999999997</v>
      </c>
      <c r="O23" s="20">
        <v>0.75260000000000005</v>
      </c>
      <c r="P23" s="20">
        <v>0.69540000000000002</v>
      </c>
      <c r="Q23" s="20">
        <v>0.63429999999999997</v>
      </c>
      <c r="R23" s="20">
        <v>0.57699999999999996</v>
      </c>
      <c r="S23" s="20">
        <v>0.53190000000000004</v>
      </c>
      <c r="T23" s="20">
        <v>0.50749999999999995</v>
      </c>
      <c r="U23" s="20">
        <v>0.51039999999999996</v>
      </c>
      <c r="V23" s="20">
        <v>0.54459999999999997</v>
      </c>
      <c r="W23"/>
      <c r="X23"/>
      <c r="Y23">
        <f t="shared" si="1"/>
        <v>0.8500000000000002</v>
      </c>
      <c r="Z23">
        <v>0.45400000000000001</v>
      </c>
      <c r="AA23" s="4">
        <f t="shared" si="2"/>
        <v>0.8500000000000002</v>
      </c>
      <c r="AB23" s="4">
        <v>0.47739999999999999</v>
      </c>
      <c r="AC23" s="4">
        <f t="shared" si="2"/>
        <v>0.8500000000000002</v>
      </c>
      <c r="AD23" s="4">
        <v>0.85619999999999996</v>
      </c>
      <c r="AE23" s="4">
        <f t="shared" si="2"/>
        <v>0.8500000000000002</v>
      </c>
      <c r="AF23" s="4">
        <v>1.4017999999999999</v>
      </c>
    </row>
    <row r="24" spans="1:32" x14ac:dyDescent="0.2">
      <c r="A24" s="19">
        <v>1.7999999999999999E-2</v>
      </c>
      <c r="B24" s="20">
        <v>0</v>
      </c>
      <c r="C24" s="20">
        <v>0.14699999999999999</v>
      </c>
      <c r="D24" s="20">
        <v>0.28449999999999998</v>
      </c>
      <c r="E24" s="20">
        <v>0.41060000000000002</v>
      </c>
      <c r="F24" s="20">
        <v>0.52339999999999998</v>
      </c>
      <c r="G24" s="20">
        <v>0.62129999999999996</v>
      </c>
      <c r="H24" s="20">
        <v>0.7026</v>
      </c>
      <c r="I24" s="20">
        <v>0.76590000000000003</v>
      </c>
      <c r="J24" s="20">
        <v>0.81</v>
      </c>
      <c r="K24" s="20">
        <v>0.83440000000000003</v>
      </c>
      <c r="L24" s="20">
        <v>0.83909999999999996</v>
      </c>
      <c r="M24" s="20">
        <v>0.82469999999999999</v>
      </c>
      <c r="N24" s="20">
        <v>0.79320000000000002</v>
      </c>
      <c r="O24" s="20">
        <v>0.74770000000000003</v>
      </c>
      <c r="P24" s="20">
        <v>0.69279999999999997</v>
      </c>
      <c r="Q24" s="20">
        <v>0.63480000000000003</v>
      </c>
      <c r="R24" s="20">
        <v>0.58089999999999997</v>
      </c>
      <c r="S24" s="20">
        <v>0.53939999999999999</v>
      </c>
      <c r="T24" s="20">
        <v>0.51800000000000002</v>
      </c>
      <c r="U24" s="20">
        <v>0.52300000000000002</v>
      </c>
      <c r="V24" s="20">
        <v>0.55800000000000005</v>
      </c>
      <c r="W24"/>
      <c r="X24"/>
      <c r="Y24">
        <f t="shared" si="1"/>
        <v>0.90000000000000024</v>
      </c>
      <c r="Z24">
        <v>0.309</v>
      </c>
      <c r="AA24" s="4">
        <f t="shared" si="2"/>
        <v>0.90000000000000024</v>
      </c>
      <c r="AB24" s="4">
        <v>0.42259999999999998</v>
      </c>
      <c r="AC24" s="4">
        <f t="shared" si="2"/>
        <v>0.90000000000000024</v>
      </c>
      <c r="AD24" s="4">
        <v>0.89800000000000002</v>
      </c>
      <c r="AE24" s="4">
        <f t="shared" si="2"/>
        <v>0.90000000000000024</v>
      </c>
      <c r="AF24" s="4">
        <v>1.4567000000000001</v>
      </c>
    </row>
    <row r="25" spans="1:32" x14ac:dyDescent="0.2">
      <c r="A25" s="19">
        <v>1.9E-2</v>
      </c>
      <c r="B25" s="20">
        <v>0</v>
      </c>
      <c r="C25" s="20">
        <v>0.14610000000000001</v>
      </c>
      <c r="D25" s="20">
        <v>0.28260000000000002</v>
      </c>
      <c r="E25" s="20">
        <v>0.40770000000000001</v>
      </c>
      <c r="F25" s="20">
        <v>0.51949999999999996</v>
      </c>
      <c r="G25" s="20">
        <v>0.61650000000000005</v>
      </c>
      <c r="H25" s="20">
        <v>0.69679999999999997</v>
      </c>
      <c r="I25" s="20">
        <v>0.75929999999999997</v>
      </c>
      <c r="J25" s="20">
        <v>0.80289999999999995</v>
      </c>
      <c r="K25" s="20">
        <v>0.82689999999999997</v>
      </c>
      <c r="L25" s="20">
        <v>0.83150000000000002</v>
      </c>
      <c r="M25" s="20">
        <v>0.8175</v>
      </c>
      <c r="N25" s="20">
        <v>0.78700000000000003</v>
      </c>
      <c r="O25" s="20">
        <v>0.74309999999999998</v>
      </c>
      <c r="P25" s="20">
        <v>0.69059999999999999</v>
      </c>
      <c r="Q25" s="20">
        <v>0.63539999999999996</v>
      </c>
      <c r="R25" s="20">
        <v>0.58489999999999998</v>
      </c>
      <c r="S25" s="20">
        <v>0.54679999999999995</v>
      </c>
      <c r="T25" s="20">
        <v>0.52829999999999999</v>
      </c>
      <c r="U25" s="20">
        <v>0.53520000000000001</v>
      </c>
      <c r="V25" s="20">
        <v>0.57079999999999997</v>
      </c>
      <c r="W25"/>
      <c r="X25"/>
      <c r="Y25">
        <f t="shared" si="1"/>
        <v>0.95000000000000029</v>
      </c>
      <c r="Z25">
        <v>0.15640000000000001</v>
      </c>
      <c r="AA25" s="4">
        <f t="shared" si="2"/>
        <v>0.95000000000000029</v>
      </c>
      <c r="AB25" s="4">
        <v>0.40379999999999999</v>
      </c>
      <c r="AC25" s="4">
        <f t="shared" si="2"/>
        <v>0.95000000000000029</v>
      </c>
      <c r="AD25" s="4">
        <v>0.94289999999999996</v>
      </c>
      <c r="AE25" s="4">
        <f t="shared" si="2"/>
        <v>0.95000000000000029</v>
      </c>
      <c r="AF25" s="4">
        <v>1.5096000000000001</v>
      </c>
    </row>
    <row r="26" spans="1:32" x14ac:dyDescent="0.2">
      <c r="A26" s="19">
        <v>0.02</v>
      </c>
      <c r="B26" s="20">
        <v>0</v>
      </c>
      <c r="C26" s="20">
        <v>0.14510000000000001</v>
      </c>
      <c r="D26" s="20">
        <v>0.28060000000000002</v>
      </c>
      <c r="E26" s="20">
        <v>0.4047</v>
      </c>
      <c r="F26" s="20">
        <v>0.51559999999999995</v>
      </c>
      <c r="G26" s="20">
        <v>0.61160000000000003</v>
      </c>
      <c r="H26" s="20">
        <v>0.69110000000000005</v>
      </c>
      <c r="I26" s="20">
        <v>0.75280000000000002</v>
      </c>
      <c r="J26" s="20">
        <v>0.79579999999999995</v>
      </c>
      <c r="K26" s="20">
        <v>0.81950000000000001</v>
      </c>
      <c r="L26" s="20">
        <v>0.82410000000000005</v>
      </c>
      <c r="M26" s="20">
        <v>0.81059999999999999</v>
      </c>
      <c r="N26" s="20">
        <v>0.78110000000000002</v>
      </c>
      <c r="O26" s="20">
        <v>0.73880000000000001</v>
      </c>
      <c r="P26" s="20">
        <v>0.68859999999999999</v>
      </c>
      <c r="Q26" s="20">
        <v>0.63629999999999998</v>
      </c>
      <c r="R26" s="20">
        <v>0.58899999999999997</v>
      </c>
      <c r="S26" s="20">
        <v>0.55400000000000005</v>
      </c>
      <c r="T26" s="20">
        <v>0.53820000000000001</v>
      </c>
      <c r="U26" s="20">
        <v>0.54679999999999995</v>
      </c>
      <c r="V26" s="20">
        <v>0.58299999999999996</v>
      </c>
      <c r="W26"/>
      <c r="X26"/>
      <c r="Y26">
        <f t="shared" si="1"/>
        <v>1.0000000000000002</v>
      </c>
      <c r="Z26">
        <v>0</v>
      </c>
      <c r="AA26" s="4">
        <f t="shared" si="2"/>
        <v>1.0000000000000002</v>
      </c>
      <c r="AB26" s="4">
        <v>0.43030000000000002</v>
      </c>
      <c r="AC26" s="4">
        <f t="shared" si="2"/>
        <v>1.0000000000000002</v>
      </c>
      <c r="AD26" s="4">
        <v>0.99129999999999996</v>
      </c>
      <c r="AE26" s="4">
        <f t="shared" si="2"/>
        <v>1.0000000000000002</v>
      </c>
      <c r="AF26" s="4">
        <v>1.5606</v>
      </c>
    </row>
    <row r="27" spans="1:32" x14ac:dyDescent="0.2">
      <c r="A27" s="19">
        <v>2.1000000000000001E-2</v>
      </c>
      <c r="B27" s="20">
        <v>0</v>
      </c>
      <c r="C27" s="20">
        <v>0.14410000000000001</v>
      </c>
      <c r="D27" s="20">
        <v>0.27860000000000001</v>
      </c>
      <c r="E27" s="20">
        <v>0.40179999999999999</v>
      </c>
      <c r="F27" s="20">
        <v>0.51170000000000004</v>
      </c>
      <c r="G27" s="20">
        <v>0.60680000000000001</v>
      </c>
      <c r="H27" s="20">
        <v>0.68540000000000001</v>
      </c>
      <c r="I27" s="20">
        <v>0.74639999999999995</v>
      </c>
      <c r="J27" s="20">
        <v>0.78879999999999995</v>
      </c>
      <c r="K27" s="20">
        <v>0.81220000000000003</v>
      </c>
      <c r="L27" s="20">
        <v>0.81679999999999997</v>
      </c>
      <c r="M27" s="20">
        <v>0.80379999999999996</v>
      </c>
      <c r="N27" s="20">
        <v>0.77539999999999998</v>
      </c>
      <c r="O27" s="20">
        <v>0.73480000000000001</v>
      </c>
      <c r="P27" s="20">
        <v>0.68689999999999996</v>
      </c>
      <c r="Q27" s="20">
        <v>0.63739999999999997</v>
      </c>
      <c r="R27" s="20">
        <v>0.59309999999999996</v>
      </c>
      <c r="S27" s="20">
        <v>0.56110000000000004</v>
      </c>
      <c r="T27" s="20">
        <v>0.54769999999999996</v>
      </c>
      <c r="U27" s="20">
        <v>0.55810000000000004</v>
      </c>
      <c r="V27" s="20">
        <v>0.59489999999999998</v>
      </c>
      <c r="W27"/>
      <c r="X27"/>
      <c r="Y27"/>
      <c r="Z27"/>
    </row>
    <row r="28" spans="1:32" x14ac:dyDescent="0.2">
      <c r="A28" s="19">
        <v>2.1999999999999999E-2</v>
      </c>
      <c r="B28" s="20">
        <v>0</v>
      </c>
      <c r="C28" s="20">
        <v>0.1431</v>
      </c>
      <c r="D28" s="20">
        <v>0.27660000000000001</v>
      </c>
      <c r="E28" s="20">
        <v>0.39879999999999999</v>
      </c>
      <c r="F28" s="20">
        <v>0.50780000000000003</v>
      </c>
      <c r="G28" s="20">
        <v>0.60199999999999998</v>
      </c>
      <c r="H28" s="20">
        <v>0.67979999999999996</v>
      </c>
      <c r="I28" s="20">
        <v>0.74</v>
      </c>
      <c r="J28" s="20">
        <v>0.78190000000000004</v>
      </c>
      <c r="K28" s="20">
        <v>0.80500000000000005</v>
      </c>
      <c r="L28" s="20">
        <v>0.80979999999999996</v>
      </c>
      <c r="M28" s="20">
        <v>0.7974</v>
      </c>
      <c r="N28" s="20">
        <v>0.77</v>
      </c>
      <c r="O28" s="20">
        <v>0.73109999999999997</v>
      </c>
      <c r="P28" s="20">
        <v>0.68540000000000001</v>
      </c>
      <c r="Q28" s="20">
        <v>0.63859999999999995</v>
      </c>
      <c r="R28" s="20">
        <v>0.59730000000000005</v>
      </c>
      <c r="S28" s="20">
        <v>0.56799999999999995</v>
      </c>
      <c r="T28" s="20">
        <v>0.55710000000000004</v>
      </c>
      <c r="U28" s="20">
        <v>0.56889999999999996</v>
      </c>
      <c r="V28" s="20">
        <v>0.60619999999999996</v>
      </c>
      <c r="W28"/>
      <c r="X28"/>
      <c r="Y28"/>
      <c r="Z28"/>
    </row>
    <row r="29" spans="1:32" x14ac:dyDescent="0.2">
      <c r="A29" s="19">
        <v>2.3E-2</v>
      </c>
      <c r="B29" s="20">
        <v>0</v>
      </c>
      <c r="C29" s="20">
        <v>0.14199999999999999</v>
      </c>
      <c r="D29" s="20">
        <v>0.27460000000000001</v>
      </c>
      <c r="E29" s="20">
        <v>0.39589999999999997</v>
      </c>
      <c r="F29" s="20">
        <v>0.50390000000000001</v>
      </c>
      <c r="G29" s="20">
        <v>0.59719999999999995</v>
      </c>
      <c r="H29" s="20">
        <v>0.67420000000000002</v>
      </c>
      <c r="I29" s="20">
        <v>0.73370000000000002</v>
      </c>
      <c r="J29" s="20">
        <v>0.77510000000000001</v>
      </c>
      <c r="K29" s="20">
        <v>0.79800000000000004</v>
      </c>
      <c r="L29" s="20">
        <v>0.80289999999999995</v>
      </c>
      <c r="M29" s="20">
        <v>0.79110000000000003</v>
      </c>
      <c r="N29" s="20">
        <v>0.76490000000000002</v>
      </c>
      <c r="O29" s="20">
        <v>0.72770000000000001</v>
      </c>
      <c r="P29" s="20">
        <v>0.68420000000000003</v>
      </c>
      <c r="Q29" s="20">
        <v>0.64</v>
      </c>
      <c r="R29" s="20">
        <v>0.60140000000000005</v>
      </c>
      <c r="S29" s="20">
        <v>0.57489999999999997</v>
      </c>
      <c r="T29" s="20">
        <v>0.56610000000000005</v>
      </c>
      <c r="U29" s="20">
        <v>0.57940000000000003</v>
      </c>
      <c r="V29" s="20">
        <v>0.61719999999999997</v>
      </c>
      <c r="W29"/>
      <c r="X29"/>
      <c r="Y29"/>
      <c r="Z29"/>
    </row>
    <row r="30" spans="1:32" x14ac:dyDescent="0.2">
      <c r="A30" s="19">
        <v>2.4E-2</v>
      </c>
      <c r="B30" s="20">
        <v>0</v>
      </c>
      <c r="C30" s="20">
        <v>0.14099999999999999</v>
      </c>
      <c r="D30" s="20">
        <v>0.27260000000000001</v>
      </c>
      <c r="E30" s="20">
        <v>0.39290000000000003</v>
      </c>
      <c r="F30" s="20">
        <v>0.5</v>
      </c>
      <c r="G30" s="20">
        <v>0.59240000000000004</v>
      </c>
      <c r="H30" s="20">
        <v>0.66859999999999997</v>
      </c>
      <c r="I30" s="20">
        <v>0.72750000000000004</v>
      </c>
      <c r="J30" s="20">
        <v>0.76839999999999997</v>
      </c>
      <c r="K30" s="20">
        <v>0.79120000000000001</v>
      </c>
      <c r="L30" s="20">
        <v>0.79630000000000001</v>
      </c>
      <c r="M30" s="20">
        <v>0.78510000000000002</v>
      </c>
      <c r="N30" s="20">
        <v>0.76</v>
      </c>
      <c r="O30" s="20">
        <v>0.72450000000000003</v>
      </c>
      <c r="P30" s="20">
        <v>0.68310000000000004</v>
      </c>
      <c r="Q30" s="20">
        <v>0.64149999999999996</v>
      </c>
      <c r="R30" s="20">
        <v>0.60560000000000003</v>
      </c>
      <c r="S30" s="20">
        <v>0.58150000000000002</v>
      </c>
      <c r="T30" s="20">
        <v>0.57479999999999998</v>
      </c>
      <c r="U30" s="20">
        <v>0.58950000000000002</v>
      </c>
      <c r="V30" s="20">
        <v>0.62780000000000002</v>
      </c>
      <c r="W30"/>
      <c r="X30"/>
      <c r="Y30"/>
      <c r="Z30"/>
    </row>
    <row r="31" spans="1:32" x14ac:dyDescent="0.2">
      <c r="A31" s="19">
        <v>2.5000000000000001E-2</v>
      </c>
      <c r="B31" s="20">
        <v>0</v>
      </c>
      <c r="C31" s="20">
        <v>0.14000000000000001</v>
      </c>
      <c r="D31" s="20">
        <v>0.27060000000000001</v>
      </c>
      <c r="E31" s="20">
        <v>0.38990000000000002</v>
      </c>
      <c r="F31" s="20">
        <v>0.49609999999999999</v>
      </c>
      <c r="G31" s="20">
        <v>0.58760000000000001</v>
      </c>
      <c r="H31" s="20">
        <v>0.66300000000000003</v>
      </c>
      <c r="I31" s="20">
        <v>0.72130000000000005</v>
      </c>
      <c r="J31" s="20">
        <v>0.76180000000000003</v>
      </c>
      <c r="K31" s="20">
        <v>0.78449999999999998</v>
      </c>
      <c r="L31" s="20">
        <v>0.78979999999999995</v>
      </c>
      <c r="M31" s="20">
        <v>0.7792</v>
      </c>
      <c r="N31" s="20">
        <v>0.75529999999999997</v>
      </c>
      <c r="O31" s="20">
        <v>0.72150000000000003</v>
      </c>
      <c r="P31" s="20">
        <v>0.68220000000000003</v>
      </c>
      <c r="Q31" s="20">
        <v>0.64300000000000002</v>
      </c>
      <c r="R31" s="20">
        <v>0.60970000000000002</v>
      </c>
      <c r="S31" s="20">
        <v>0.58809999999999996</v>
      </c>
      <c r="T31" s="20">
        <v>0.58340000000000003</v>
      </c>
      <c r="U31" s="20">
        <v>0.59930000000000005</v>
      </c>
      <c r="V31" s="20">
        <v>0.63800000000000001</v>
      </c>
      <c r="W31"/>
      <c r="X31"/>
      <c r="Y31"/>
      <c r="Z31"/>
    </row>
    <row r="32" spans="1:32" x14ac:dyDescent="0.2">
      <c r="A32" s="19">
        <v>2.5999999999999999E-2</v>
      </c>
      <c r="B32" s="20">
        <v>0</v>
      </c>
      <c r="C32" s="20">
        <v>0.1389</v>
      </c>
      <c r="D32" s="20">
        <v>0.26860000000000001</v>
      </c>
      <c r="E32" s="20">
        <v>0.38690000000000002</v>
      </c>
      <c r="F32" s="20">
        <v>0.49220000000000003</v>
      </c>
      <c r="G32" s="20">
        <v>0.58289999999999997</v>
      </c>
      <c r="H32" s="20">
        <v>0.65749999999999997</v>
      </c>
      <c r="I32" s="20">
        <v>0.71519999999999995</v>
      </c>
      <c r="J32" s="20">
        <v>0.75539999999999996</v>
      </c>
      <c r="K32" s="20">
        <v>0.77790000000000004</v>
      </c>
      <c r="L32" s="20">
        <v>0.78349999999999997</v>
      </c>
      <c r="M32" s="20">
        <v>0.77359999999999995</v>
      </c>
      <c r="N32" s="20">
        <v>0.75090000000000001</v>
      </c>
      <c r="O32" s="20">
        <v>0.71870000000000001</v>
      </c>
      <c r="P32" s="20">
        <v>0.68149999999999999</v>
      </c>
      <c r="Q32" s="20">
        <v>0.64470000000000005</v>
      </c>
      <c r="R32" s="20">
        <v>0.61380000000000001</v>
      </c>
      <c r="S32" s="20">
        <v>0.59450000000000003</v>
      </c>
      <c r="T32" s="20">
        <v>0.59160000000000001</v>
      </c>
      <c r="U32" s="20">
        <v>0.60880000000000001</v>
      </c>
      <c r="V32" s="20">
        <v>0.64790000000000003</v>
      </c>
      <c r="W32"/>
      <c r="X32"/>
      <c r="Y32"/>
      <c r="Z32"/>
    </row>
    <row r="33" spans="1:26" x14ac:dyDescent="0.2">
      <c r="A33" s="19">
        <v>2.7E-2</v>
      </c>
      <c r="B33" s="20">
        <v>0</v>
      </c>
      <c r="C33" s="20">
        <v>0.13789999999999999</v>
      </c>
      <c r="D33" s="20">
        <v>0.26650000000000001</v>
      </c>
      <c r="E33" s="20">
        <v>0.38390000000000002</v>
      </c>
      <c r="F33" s="20">
        <v>0.48830000000000001</v>
      </c>
      <c r="G33" s="20">
        <v>0.57809999999999995</v>
      </c>
      <c r="H33" s="20">
        <v>0.65210000000000001</v>
      </c>
      <c r="I33" s="20">
        <v>0.70920000000000005</v>
      </c>
      <c r="J33" s="20">
        <v>0.749</v>
      </c>
      <c r="K33" s="20">
        <v>0.77149999999999996</v>
      </c>
      <c r="L33" s="20">
        <v>0.77739999999999998</v>
      </c>
      <c r="M33" s="20">
        <v>0.76819999999999999</v>
      </c>
      <c r="N33" s="20">
        <v>0.74670000000000003</v>
      </c>
      <c r="O33" s="20">
        <v>0.71609999999999996</v>
      </c>
      <c r="P33" s="20">
        <v>0.68100000000000005</v>
      </c>
      <c r="Q33" s="20">
        <v>0.64649999999999996</v>
      </c>
      <c r="R33" s="20">
        <v>0.6179</v>
      </c>
      <c r="S33" s="20">
        <v>0.6008</v>
      </c>
      <c r="T33" s="20">
        <v>0.59970000000000001</v>
      </c>
      <c r="U33" s="20">
        <v>0.61799999999999999</v>
      </c>
      <c r="V33" s="20">
        <v>0.65749999999999997</v>
      </c>
      <c r="W33"/>
      <c r="X33"/>
      <c r="Y33"/>
      <c r="Z33"/>
    </row>
    <row r="34" spans="1:26" x14ac:dyDescent="0.2">
      <c r="A34" s="19">
        <v>2.8000000000000001E-2</v>
      </c>
      <c r="B34" s="20">
        <v>0</v>
      </c>
      <c r="C34" s="20">
        <v>0.13689999999999999</v>
      </c>
      <c r="D34" s="20">
        <v>0.26450000000000001</v>
      </c>
      <c r="E34" s="20">
        <v>0.38090000000000002</v>
      </c>
      <c r="F34" s="20">
        <v>0.4844</v>
      </c>
      <c r="G34" s="20">
        <v>0.57340000000000002</v>
      </c>
      <c r="H34" s="20">
        <v>0.64670000000000005</v>
      </c>
      <c r="I34" s="20">
        <v>0.70330000000000004</v>
      </c>
      <c r="J34" s="20">
        <v>0.74280000000000002</v>
      </c>
      <c r="K34" s="20">
        <v>0.76519999999999999</v>
      </c>
      <c r="L34" s="20">
        <v>0.77139999999999997</v>
      </c>
      <c r="M34" s="20">
        <v>0.76300000000000001</v>
      </c>
      <c r="N34" s="20">
        <v>0.74270000000000003</v>
      </c>
      <c r="O34" s="20">
        <v>0.7137</v>
      </c>
      <c r="P34" s="20">
        <v>0.68059999999999998</v>
      </c>
      <c r="Q34" s="20">
        <v>0.64829999999999999</v>
      </c>
      <c r="R34" s="20">
        <v>0.622</v>
      </c>
      <c r="S34" s="20">
        <v>0.60699999999999998</v>
      </c>
      <c r="T34" s="20">
        <v>0.60750000000000004</v>
      </c>
      <c r="U34" s="20">
        <v>0.62690000000000001</v>
      </c>
      <c r="V34" s="20">
        <v>0.66669999999999996</v>
      </c>
      <c r="W34"/>
      <c r="X34"/>
      <c r="Y34"/>
      <c r="Z34"/>
    </row>
    <row r="35" spans="1:26" x14ac:dyDescent="0.2">
      <c r="A35" s="19">
        <v>2.9000000000000001E-2</v>
      </c>
      <c r="B35" s="20">
        <v>0</v>
      </c>
      <c r="C35" s="20">
        <v>0.1358</v>
      </c>
      <c r="D35" s="20">
        <v>0.26250000000000001</v>
      </c>
      <c r="E35" s="20">
        <v>0.378</v>
      </c>
      <c r="F35" s="20">
        <v>0.48060000000000003</v>
      </c>
      <c r="G35" s="20">
        <v>0.56879999999999997</v>
      </c>
      <c r="H35" s="20">
        <v>0.64139999999999997</v>
      </c>
      <c r="I35" s="20">
        <v>0.69740000000000002</v>
      </c>
      <c r="J35" s="20">
        <v>0.73660000000000003</v>
      </c>
      <c r="K35" s="20">
        <v>0.7591</v>
      </c>
      <c r="L35" s="20">
        <v>0.76559999999999995</v>
      </c>
      <c r="M35" s="20">
        <v>0.75800000000000001</v>
      </c>
      <c r="N35" s="20">
        <v>0.73880000000000001</v>
      </c>
      <c r="O35" s="20">
        <v>0.71150000000000002</v>
      </c>
      <c r="P35" s="20">
        <v>0.68030000000000002</v>
      </c>
      <c r="Q35" s="20">
        <v>0.65010000000000001</v>
      </c>
      <c r="R35" s="20">
        <v>0.62609999999999999</v>
      </c>
      <c r="S35" s="20">
        <v>0.61299999999999999</v>
      </c>
      <c r="T35" s="20">
        <v>0.61519999999999997</v>
      </c>
      <c r="U35" s="20">
        <v>0.63560000000000005</v>
      </c>
      <c r="V35" s="20">
        <v>0.67569999999999997</v>
      </c>
      <c r="W35"/>
      <c r="X35"/>
      <c r="Y35"/>
      <c r="Z35"/>
    </row>
    <row r="36" spans="1:26" x14ac:dyDescent="0.2">
      <c r="A36" s="19">
        <v>0.03</v>
      </c>
      <c r="B36" s="20">
        <v>0</v>
      </c>
      <c r="C36" s="20">
        <v>0.1348</v>
      </c>
      <c r="D36" s="20">
        <v>0.26040000000000002</v>
      </c>
      <c r="E36" s="20">
        <v>0.375</v>
      </c>
      <c r="F36" s="20">
        <v>0.47670000000000001</v>
      </c>
      <c r="G36" s="20">
        <v>0.56420000000000003</v>
      </c>
      <c r="H36" s="20">
        <v>0.6361</v>
      </c>
      <c r="I36" s="20">
        <v>0.69169999999999998</v>
      </c>
      <c r="J36" s="20">
        <v>0.73060000000000003</v>
      </c>
      <c r="K36" s="20">
        <v>0.75309999999999999</v>
      </c>
      <c r="L36" s="20">
        <v>0.76</v>
      </c>
      <c r="M36" s="20">
        <v>0.75319999999999998</v>
      </c>
      <c r="N36" s="20">
        <v>0.73519999999999996</v>
      </c>
      <c r="O36" s="20">
        <v>0.70950000000000002</v>
      </c>
      <c r="P36" s="20">
        <v>0.68020000000000003</v>
      </c>
      <c r="Q36" s="20">
        <v>0.65210000000000001</v>
      </c>
      <c r="R36" s="20">
        <v>0.63009999999999999</v>
      </c>
      <c r="S36" s="20">
        <v>0.61890000000000001</v>
      </c>
      <c r="T36" s="20">
        <v>0.62260000000000004</v>
      </c>
      <c r="U36" s="20">
        <v>0.64400000000000002</v>
      </c>
      <c r="V36" s="20">
        <v>0.6845</v>
      </c>
      <c r="W36"/>
      <c r="X36"/>
      <c r="Y36"/>
      <c r="Z36"/>
    </row>
    <row r="37" spans="1:26" x14ac:dyDescent="0.2">
      <c r="A37" s="19">
        <v>3.1E-2</v>
      </c>
      <c r="B37" s="20">
        <v>0</v>
      </c>
      <c r="C37" s="20">
        <v>0.13370000000000001</v>
      </c>
      <c r="D37" s="20">
        <v>0.25840000000000002</v>
      </c>
      <c r="E37" s="20">
        <v>0.372</v>
      </c>
      <c r="F37" s="20">
        <v>0.47289999999999999</v>
      </c>
      <c r="G37" s="20">
        <v>0.55959999999999999</v>
      </c>
      <c r="H37" s="20">
        <v>0.63090000000000002</v>
      </c>
      <c r="I37" s="20">
        <v>0.68600000000000005</v>
      </c>
      <c r="J37" s="20">
        <v>0.72470000000000001</v>
      </c>
      <c r="K37" s="20">
        <v>0.74719999999999998</v>
      </c>
      <c r="L37" s="20">
        <v>0.75460000000000005</v>
      </c>
      <c r="M37" s="20">
        <v>0.74860000000000004</v>
      </c>
      <c r="N37" s="20">
        <v>0.73180000000000001</v>
      </c>
      <c r="O37" s="20">
        <v>0.70760000000000001</v>
      </c>
      <c r="P37" s="20">
        <v>0.68010000000000004</v>
      </c>
      <c r="Q37" s="20">
        <v>0.65400000000000003</v>
      </c>
      <c r="R37" s="20">
        <v>0.6341</v>
      </c>
      <c r="S37" s="20">
        <v>0.62470000000000003</v>
      </c>
      <c r="T37" s="20">
        <v>0.62980000000000003</v>
      </c>
      <c r="U37" s="20">
        <v>0.65210000000000001</v>
      </c>
      <c r="V37" s="20">
        <v>0.69289999999999996</v>
      </c>
      <c r="W37"/>
      <c r="X37"/>
      <c r="Y37"/>
      <c r="Z37"/>
    </row>
    <row r="38" spans="1:26" x14ac:dyDescent="0.2">
      <c r="A38" s="19">
        <v>3.2000000000000001E-2</v>
      </c>
      <c r="B38" s="20">
        <v>0</v>
      </c>
      <c r="C38" s="20">
        <v>0.13270000000000001</v>
      </c>
      <c r="D38" s="20">
        <v>0.25640000000000002</v>
      </c>
      <c r="E38" s="20">
        <v>0.36909999999999998</v>
      </c>
      <c r="F38" s="20">
        <v>0.46910000000000002</v>
      </c>
      <c r="G38" s="20">
        <v>0.55500000000000005</v>
      </c>
      <c r="H38" s="20">
        <v>0.62570000000000003</v>
      </c>
      <c r="I38" s="20">
        <v>0.6804</v>
      </c>
      <c r="J38" s="20">
        <v>0.71889999999999998</v>
      </c>
      <c r="K38" s="20">
        <v>0.74150000000000005</v>
      </c>
      <c r="L38" s="20">
        <v>0.74929999999999997</v>
      </c>
      <c r="M38" s="20">
        <v>0.74409999999999998</v>
      </c>
      <c r="N38" s="20">
        <v>0.72850000000000004</v>
      </c>
      <c r="O38" s="20">
        <v>0.70579999999999998</v>
      </c>
      <c r="P38" s="20">
        <v>0.68020000000000003</v>
      </c>
      <c r="Q38" s="20">
        <v>0.65600000000000003</v>
      </c>
      <c r="R38" s="20">
        <v>0.63800000000000001</v>
      </c>
      <c r="S38" s="20">
        <v>0.63039999999999996</v>
      </c>
      <c r="T38" s="20">
        <v>0.63690000000000002</v>
      </c>
      <c r="U38" s="20">
        <v>0.66</v>
      </c>
      <c r="V38" s="20">
        <v>0.70120000000000005</v>
      </c>
      <c r="W38"/>
      <c r="X38"/>
      <c r="Y38"/>
      <c r="Z38"/>
    </row>
    <row r="39" spans="1:26" x14ac:dyDescent="0.2">
      <c r="A39" s="19">
        <v>3.3000000000000002E-2</v>
      </c>
      <c r="B39" s="20">
        <v>0</v>
      </c>
      <c r="C39" s="20">
        <v>0.13170000000000001</v>
      </c>
      <c r="D39" s="20">
        <v>0.25430000000000003</v>
      </c>
      <c r="E39" s="20">
        <v>0.36609999999999998</v>
      </c>
      <c r="F39" s="20">
        <v>0.46529999999999999</v>
      </c>
      <c r="G39" s="20">
        <v>0.55049999999999999</v>
      </c>
      <c r="H39" s="20">
        <v>0.62060000000000004</v>
      </c>
      <c r="I39" s="20">
        <v>0.67490000000000006</v>
      </c>
      <c r="J39" s="20">
        <v>0.71319999999999995</v>
      </c>
      <c r="K39" s="20">
        <v>0.73599999999999999</v>
      </c>
      <c r="L39" s="20">
        <v>0.74419999999999997</v>
      </c>
      <c r="M39" s="20">
        <v>0.73980000000000001</v>
      </c>
      <c r="N39" s="20">
        <v>0.72540000000000004</v>
      </c>
      <c r="O39" s="20">
        <v>0.70420000000000005</v>
      </c>
      <c r="P39" s="20">
        <v>0.68030000000000002</v>
      </c>
      <c r="Q39" s="20">
        <v>0.65810000000000002</v>
      </c>
      <c r="R39" s="20">
        <v>0.64190000000000003</v>
      </c>
      <c r="S39" s="20">
        <v>0.63600000000000001</v>
      </c>
      <c r="T39" s="20">
        <v>0.64380000000000004</v>
      </c>
      <c r="U39" s="20">
        <v>0.66779999999999995</v>
      </c>
      <c r="V39" s="20">
        <v>0.70920000000000005</v>
      </c>
      <c r="W39"/>
      <c r="X39"/>
      <c r="Y39"/>
      <c r="Z39"/>
    </row>
    <row r="40" spans="1:26" x14ac:dyDescent="0.2">
      <c r="A40" s="19">
        <v>3.4000000000000002E-2</v>
      </c>
      <c r="B40" s="20">
        <v>0</v>
      </c>
      <c r="C40" s="20">
        <v>0.13059999999999999</v>
      </c>
      <c r="D40" s="20">
        <v>0.25230000000000002</v>
      </c>
      <c r="E40" s="20">
        <v>0.36320000000000002</v>
      </c>
      <c r="F40" s="20">
        <v>0.46160000000000001</v>
      </c>
      <c r="G40" s="20">
        <v>0.54600000000000004</v>
      </c>
      <c r="H40" s="20">
        <v>0.61560000000000004</v>
      </c>
      <c r="I40" s="20">
        <v>0.66949999999999998</v>
      </c>
      <c r="J40" s="20">
        <v>0.7077</v>
      </c>
      <c r="K40" s="20">
        <v>0.73060000000000003</v>
      </c>
      <c r="L40" s="20">
        <v>0.73929999999999996</v>
      </c>
      <c r="M40" s="20">
        <v>0.73570000000000002</v>
      </c>
      <c r="N40" s="20">
        <v>0.72240000000000004</v>
      </c>
      <c r="O40" s="20">
        <v>0.70269999999999999</v>
      </c>
      <c r="P40" s="20">
        <v>0.68059999999999998</v>
      </c>
      <c r="Q40" s="20">
        <v>0.66010000000000002</v>
      </c>
      <c r="R40" s="20">
        <v>0.64580000000000004</v>
      </c>
      <c r="S40" s="20">
        <v>0.64139999999999997</v>
      </c>
      <c r="T40" s="20">
        <v>0.65049999999999997</v>
      </c>
      <c r="U40" s="20">
        <v>0.67530000000000001</v>
      </c>
      <c r="V40" s="20">
        <v>0.71689999999999998</v>
      </c>
      <c r="W40"/>
      <c r="X40"/>
      <c r="Y40"/>
      <c r="Z40"/>
    </row>
    <row r="41" spans="1:26" x14ac:dyDescent="0.2">
      <c r="A41" s="19">
        <v>3.5000000000000003E-2</v>
      </c>
      <c r="B41" s="20">
        <v>0</v>
      </c>
      <c r="C41" s="20">
        <v>0.12959999999999999</v>
      </c>
      <c r="D41" s="20">
        <v>0.25030000000000002</v>
      </c>
      <c r="E41" s="20">
        <v>0.36030000000000001</v>
      </c>
      <c r="F41" s="20">
        <v>0.45789999999999997</v>
      </c>
      <c r="G41" s="20">
        <v>0.54159999999999997</v>
      </c>
      <c r="H41" s="20">
        <v>0.61060000000000003</v>
      </c>
      <c r="I41" s="20">
        <v>0.66420000000000001</v>
      </c>
      <c r="J41" s="20">
        <v>0.70220000000000005</v>
      </c>
      <c r="K41" s="20">
        <v>0.72529999999999994</v>
      </c>
      <c r="L41" s="20">
        <v>0.73450000000000004</v>
      </c>
      <c r="M41" s="20">
        <v>0.73170000000000002</v>
      </c>
      <c r="N41" s="20">
        <v>0.71960000000000002</v>
      </c>
      <c r="O41" s="20">
        <v>0.70140000000000002</v>
      </c>
      <c r="P41" s="20">
        <v>0.68089999999999995</v>
      </c>
      <c r="Q41" s="20">
        <v>0.66220000000000001</v>
      </c>
      <c r="R41" s="20">
        <v>0.64959999999999996</v>
      </c>
      <c r="S41" s="20">
        <v>0.64680000000000004</v>
      </c>
      <c r="T41" s="20">
        <v>0.65700000000000003</v>
      </c>
      <c r="U41" s="20">
        <v>0.68259999999999998</v>
      </c>
      <c r="V41" s="20">
        <v>0.72450000000000003</v>
      </c>
      <c r="W41"/>
      <c r="X41"/>
      <c r="Y41"/>
      <c r="Z41"/>
    </row>
    <row r="42" spans="1:26" x14ac:dyDescent="0.2">
      <c r="A42" s="19">
        <v>3.5999999999999997E-2</v>
      </c>
      <c r="B42" s="20">
        <v>0</v>
      </c>
      <c r="C42" s="20">
        <v>0.12859999999999999</v>
      </c>
      <c r="D42" s="20">
        <v>0.24829999999999999</v>
      </c>
      <c r="E42" s="20">
        <v>0.3574</v>
      </c>
      <c r="F42" s="20">
        <v>0.45419999999999999</v>
      </c>
      <c r="G42" s="20">
        <v>0.5373</v>
      </c>
      <c r="H42" s="20">
        <v>0.60570000000000002</v>
      </c>
      <c r="I42" s="20">
        <v>0.65890000000000004</v>
      </c>
      <c r="J42" s="20">
        <v>0.69689999999999996</v>
      </c>
      <c r="K42" s="20">
        <v>0.72009999999999996</v>
      </c>
      <c r="L42" s="20">
        <v>0.7298</v>
      </c>
      <c r="M42" s="20">
        <v>0.72789999999999999</v>
      </c>
      <c r="N42" s="20">
        <v>0.71689999999999998</v>
      </c>
      <c r="O42" s="20">
        <v>0.70009999999999994</v>
      </c>
      <c r="P42" s="20">
        <v>0.68130000000000002</v>
      </c>
      <c r="Q42" s="20">
        <v>0.6643</v>
      </c>
      <c r="R42" s="20">
        <v>0.65329999999999999</v>
      </c>
      <c r="S42" s="20">
        <v>0.65200000000000002</v>
      </c>
      <c r="T42" s="20">
        <v>0.66339999999999999</v>
      </c>
      <c r="U42" s="20">
        <v>0.68969999999999998</v>
      </c>
      <c r="V42" s="20">
        <v>0.7319</v>
      </c>
      <c r="W42"/>
      <c r="X42"/>
      <c r="Y42"/>
      <c r="Z42"/>
    </row>
    <row r="43" spans="1:26" x14ac:dyDescent="0.2">
      <c r="A43" s="19">
        <v>3.6999999999999998E-2</v>
      </c>
      <c r="B43" s="20">
        <v>0</v>
      </c>
      <c r="C43" s="20">
        <v>0.1275</v>
      </c>
      <c r="D43" s="20">
        <v>0.24640000000000001</v>
      </c>
      <c r="E43" s="20">
        <v>0.35460000000000003</v>
      </c>
      <c r="F43" s="20">
        <v>0.45050000000000001</v>
      </c>
      <c r="G43" s="20">
        <v>0.53290000000000004</v>
      </c>
      <c r="H43" s="20">
        <v>0.60089999999999999</v>
      </c>
      <c r="I43" s="20">
        <v>0.65380000000000005</v>
      </c>
      <c r="J43" s="20">
        <v>0.69169999999999998</v>
      </c>
      <c r="K43" s="20">
        <v>0.71509999999999996</v>
      </c>
      <c r="L43" s="20">
        <v>0.72529999999999994</v>
      </c>
      <c r="M43" s="20">
        <v>0.72419999999999995</v>
      </c>
      <c r="N43" s="20">
        <v>0.71440000000000003</v>
      </c>
      <c r="O43" s="20">
        <v>0.69899999999999995</v>
      </c>
      <c r="P43" s="20">
        <v>0.68169999999999997</v>
      </c>
      <c r="Q43" s="20">
        <v>0.66639999999999999</v>
      </c>
      <c r="R43" s="20">
        <v>0.65700000000000003</v>
      </c>
      <c r="S43" s="20">
        <v>0.65720000000000001</v>
      </c>
      <c r="T43" s="20">
        <v>0.66969999999999996</v>
      </c>
      <c r="U43" s="20">
        <v>0.69669999999999999</v>
      </c>
      <c r="V43" s="20">
        <v>0.73909999999999998</v>
      </c>
      <c r="W43"/>
      <c r="X43"/>
      <c r="Y43"/>
      <c r="Z43"/>
    </row>
    <row r="44" spans="1:26" x14ac:dyDescent="0.2">
      <c r="A44" s="19">
        <v>3.7999999999999999E-2</v>
      </c>
      <c r="B44" s="20">
        <v>0</v>
      </c>
      <c r="C44" s="20">
        <v>0.1265</v>
      </c>
      <c r="D44" s="20">
        <v>0.24440000000000001</v>
      </c>
      <c r="E44" s="20">
        <v>0.35170000000000001</v>
      </c>
      <c r="F44" s="20">
        <v>0.44690000000000002</v>
      </c>
      <c r="G44" s="20">
        <v>0.52869999999999995</v>
      </c>
      <c r="H44" s="20">
        <v>0.59609999999999996</v>
      </c>
      <c r="I44" s="20">
        <v>0.64870000000000005</v>
      </c>
      <c r="J44" s="20">
        <v>0.68659999999999999</v>
      </c>
      <c r="K44" s="20">
        <v>0.71020000000000005</v>
      </c>
      <c r="L44" s="20">
        <v>0.72099999999999997</v>
      </c>
      <c r="M44" s="20">
        <v>0.72070000000000001</v>
      </c>
      <c r="N44" s="20">
        <v>0.71199999999999997</v>
      </c>
      <c r="O44" s="20">
        <v>0.69799999999999995</v>
      </c>
      <c r="P44" s="20">
        <v>0.68220000000000003</v>
      </c>
      <c r="Q44" s="20">
        <v>0.66849999999999998</v>
      </c>
      <c r="R44" s="20">
        <v>0.66069999999999995</v>
      </c>
      <c r="S44" s="20">
        <v>0.66220000000000001</v>
      </c>
      <c r="T44" s="20">
        <v>0.67579999999999996</v>
      </c>
      <c r="U44" s="20">
        <v>0.70340000000000003</v>
      </c>
      <c r="V44" s="20">
        <v>0.74609999999999999</v>
      </c>
      <c r="W44"/>
      <c r="X44"/>
      <c r="Y44"/>
      <c r="Z44"/>
    </row>
    <row r="45" spans="1:26" x14ac:dyDescent="0.2">
      <c r="A45" s="19">
        <v>3.9E-2</v>
      </c>
      <c r="B45" s="20">
        <v>0</v>
      </c>
      <c r="C45" s="20">
        <v>0.1255</v>
      </c>
      <c r="D45" s="20">
        <v>0.2424</v>
      </c>
      <c r="E45" s="20">
        <v>0.34889999999999999</v>
      </c>
      <c r="F45" s="20">
        <v>0.44330000000000003</v>
      </c>
      <c r="G45" s="20">
        <v>0.52449999999999997</v>
      </c>
      <c r="H45" s="20">
        <v>0.59140000000000004</v>
      </c>
      <c r="I45" s="20">
        <v>0.64380000000000004</v>
      </c>
      <c r="J45" s="20">
        <v>0.68159999999999998</v>
      </c>
      <c r="K45" s="20">
        <v>0.70550000000000002</v>
      </c>
      <c r="L45" s="20">
        <v>0.7167</v>
      </c>
      <c r="M45" s="20">
        <v>0.71730000000000005</v>
      </c>
      <c r="N45" s="20">
        <v>0.7097</v>
      </c>
      <c r="O45" s="20">
        <v>0.69699999999999995</v>
      </c>
      <c r="P45" s="20">
        <v>0.68279999999999996</v>
      </c>
      <c r="Q45" s="20">
        <v>0.67069999999999996</v>
      </c>
      <c r="R45" s="20">
        <v>0.66439999999999999</v>
      </c>
      <c r="S45" s="20">
        <v>0.66710000000000003</v>
      </c>
      <c r="T45" s="20">
        <v>0.68179999999999996</v>
      </c>
      <c r="U45" s="20">
        <v>0.71</v>
      </c>
      <c r="V45" s="20">
        <v>0.75290000000000001</v>
      </c>
      <c r="W45"/>
      <c r="X45"/>
      <c r="Y45"/>
      <c r="Z45"/>
    </row>
    <row r="46" spans="1:26" x14ac:dyDescent="0.2">
      <c r="A46" s="19">
        <v>0.04</v>
      </c>
      <c r="B46" s="20">
        <v>0</v>
      </c>
      <c r="C46" s="20">
        <v>0.1245</v>
      </c>
      <c r="D46" s="20">
        <v>0.24049999999999999</v>
      </c>
      <c r="E46" s="20">
        <v>0.34610000000000002</v>
      </c>
      <c r="F46" s="20">
        <v>0.43980000000000002</v>
      </c>
      <c r="G46" s="20">
        <v>0.52029999999999998</v>
      </c>
      <c r="H46" s="20">
        <v>0.58679999999999999</v>
      </c>
      <c r="I46" s="20">
        <v>0.63890000000000002</v>
      </c>
      <c r="J46" s="20">
        <v>0.67669999999999997</v>
      </c>
      <c r="K46" s="20">
        <v>0.70079999999999998</v>
      </c>
      <c r="L46" s="20">
        <v>0.71260000000000001</v>
      </c>
      <c r="M46" s="20">
        <v>0.71399999999999997</v>
      </c>
      <c r="N46" s="20">
        <v>0.70750000000000002</v>
      </c>
      <c r="O46" s="20">
        <v>0.69620000000000004</v>
      </c>
      <c r="P46" s="20">
        <v>0.68340000000000001</v>
      </c>
      <c r="Q46" s="20">
        <v>0.67279999999999995</v>
      </c>
      <c r="R46" s="20">
        <v>0.66790000000000005</v>
      </c>
      <c r="S46" s="20">
        <v>0.67200000000000004</v>
      </c>
      <c r="T46" s="20">
        <v>0.68759999999999999</v>
      </c>
      <c r="U46" s="20">
        <v>0.71650000000000003</v>
      </c>
      <c r="V46" s="20">
        <v>0.75949999999999995</v>
      </c>
      <c r="W46"/>
      <c r="X46"/>
      <c r="Y46"/>
      <c r="Z46"/>
    </row>
    <row r="47" spans="1:26" x14ac:dyDescent="0.2">
      <c r="A47" s="19">
        <v>4.1000000000000002E-2</v>
      </c>
      <c r="B47" s="20">
        <v>0</v>
      </c>
      <c r="C47" s="20">
        <v>0.1235</v>
      </c>
      <c r="D47" s="20">
        <v>0.23860000000000001</v>
      </c>
      <c r="E47" s="20">
        <v>0.34329999999999999</v>
      </c>
      <c r="F47" s="20">
        <v>0.43630000000000002</v>
      </c>
      <c r="G47" s="20">
        <v>0.51619999999999999</v>
      </c>
      <c r="H47" s="20">
        <v>0.58230000000000004</v>
      </c>
      <c r="I47" s="20">
        <v>0.6341</v>
      </c>
      <c r="J47" s="20">
        <v>0.67190000000000005</v>
      </c>
      <c r="K47" s="20">
        <v>0.69630000000000003</v>
      </c>
      <c r="L47" s="20">
        <v>0.7087</v>
      </c>
      <c r="M47" s="20">
        <v>0.71089999999999998</v>
      </c>
      <c r="N47" s="20">
        <v>0.70540000000000003</v>
      </c>
      <c r="O47" s="20">
        <v>0.69540000000000002</v>
      </c>
      <c r="P47" s="20">
        <v>0.68410000000000004</v>
      </c>
      <c r="Q47" s="20">
        <v>0.67490000000000006</v>
      </c>
      <c r="R47" s="20">
        <v>0.67149999999999999</v>
      </c>
      <c r="S47" s="20">
        <v>0.67679999999999996</v>
      </c>
      <c r="T47" s="20">
        <v>0.69330000000000003</v>
      </c>
      <c r="U47" s="20">
        <v>0.7228</v>
      </c>
      <c r="V47" s="20">
        <v>0.76600000000000001</v>
      </c>
      <c r="W47"/>
      <c r="X47"/>
      <c r="Y47"/>
      <c r="Z47"/>
    </row>
    <row r="48" spans="1:26" x14ac:dyDescent="0.2">
      <c r="A48" s="19">
        <v>4.2000000000000003E-2</v>
      </c>
      <c r="B48" s="20">
        <v>0</v>
      </c>
      <c r="C48" s="20">
        <v>0.1225</v>
      </c>
      <c r="D48" s="20">
        <v>0.23669999999999999</v>
      </c>
      <c r="E48" s="20">
        <v>0.34060000000000001</v>
      </c>
      <c r="F48" s="20">
        <v>0.43280000000000002</v>
      </c>
      <c r="G48" s="20">
        <v>0.5121</v>
      </c>
      <c r="H48" s="20">
        <v>0.57779999999999998</v>
      </c>
      <c r="I48" s="20">
        <v>0.62939999999999996</v>
      </c>
      <c r="J48" s="20">
        <v>0.66720000000000002</v>
      </c>
      <c r="K48" s="20">
        <v>0.69189999999999996</v>
      </c>
      <c r="L48" s="20">
        <v>0.70479999999999998</v>
      </c>
      <c r="M48" s="20">
        <v>0.70779999999999998</v>
      </c>
      <c r="N48" s="20">
        <v>0.70350000000000001</v>
      </c>
      <c r="O48" s="20">
        <v>0.69469999999999998</v>
      </c>
      <c r="P48" s="20">
        <v>0.68479999999999996</v>
      </c>
      <c r="Q48" s="20">
        <v>0.67710000000000004</v>
      </c>
      <c r="R48" s="20">
        <v>0.67500000000000004</v>
      </c>
      <c r="S48" s="20">
        <v>0.68140000000000001</v>
      </c>
      <c r="T48" s="20">
        <v>0.69889999999999997</v>
      </c>
      <c r="U48" s="20">
        <v>0.72889999999999999</v>
      </c>
      <c r="V48" s="20">
        <v>0.77239999999999998</v>
      </c>
      <c r="W48"/>
      <c r="X48"/>
      <c r="Y48"/>
      <c r="Z48"/>
    </row>
    <row r="49" spans="1:26" x14ac:dyDescent="0.2">
      <c r="A49" s="19">
        <v>4.2999999999999997E-2</v>
      </c>
      <c r="B49" s="20">
        <v>0</v>
      </c>
      <c r="C49" s="20">
        <v>0.1215</v>
      </c>
      <c r="D49" s="20">
        <v>0.23480000000000001</v>
      </c>
      <c r="E49" s="20">
        <v>0.33789999999999998</v>
      </c>
      <c r="F49" s="20">
        <v>0.4294</v>
      </c>
      <c r="G49" s="20">
        <v>0.5081</v>
      </c>
      <c r="H49" s="20">
        <v>0.57340000000000002</v>
      </c>
      <c r="I49" s="20">
        <v>0.62480000000000002</v>
      </c>
      <c r="J49" s="20">
        <v>0.66269999999999996</v>
      </c>
      <c r="K49" s="20">
        <v>0.68759999999999999</v>
      </c>
      <c r="L49" s="20">
        <v>0.70109999999999995</v>
      </c>
      <c r="M49" s="20">
        <v>0.70489999999999997</v>
      </c>
      <c r="N49" s="20">
        <v>0.7016</v>
      </c>
      <c r="O49" s="20">
        <v>0.69410000000000005</v>
      </c>
      <c r="P49" s="20">
        <v>0.6855</v>
      </c>
      <c r="Q49" s="20">
        <v>0.67920000000000003</v>
      </c>
      <c r="R49" s="20">
        <v>0.6784</v>
      </c>
      <c r="S49" s="20">
        <v>0.68600000000000005</v>
      </c>
      <c r="T49" s="20">
        <v>0.70430000000000004</v>
      </c>
      <c r="U49" s="20">
        <v>0.73499999999999999</v>
      </c>
      <c r="V49" s="20">
        <v>0.77859999999999996</v>
      </c>
      <c r="W49"/>
      <c r="X49"/>
      <c r="Y49"/>
      <c r="Z49"/>
    </row>
    <row r="50" spans="1:26" x14ac:dyDescent="0.2">
      <c r="A50" s="19">
        <v>4.3999999999999997E-2</v>
      </c>
      <c r="B50" s="20">
        <v>0</v>
      </c>
      <c r="C50" s="20">
        <v>0.1206</v>
      </c>
      <c r="D50" s="20">
        <v>0.2329</v>
      </c>
      <c r="E50" s="20">
        <v>0.3352</v>
      </c>
      <c r="F50" s="20">
        <v>0.42599999999999999</v>
      </c>
      <c r="G50" s="20">
        <v>0.50419999999999998</v>
      </c>
      <c r="H50" s="20">
        <v>0.56910000000000005</v>
      </c>
      <c r="I50" s="20">
        <v>0.62029999999999996</v>
      </c>
      <c r="J50" s="20">
        <v>0.65820000000000001</v>
      </c>
      <c r="K50" s="20">
        <v>0.6835</v>
      </c>
      <c r="L50" s="20">
        <v>0.69750000000000001</v>
      </c>
      <c r="M50" s="20">
        <v>0.70209999999999995</v>
      </c>
      <c r="N50" s="20">
        <v>0.69989999999999997</v>
      </c>
      <c r="O50" s="20">
        <v>0.69350000000000001</v>
      </c>
      <c r="P50" s="20">
        <v>0.68630000000000002</v>
      </c>
      <c r="Q50" s="20">
        <v>0.68130000000000002</v>
      </c>
      <c r="R50" s="20">
        <v>0.68179999999999996</v>
      </c>
      <c r="S50" s="20">
        <v>0.6905</v>
      </c>
      <c r="T50" s="20">
        <v>0.7097</v>
      </c>
      <c r="U50" s="20">
        <v>0.74080000000000001</v>
      </c>
      <c r="V50" s="20">
        <v>0.78459999999999996</v>
      </c>
      <c r="W50"/>
      <c r="X50"/>
      <c r="Y50"/>
      <c r="Z50"/>
    </row>
    <row r="51" spans="1:26" x14ac:dyDescent="0.2">
      <c r="A51" s="19">
        <v>4.4999999999999998E-2</v>
      </c>
      <c r="B51" s="20">
        <v>0</v>
      </c>
      <c r="C51" s="20">
        <v>0.1196</v>
      </c>
      <c r="D51" s="20">
        <v>0.23100000000000001</v>
      </c>
      <c r="E51" s="20">
        <v>0.33260000000000001</v>
      </c>
      <c r="F51" s="20">
        <v>0.42270000000000002</v>
      </c>
      <c r="G51" s="20">
        <v>0.50029999999999997</v>
      </c>
      <c r="H51" s="20">
        <v>0.56479999999999997</v>
      </c>
      <c r="I51" s="20">
        <v>0.6159</v>
      </c>
      <c r="J51" s="20">
        <v>0.65380000000000005</v>
      </c>
      <c r="K51" s="20">
        <v>0.6794</v>
      </c>
      <c r="L51" s="20">
        <v>0.69399999999999995</v>
      </c>
      <c r="M51" s="20">
        <v>0.69940000000000002</v>
      </c>
      <c r="N51" s="20">
        <v>0.69820000000000004</v>
      </c>
      <c r="O51" s="20">
        <v>0.69310000000000005</v>
      </c>
      <c r="P51" s="20">
        <v>0.68710000000000004</v>
      </c>
      <c r="Q51" s="20">
        <v>0.6835</v>
      </c>
      <c r="R51" s="20">
        <v>0.68520000000000003</v>
      </c>
      <c r="S51" s="20">
        <v>0.69499999999999995</v>
      </c>
      <c r="T51" s="20">
        <v>0.71489999999999998</v>
      </c>
      <c r="U51" s="20">
        <v>0.74660000000000004</v>
      </c>
      <c r="V51" s="20">
        <v>0.79049999999999998</v>
      </c>
      <c r="W51"/>
      <c r="X51"/>
      <c r="Y51"/>
      <c r="Z51"/>
    </row>
    <row r="52" spans="1:26" x14ac:dyDescent="0.2">
      <c r="A52" s="19">
        <v>4.5999999999999999E-2</v>
      </c>
      <c r="B52" s="20">
        <v>0</v>
      </c>
      <c r="C52" s="20">
        <v>0.1187</v>
      </c>
      <c r="D52" s="20">
        <v>0.22919999999999999</v>
      </c>
      <c r="E52" s="20">
        <v>0.32990000000000003</v>
      </c>
      <c r="F52" s="20">
        <v>0.4194</v>
      </c>
      <c r="G52" s="20">
        <v>0.4965</v>
      </c>
      <c r="H52" s="20">
        <v>0.56069999999999998</v>
      </c>
      <c r="I52" s="20">
        <v>0.61160000000000003</v>
      </c>
      <c r="J52" s="20">
        <v>0.64959999999999996</v>
      </c>
      <c r="K52" s="20">
        <v>0.67549999999999999</v>
      </c>
      <c r="L52" s="20">
        <v>0.69059999999999999</v>
      </c>
      <c r="M52" s="20">
        <v>0.69689999999999996</v>
      </c>
      <c r="N52" s="20">
        <v>0.6966</v>
      </c>
      <c r="O52" s="20">
        <v>0.69269999999999998</v>
      </c>
      <c r="P52" s="20">
        <v>0.68799999999999994</v>
      </c>
      <c r="Q52" s="20">
        <v>0.68559999999999999</v>
      </c>
      <c r="R52" s="20">
        <v>0.6885</v>
      </c>
      <c r="S52" s="20">
        <v>0.69930000000000003</v>
      </c>
      <c r="T52" s="20">
        <v>0.72009999999999996</v>
      </c>
      <c r="U52" s="20">
        <v>0.75219999999999998</v>
      </c>
      <c r="V52" s="20">
        <v>0.79630000000000001</v>
      </c>
      <c r="W52"/>
      <c r="X52"/>
      <c r="Y52"/>
      <c r="Z52"/>
    </row>
    <row r="53" spans="1:26" x14ac:dyDescent="0.2">
      <c r="A53" s="19">
        <v>4.7E-2</v>
      </c>
      <c r="B53" s="20">
        <v>0</v>
      </c>
      <c r="C53" s="20">
        <v>0.1177</v>
      </c>
      <c r="D53" s="20">
        <v>0.22739999999999999</v>
      </c>
      <c r="E53" s="20">
        <v>0.32729999999999998</v>
      </c>
      <c r="F53" s="20">
        <v>0.41610000000000003</v>
      </c>
      <c r="G53" s="20">
        <v>0.49280000000000002</v>
      </c>
      <c r="H53" s="20">
        <v>0.55659999999999998</v>
      </c>
      <c r="I53" s="20">
        <v>0.60729999999999995</v>
      </c>
      <c r="J53" s="20">
        <v>0.64539999999999997</v>
      </c>
      <c r="K53" s="20">
        <v>0.67159999999999997</v>
      </c>
      <c r="L53" s="20">
        <v>0.68730000000000002</v>
      </c>
      <c r="M53" s="20">
        <v>0.69440000000000002</v>
      </c>
      <c r="N53" s="20">
        <v>0.69510000000000005</v>
      </c>
      <c r="O53" s="20">
        <v>0.69230000000000003</v>
      </c>
      <c r="P53" s="20">
        <v>0.68879999999999997</v>
      </c>
      <c r="Q53" s="20">
        <v>0.68769999999999998</v>
      </c>
      <c r="R53" s="20">
        <v>0.69179999999999997</v>
      </c>
      <c r="S53" s="20">
        <v>0.7036</v>
      </c>
      <c r="T53" s="20">
        <v>0.72509999999999997</v>
      </c>
      <c r="U53" s="20">
        <v>0.75770000000000004</v>
      </c>
      <c r="V53" s="20">
        <v>0.80189999999999995</v>
      </c>
      <c r="W53"/>
      <c r="X53"/>
      <c r="Y53"/>
      <c r="Z53"/>
    </row>
    <row r="54" spans="1:26" x14ac:dyDescent="0.2">
      <c r="A54" s="19">
        <v>4.8000000000000001E-2</v>
      </c>
      <c r="B54" s="20">
        <v>0</v>
      </c>
      <c r="C54" s="20">
        <v>0.1168</v>
      </c>
      <c r="D54" s="20">
        <v>0.22559999999999999</v>
      </c>
      <c r="E54" s="20">
        <v>0.32479999999999998</v>
      </c>
      <c r="F54" s="20">
        <v>0.41299999999999998</v>
      </c>
      <c r="G54" s="20">
        <v>0.48909999999999998</v>
      </c>
      <c r="H54" s="20">
        <v>0.55249999999999999</v>
      </c>
      <c r="I54" s="20">
        <v>0.60319999999999996</v>
      </c>
      <c r="J54" s="20">
        <v>0.64139999999999997</v>
      </c>
      <c r="K54" s="20">
        <v>0.66790000000000005</v>
      </c>
      <c r="L54" s="20">
        <v>0.68410000000000004</v>
      </c>
      <c r="M54" s="20">
        <v>0.69199999999999995</v>
      </c>
      <c r="N54" s="20">
        <v>0.69369999999999998</v>
      </c>
      <c r="O54" s="20">
        <v>0.69199999999999995</v>
      </c>
      <c r="P54" s="20">
        <v>0.68969999999999998</v>
      </c>
      <c r="Q54" s="20">
        <v>0.68979999999999997</v>
      </c>
      <c r="R54" s="20">
        <v>0.69499999999999995</v>
      </c>
      <c r="S54" s="20">
        <v>0.7077</v>
      </c>
      <c r="T54" s="20">
        <v>0.73</v>
      </c>
      <c r="U54" s="20">
        <v>0.7631</v>
      </c>
      <c r="V54" s="20">
        <v>0.8075</v>
      </c>
      <c r="W54"/>
      <c r="X54"/>
      <c r="Y54"/>
      <c r="Z54"/>
    </row>
    <row r="55" spans="1:26" x14ac:dyDescent="0.2">
      <c r="A55" s="19">
        <v>4.9000000000000002E-2</v>
      </c>
      <c r="B55" s="20">
        <v>0</v>
      </c>
      <c r="C55" s="20">
        <v>0.1159</v>
      </c>
      <c r="D55" s="20">
        <v>0.2238</v>
      </c>
      <c r="E55" s="20">
        <v>0.32229999999999998</v>
      </c>
      <c r="F55" s="20">
        <v>0.4098</v>
      </c>
      <c r="G55" s="20">
        <v>0.4854</v>
      </c>
      <c r="H55" s="20">
        <v>0.54859999999999998</v>
      </c>
      <c r="I55" s="20">
        <v>0.59909999999999997</v>
      </c>
      <c r="J55" s="20">
        <v>0.63739999999999997</v>
      </c>
      <c r="K55" s="20">
        <v>0.6643</v>
      </c>
      <c r="L55" s="20">
        <v>0.68110000000000004</v>
      </c>
      <c r="M55" s="20">
        <v>0.68969999999999998</v>
      </c>
      <c r="N55" s="20">
        <v>0.69240000000000002</v>
      </c>
      <c r="O55" s="20">
        <v>0.69179999999999997</v>
      </c>
      <c r="P55" s="20">
        <v>0.69069999999999998</v>
      </c>
      <c r="Q55" s="20">
        <v>0.69189999999999996</v>
      </c>
      <c r="R55" s="20">
        <v>0.69820000000000004</v>
      </c>
      <c r="S55" s="20">
        <v>0.71189999999999998</v>
      </c>
      <c r="T55" s="20">
        <v>0.73480000000000001</v>
      </c>
      <c r="U55" s="20">
        <v>0.76829999999999998</v>
      </c>
      <c r="V55" s="20">
        <v>0.81289999999999996</v>
      </c>
      <c r="W55"/>
      <c r="X55"/>
      <c r="Y55"/>
      <c r="Z55"/>
    </row>
    <row r="56" spans="1:26" x14ac:dyDescent="0.2">
      <c r="A56" s="19">
        <v>0.05</v>
      </c>
      <c r="B56" s="20">
        <v>0</v>
      </c>
      <c r="C56" s="20">
        <v>0.115</v>
      </c>
      <c r="D56" s="20">
        <v>0.22209999999999999</v>
      </c>
      <c r="E56" s="20">
        <v>0.31979999999999997</v>
      </c>
      <c r="F56" s="20">
        <v>0.40670000000000001</v>
      </c>
      <c r="G56" s="20">
        <v>0.4819</v>
      </c>
      <c r="H56" s="20">
        <v>0.54469999999999996</v>
      </c>
      <c r="I56" s="20">
        <v>0.59519999999999995</v>
      </c>
      <c r="J56" s="20">
        <v>0.63349999999999995</v>
      </c>
      <c r="K56" s="20">
        <v>0.66069999999999995</v>
      </c>
      <c r="L56" s="20">
        <v>0.67810000000000004</v>
      </c>
      <c r="M56" s="20">
        <v>0.6875</v>
      </c>
      <c r="N56" s="20">
        <v>0.69110000000000005</v>
      </c>
      <c r="O56" s="20">
        <v>0.69159999999999999</v>
      </c>
      <c r="P56" s="20">
        <v>0.69159999999999999</v>
      </c>
      <c r="Q56" s="20">
        <v>0.69399999999999995</v>
      </c>
      <c r="R56" s="20">
        <v>0.70130000000000003</v>
      </c>
      <c r="S56" s="20">
        <v>0.71589999999999998</v>
      </c>
      <c r="T56" s="20">
        <v>0.73960000000000004</v>
      </c>
      <c r="U56" s="20">
        <v>0.77349999999999997</v>
      </c>
      <c r="V56" s="20">
        <v>0.81820000000000004</v>
      </c>
      <c r="W56"/>
      <c r="X56"/>
      <c r="Y56"/>
      <c r="Z56"/>
    </row>
    <row r="57" spans="1:26" x14ac:dyDescent="0.2">
      <c r="A57" s="19">
        <v>5.0999999999999997E-2</v>
      </c>
      <c r="B57" s="20">
        <v>0</v>
      </c>
      <c r="C57" s="20">
        <v>0.11409999999999999</v>
      </c>
      <c r="D57" s="20">
        <v>0.22040000000000001</v>
      </c>
      <c r="E57" s="20">
        <v>0.31730000000000003</v>
      </c>
      <c r="F57" s="20">
        <v>0.40360000000000001</v>
      </c>
      <c r="G57" s="20">
        <v>0.47839999999999999</v>
      </c>
      <c r="H57" s="20">
        <v>0.54090000000000005</v>
      </c>
      <c r="I57" s="20">
        <v>0.59130000000000005</v>
      </c>
      <c r="J57" s="20">
        <v>0.62980000000000003</v>
      </c>
      <c r="K57" s="20">
        <v>0.6573</v>
      </c>
      <c r="L57" s="20">
        <v>0.67520000000000002</v>
      </c>
      <c r="M57" s="20">
        <v>0.68530000000000002</v>
      </c>
      <c r="N57" s="20">
        <v>0.68989999999999996</v>
      </c>
      <c r="O57" s="20">
        <v>0.69140000000000001</v>
      </c>
      <c r="P57" s="20">
        <v>0.69259999999999999</v>
      </c>
      <c r="Q57" s="20">
        <v>0.69610000000000005</v>
      </c>
      <c r="R57" s="20">
        <v>0.70440000000000003</v>
      </c>
      <c r="S57" s="20">
        <v>0.71989999999999998</v>
      </c>
      <c r="T57" s="20">
        <v>0.74419999999999997</v>
      </c>
      <c r="U57" s="20">
        <v>0.77849999999999997</v>
      </c>
      <c r="V57" s="20">
        <v>0.82340000000000002</v>
      </c>
      <c r="W57"/>
      <c r="X57"/>
      <c r="Y57"/>
      <c r="Z57"/>
    </row>
    <row r="58" spans="1:26" x14ac:dyDescent="0.2">
      <c r="A58" s="19">
        <v>5.1999999999999998E-2</v>
      </c>
      <c r="B58" s="20">
        <v>0</v>
      </c>
      <c r="C58" s="20">
        <v>0.1132</v>
      </c>
      <c r="D58" s="20">
        <v>0.21870000000000001</v>
      </c>
      <c r="E58" s="20">
        <v>0.31490000000000001</v>
      </c>
      <c r="F58" s="20">
        <v>0.40060000000000001</v>
      </c>
      <c r="G58" s="20">
        <v>0.47489999999999999</v>
      </c>
      <c r="H58" s="20">
        <v>0.53720000000000001</v>
      </c>
      <c r="I58" s="20">
        <v>0.58750000000000002</v>
      </c>
      <c r="J58" s="20">
        <v>0.62609999999999999</v>
      </c>
      <c r="K58" s="20">
        <v>0.65390000000000004</v>
      </c>
      <c r="L58" s="20">
        <v>0.6724</v>
      </c>
      <c r="M58" s="20">
        <v>0.68330000000000002</v>
      </c>
      <c r="N58" s="20">
        <v>0.68879999999999997</v>
      </c>
      <c r="O58" s="20">
        <v>0.69130000000000003</v>
      </c>
      <c r="P58" s="20">
        <v>0.69359999999999999</v>
      </c>
      <c r="Q58" s="20">
        <v>0.69810000000000005</v>
      </c>
      <c r="R58" s="20">
        <v>0.70750000000000002</v>
      </c>
      <c r="S58" s="20">
        <v>0.7238</v>
      </c>
      <c r="T58" s="20">
        <v>0.74870000000000003</v>
      </c>
      <c r="U58" s="20">
        <v>0.78349999999999997</v>
      </c>
      <c r="V58" s="20">
        <v>0.82840000000000003</v>
      </c>
      <c r="W58"/>
      <c r="X58"/>
      <c r="Y58"/>
      <c r="Z58"/>
    </row>
    <row r="59" spans="1:26" x14ac:dyDescent="0.2">
      <c r="A59" s="19">
        <v>5.2999999999999999E-2</v>
      </c>
      <c r="B59" s="20">
        <v>0</v>
      </c>
      <c r="C59" s="20">
        <v>0.1123</v>
      </c>
      <c r="D59" s="20">
        <v>0.217</v>
      </c>
      <c r="E59" s="20">
        <v>0.31259999999999999</v>
      </c>
      <c r="F59" s="20">
        <v>0.3977</v>
      </c>
      <c r="G59" s="20">
        <v>0.47149999999999997</v>
      </c>
      <c r="H59" s="20">
        <v>0.53349999999999997</v>
      </c>
      <c r="I59" s="20">
        <v>0.5837</v>
      </c>
      <c r="J59" s="20">
        <v>0.62250000000000005</v>
      </c>
      <c r="K59" s="20">
        <v>0.65069999999999995</v>
      </c>
      <c r="L59" s="20">
        <v>0.66969999999999996</v>
      </c>
      <c r="M59" s="20">
        <v>0.68130000000000002</v>
      </c>
      <c r="N59" s="20">
        <v>0.68769999999999998</v>
      </c>
      <c r="O59" s="20">
        <v>0.69130000000000003</v>
      </c>
      <c r="P59" s="20">
        <v>0.6946</v>
      </c>
      <c r="Q59" s="20">
        <v>0.70020000000000004</v>
      </c>
      <c r="R59" s="20">
        <v>0.71050000000000002</v>
      </c>
      <c r="S59" s="20">
        <v>0.72760000000000002</v>
      </c>
      <c r="T59" s="20">
        <v>0.75319999999999998</v>
      </c>
      <c r="U59" s="20">
        <v>0.7883</v>
      </c>
      <c r="V59" s="20">
        <v>0.83340000000000003</v>
      </c>
      <c r="W59"/>
      <c r="X59"/>
      <c r="Y59"/>
      <c r="Z59"/>
    </row>
    <row r="60" spans="1:26" x14ac:dyDescent="0.2">
      <c r="A60" s="19">
        <v>5.3999999999999999E-2</v>
      </c>
      <c r="B60" s="20">
        <v>0</v>
      </c>
      <c r="C60" s="20">
        <v>0.1114</v>
      </c>
      <c r="D60" s="20">
        <v>0.21540000000000001</v>
      </c>
      <c r="E60" s="20">
        <v>0.31019999999999998</v>
      </c>
      <c r="F60" s="20">
        <v>0.39479999999999998</v>
      </c>
      <c r="G60" s="20">
        <v>0.46820000000000001</v>
      </c>
      <c r="H60" s="20">
        <v>0.53</v>
      </c>
      <c r="I60" s="20">
        <v>0.58009999999999995</v>
      </c>
      <c r="J60" s="20">
        <v>0.61899999999999999</v>
      </c>
      <c r="K60" s="20">
        <v>0.64749999999999996</v>
      </c>
      <c r="L60" s="20">
        <v>0.66710000000000003</v>
      </c>
      <c r="M60" s="20">
        <v>0.67949999999999999</v>
      </c>
      <c r="N60" s="20">
        <v>0.68669999999999998</v>
      </c>
      <c r="O60" s="20">
        <v>0.69130000000000003</v>
      </c>
      <c r="P60" s="20">
        <v>0.6956</v>
      </c>
      <c r="Q60" s="20">
        <v>0.70220000000000005</v>
      </c>
      <c r="R60" s="20">
        <v>0.71350000000000002</v>
      </c>
      <c r="S60" s="20">
        <v>0.73140000000000005</v>
      </c>
      <c r="T60" s="20">
        <v>0.75760000000000005</v>
      </c>
      <c r="U60" s="20">
        <v>0.79310000000000003</v>
      </c>
      <c r="V60" s="20">
        <v>0.83830000000000005</v>
      </c>
      <c r="W60"/>
      <c r="X60"/>
      <c r="Y60"/>
      <c r="Z60"/>
    </row>
    <row r="61" spans="1:26" x14ac:dyDescent="0.2">
      <c r="A61" s="19">
        <v>5.5E-2</v>
      </c>
      <c r="B61" s="20">
        <v>0</v>
      </c>
      <c r="C61" s="20">
        <v>0.1106</v>
      </c>
      <c r="D61" s="20">
        <v>0.2137</v>
      </c>
      <c r="E61" s="20">
        <v>0.30790000000000001</v>
      </c>
      <c r="F61" s="20">
        <v>0.39190000000000003</v>
      </c>
      <c r="G61" s="20">
        <v>0.46489999999999998</v>
      </c>
      <c r="H61" s="20">
        <v>0.52649999999999997</v>
      </c>
      <c r="I61" s="20">
        <v>0.57650000000000001</v>
      </c>
      <c r="J61" s="20">
        <v>0.61560000000000004</v>
      </c>
      <c r="K61" s="20">
        <v>0.64449999999999996</v>
      </c>
      <c r="L61" s="20">
        <v>0.66459999999999997</v>
      </c>
      <c r="M61" s="20">
        <v>0.67769999999999997</v>
      </c>
      <c r="N61" s="20">
        <v>0.68579999999999997</v>
      </c>
      <c r="O61" s="20">
        <v>0.69130000000000003</v>
      </c>
      <c r="P61" s="20">
        <v>0.6966</v>
      </c>
      <c r="Q61" s="20">
        <v>0.70420000000000005</v>
      </c>
      <c r="R61" s="20">
        <v>0.71640000000000004</v>
      </c>
      <c r="S61" s="20">
        <v>0.73509999999999998</v>
      </c>
      <c r="T61" s="20">
        <v>0.76190000000000002</v>
      </c>
      <c r="U61" s="20">
        <v>0.79769999999999996</v>
      </c>
      <c r="V61" s="20">
        <v>0.84309999999999996</v>
      </c>
      <c r="W61"/>
      <c r="X61"/>
      <c r="Y61"/>
      <c r="Z61"/>
    </row>
    <row r="62" spans="1:26" x14ac:dyDescent="0.2">
      <c r="A62" s="19">
        <v>5.6000000000000001E-2</v>
      </c>
      <c r="B62" s="20">
        <v>0</v>
      </c>
      <c r="C62" s="20">
        <v>0.10979999999999999</v>
      </c>
      <c r="D62" s="20">
        <v>0.21210000000000001</v>
      </c>
      <c r="E62" s="20">
        <v>0.30559999999999998</v>
      </c>
      <c r="F62" s="20">
        <v>0.3891</v>
      </c>
      <c r="G62" s="20">
        <v>0.4617</v>
      </c>
      <c r="H62" s="20">
        <v>0.52300000000000002</v>
      </c>
      <c r="I62" s="20">
        <v>0.57299999999999995</v>
      </c>
      <c r="J62" s="20">
        <v>0.61219999999999997</v>
      </c>
      <c r="K62" s="20">
        <v>0.64149999999999996</v>
      </c>
      <c r="L62" s="20">
        <v>0.66210000000000002</v>
      </c>
      <c r="M62" s="20">
        <v>0.67589999999999995</v>
      </c>
      <c r="N62" s="20">
        <v>0.68489999999999995</v>
      </c>
      <c r="O62" s="20">
        <v>0.69130000000000003</v>
      </c>
      <c r="P62" s="20">
        <v>0.69769999999999999</v>
      </c>
      <c r="Q62" s="20">
        <v>0.70630000000000004</v>
      </c>
      <c r="R62" s="20">
        <v>0.71930000000000005</v>
      </c>
      <c r="S62" s="20">
        <v>0.73880000000000001</v>
      </c>
      <c r="T62" s="20">
        <v>0.7661</v>
      </c>
      <c r="U62" s="20">
        <v>0.80230000000000001</v>
      </c>
      <c r="V62" s="20">
        <v>0.84770000000000001</v>
      </c>
      <c r="W62"/>
      <c r="X62"/>
      <c r="Y62"/>
      <c r="Z62"/>
    </row>
    <row r="63" spans="1:26" x14ac:dyDescent="0.2">
      <c r="A63" s="19">
        <v>5.7000000000000002E-2</v>
      </c>
      <c r="B63" s="20">
        <v>0</v>
      </c>
      <c r="C63" s="20">
        <v>0.1089</v>
      </c>
      <c r="D63" s="20">
        <v>0.21060000000000001</v>
      </c>
      <c r="E63" s="20">
        <v>0.3034</v>
      </c>
      <c r="F63" s="20">
        <v>0.38629999999999998</v>
      </c>
      <c r="G63" s="20">
        <v>0.45860000000000001</v>
      </c>
      <c r="H63" s="20">
        <v>0.51970000000000005</v>
      </c>
      <c r="I63" s="20">
        <v>0.5696</v>
      </c>
      <c r="J63" s="20">
        <v>0.60899999999999999</v>
      </c>
      <c r="K63" s="20">
        <v>0.63859999999999995</v>
      </c>
      <c r="L63" s="20">
        <v>0.65980000000000005</v>
      </c>
      <c r="M63" s="20">
        <v>0.67430000000000001</v>
      </c>
      <c r="N63" s="20">
        <v>0.68410000000000004</v>
      </c>
      <c r="O63" s="20">
        <v>0.69140000000000001</v>
      </c>
      <c r="P63" s="20">
        <v>0.69869999999999999</v>
      </c>
      <c r="Q63" s="20">
        <v>0.70830000000000004</v>
      </c>
      <c r="R63" s="20">
        <v>0.72219999999999995</v>
      </c>
      <c r="S63" s="20">
        <v>0.74239999999999995</v>
      </c>
      <c r="T63" s="20">
        <v>0.7702</v>
      </c>
      <c r="U63" s="20">
        <v>0.80679999999999996</v>
      </c>
      <c r="V63" s="20">
        <v>0.85229999999999995</v>
      </c>
      <c r="W63"/>
      <c r="X63"/>
      <c r="Y63"/>
      <c r="Z63"/>
    </row>
    <row r="64" spans="1:26" x14ac:dyDescent="0.2">
      <c r="A64" s="19">
        <v>5.8000000000000003E-2</v>
      </c>
      <c r="B64" s="20">
        <v>0</v>
      </c>
      <c r="C64" s="20">
        <v>0.1081</v>
      </c>
      <c r="D64" s="20">
        <v>0.20899999999999999</v>
      </c>
      <c r="E64" s="20">
        <v>0.30120000000000002</v>
      </c>
      <c r="F64" s="20">
        <v>0.3836</v>
      </c>
      <c r="G64" s="20">
        <v>0.45550000000000002</v>
      </c>
      <c r="H64" s="20">
        <v>0.51639999999999997</v>
      </c>
      <c r="I64" s="20">
        <v>0.56630000000000003</v>
      </c>
      <c r="J64" s="20">
        <v>0.60580000000000001</v>
      </c>
      <c r="K64" s="20">
        <v>0.63580000000000003</v>
      </c>
      <c r="L64" s="20">
        <v>0.65749999999999997</v>
      </c>
      <c r="M64" s="20">
        <v>0.67269999999999996</v>
      </c>
      <c r="N64" s="20">
        <v>0.68330000000000002</v>
      </c>
      <c r="O64" s="20">
        <v>0.69159999999999999</v>
      </c>
      <c r="P64" s="20">
        <v>0.69979999999999998</v>
      </c>
      <c r="Q64" s="20">
        <v>0.71020000000000005</v>
      </c>
      <c r="R64" s="20">
        <v>0.72499999999999998</v>
      </c>
      <c r="S64" s="20">
        <v>0.74590000000000001</v>
      </c>
      <c r="T64" s="20">
        <v>0.77429999999999999</v>
      </c>
      <c r="U64" s="20">
        <v>0.81120000000000003</v>
      </c>
      <c r="V64" s="20">
        <v>0.85680000000000001</v>
      </c>
      <c r="W64"/>
      <c r="X64"/>
      <c r="Y64"/>
      <c r="Z64"/>
    </row>
    <row r="65" spans="1:26" x14ac:dyDescent="0.2">
      <c r="A65" s="19">
        <v>5.8999999999999997E-2</v>
      </c>
      <c r="B65" s="20">
        <v>0</v>
      </c>
      <c r="C65" s="20">
        <v>0.10730000000000001</v>
      </c>
      <c r="D65" s="20">
        <v>0.20749999999999999</v>
      </c>
      <c r="E65" s="20">
        <v>0.29909999999999998</v>
      </c>
      <c r="F65" s="20">
        <v>0.38100000000000001</v>
      </c>
      <c r="G65" s="20">
        <v>0.45240000000000002</v>
      </c>
      <c r="H65" s="20">
        <v>0.5131</v>
      </c>
      <c r="I65" s="20">
        <v>0.56310000000000004</v>
      </c>
      <c r="J65" s="20">
        <v>0.60270000000000001</v>
      </c>
      <c r="K65" s="20">
        <v>0.63300000000000001</v>
      </c>
      <c r="L65" s="20">
        <v>0.65529999999999999</v>
      </c>
      <c r="M65" s="20">
        <v>0.67110000000000003</v>
      </c>
      <c r="N65" s="20">
        <v>0.68259999999999998</v>
      </c>
      <c r="O65" s="20">
        <v>0.69169999999999998</v>
      </c>
      <c r="P65" s="20">
        <v>0.70089999999999997</v>
      </c>
      <c r="Q65" s="20">
        <v>0.71220000000000006</v>
      </c>
      <c r="R65" s="20">
        <v>0.7278</v>
      </c>
      <c r="S65" s="20">
        <v>0.74939999999999996</v>
      </c>
      <c r="T65" s="20">
        <v>0.77829999999999999</v>
      </c>
      <c r="U65" s="20">
        <v>0.8155</v>
      </c>
      <c r="V65" s="20">
        <v>0.86129999999999995</v>
      </c>
      <c r="W65"/>
      <c r="X65"/>
      <c r="Y65"/>
      <c r="Z65"/>
    </row>
    <row r="66" spans="1:26" x14ac:dyDescent="0.2">
      <c r="A66" s="19">
        <v>0.06</v>
      </c>
      <c r="B66" s="20">
        <v>0</v>
      </c>
      <c r="C66" s="20">
        <v>0.1065</v>
      </c>
      <c r="D66" s="20">
        <v>0.20599999999999999</v>
      </c>
      <c r="E66" s="20">
        <v>0.2969</v>
      </c>
      <c r="F66" s="20">
        <v>0.37840000000000001</v>
      </c>
      <c r="G66" s="20">
        <v>0.44950000000000001</v>
      </c>
      <c r="H66" s="20">
        <v>0.51</v>
      </c>
      <c r="I66" s="20">
        <v>0.55989999999999995</v>
      </c>
      <c r="J66" s="20">
        <v>0.59970000000000001</v>
      </c>
      <c r="K66" s="20">
        <v>0.63039999999999996</v>
      </c>
      <c r="L66" s="20">
        <v>0.65310000000000001</v>
      </c>
      <c r="M66" s="20">
        <v>0.66969999999999996</v>
      </c>
      <c r="N66" s="20">
        <v>0.68189999999999995</v>
      </c>
      <c r="O66" s="20">
        <v>0.69189999999999996</v>
      </c>
      <c r="P66" s="20">
        <v>0.70199999999999996</v>
      </c>
      <c r="Q66" s="20">
        <v>0.71419999999999995</v>
      </c>
      <c r="R66" s="20">
        <v>0.73050000000000004</v>
      </c>
      <c r="S66" s="20">
        <v>0.75280000000000002</v>
      </c>
      <c r="T66" s="20">
        <v>0.78220000000000001</v>
      </c>
      <c r="U66" s="20">
        <v>0.81969999999999998</v>
      </c>
      <c r="V66" s="20">
        <v>0.86560000000000004</v>
      </c>
      <c r="W66"/>
      <c r="X66"/>
      <c r="Y66"/>
      <c r="Z66"/>
    </row>
    <row r="67" spans="1:26" x14ac:dyDescent="0.2">
      <c r="A67" s="19">
        <v>6.0999999999999999E-2</v>
      </c>
      <c r="B67" s="20">
        <v>0</v>
      </c>
      <c r="C67" s="20">
        <v>0.10580000000000001</v>
      </c>
      <c r="D67" s="20">
        <v>0.20449999999999999</v>
      </c>
      <c r="E67" s="20">
        <v>0.2949</v>
      </c>
      <c r="F67" s="20">
        <v>0.37580000000000002</v>
      </c>
      <c r="G67" s="20">
        <v>0.4466</v>
      </c>
      <c r="H67" s="20">
        <v>0.50690000000000002</v>
      </c>
      <c r="I67" s="20">
        <v>0.55679999999999996</v>
      </c>
      <c r="J67" s="20">
        <v>0.5968</v>
      </c>
      <c r="K67" s="20">
        <v>0.62780000000000002</v>
      </c>
      <c r="L67" s="20">
        <v>0.65110000000000001</v>
      </c>
      <c r="M67" s="20">
        <v>0.66830000000000001</v>
      </c>
      <c r="N67" s="20">
        <v>0.68130000000000002</v>
      </c>
      <c r="O67" s="20">
        <v>0.69210000000000005</v>
      </c>
      <c r="P67" s="20">
        <v>0.70309999999999995</v>
      </c>
      <c r="Q67" s="20">
        <v>0.71609999999999996</v>
      </c>
      <c r="R67" s="20">
        <v>0.73329999999999995</v>
      </c>
      <c r="S67" s="20">
        <v>0.75619999999999998</v>
      </c>
      <c r="T67" s="20">
        <v>0.78610000000000002</v>
      </c>
      <c r="U67" s="20">
        <v>0.82389999999999997</v>
      </c>
      <c r="V67" s="20">
        <v>0.86980000000000002</v>
      </c>
      <c r="W67"/>
      <c r="X67"/>
      <c r="Y67"/>
      <c r="Z67"/>
    </row>
    <row r="68" spans="1:26" x14ac:dyDescent="0.2">
      <c r="A68" s="19">
        <v>6.2E-2</v>
      </c>
      <c r="B68" s="20">
        <v>0</v>
      </c>
      <c r="C68" s="20">
        <v>0.105</v>
      </c>
      <c r="D68" s="20">
        <v>0.2031</v>
      </c>
      <c r="E68" s="20">
        <v>0.2928</v>
      </c>
      <c r="F68" s="20">
        <v>0.37330000000000002</v>
      </c>
      <c r="G68" s="20">
        <v>0.44369999999999998</v>
      </c>
      <c r="H68" s="20">
        <v>0.50390000000000001</v>
      </c>
      <c r="I68" s="20">
        <v>0.55379999999999996</v>
      </c>
      <c r="J68" s="20">
        <v>0.59389999999999998</v>
      </c>
      <c r="K68" s="20">
        <v>0.62529999999999997</v>
      </c>
      <c r="L68" s="20">
        <v>0.64910000000000001</v>
      </c>
      <c r="M68" s="20">
        <v>0.66690000000000005</v>
      </c>
      <c r="N68" s="20">
        <v>0.68069999999999997</v>
      </c>
      <c r="O68" s="20">
        <v>0.69240000000000002</v>
      </c>
      <c r="P68" s="20">
        <v>0.70420000000000005</v>
      </c>
      <c r="Q68" s="20">
        <v>0.71799999999999997</v>
      </c>
      <c r="R68" s="20">
        <v>0.7359</v>
      </c>
      <c r="S68" s="20">
        <v>0.75949999999999995</v>
      </c>
      <c r="T68" s="20">
        <v>0.78990000000000005</v>
      </c>
      <c r="U68" s="20">
        <v>0.82789999999999997</v>
      </c>
      <c r="V68" s="20">
        <v>0.874</v>
      </c>
      <c r="W68"/>
      <c r="X68"/>
      <c r="Y68"/>
      <c r="Z68"/>
    </row>
    <row r="69" spans="1:26" x14ac:dyDescent="0.2">
      <c r="A69" s="19">
        <v>6.3E-2</v>
      </c>
      <c r="B69" s="20">
        <v>0</v>
      </c>
      <c r="C69" s="20">
        <v>0.1043</v>
      </c>
      <c r="D69" s="20">
        <v>0.2016</v>
      </c>
      <c r="E69" s="20">
        <v>0.2908</v>
      </c>
      <c r="F69" s="20">
        <v>0.37080000000000002</v>
      </c>
      <c r="G69" s="20">
        <v>0.44090000000000001</v>
      </c>
      <c r="H69" s="20">
        <v>0.50090000000000001</v>
      </c>
      <c r="I69" s="20">
        <v>0.55079999999999996</v>
      </c>
      <c r="J69" s="20">
        <v>0.59119999999999995</v>
      </c>
      <c r="K69" s="20">
        <v>0.62290000000000001</v>
      </c>
      <c r="L69" s="20">
        <v>0.64710000000000001</v>
      </c>
      <c r="M69" s="20">
        <v>0.66559999999999997</v>
      </c>
      <c r="N69" s="20">
        <v>0.68010000000000004</v>
      </c>
      <c r="O69" s="20">
        <v>0.69269999999999998</v>
      </c>
      <c r="P69" s="20">
        <v>0.70530000000000004</v>
      </c>
      <c r="Q69" s="20">
        <v>0.72</v>
      </c>
      <c r="R69" s="20">
        <v>0.73860000000000003</v>
      </c>
      <c r="S69" s="20">
        <v>0.76270000000000004</v>
      </c>
      <c r="T69" s="20">
        <v>0.79359999999999997</v>
      </c>
      <c r="U69" s="20">
        <v>0.83189999999999997</v>
      </c>
      <c r="V69" s="20">
        <v>0.87809999999999999</v>
      </c>
      <c r="W69"/>
      <c r="X69"/>
      <c r="Y69"/>
      <c r="Z69"/>
    </row>
    <row r="70" spans="1:26" x14ac:dyDescent="0.2">
      <c r="A70" s="19">
        <v>6.4000000000000001E-2</v>
      </c>
      <c r="B70" s="20">
        <v>0</v>
      </c>
      <c r="C70" s="20">
        <v>0.10349999999999999</v>
      </c>
      <c r="D70" s="20">
        <v>0.20019999999999999</v>
      </c>
      <c r="E70" s="20">
        <v>0.28889999999999999</v>
      </c>
      <c r="F70" s="20">
        <v>0.36840000000000001</v>
      </c>
      <c r="G70" s="20">
        <v>0.43819999999999998</v>
      </c>
      <c r="H70" s="20">
        <v>0.498</v>
      </c>
      <c r="I70" s="20">
        <v>0.54790000000000005</v>
      </c>
      <c r="J70" s="20">
        <v>0.58850000000000002</v>
      </c>
      <c r="K70" s="20">
        <v>0.62050000000000005</v>
      </c>
      <c r="L70" s="20">
        <v>0.64529999999999998</v>
      </c>
      <c r="M70" s="20">
        <v>0.66439999999999999</v>
      </c>
      <c r="N70" s="20">
        <v>0.67959999999999998</v>
      </c>
      <c r="O70" s="20">
        <v>0.69299999999999995</v>
      </c>
      <c r="P70" s="20">
        <v>0.70640000000000003</v>
      </c>
      <c r="Q70" s="20">
        <v>0.72189999999999999</v>
      </c>
      <c r="R70" s="20">
        <v>0.74119999999999997</v>
      </c>
      <c r="S70" s="20">
        <v>0.76590000000000003</v>
      </c>
      <c r="T70" s="20">
        <v>0.79720000000000002</v>
      </c>
      <c r="U70" s="20">
        <v>0.83589999999999998</v>
      </c>
      <c r="V70" s="20">
        <v>0.8821</v>
      </c>
      <c r="W70"/>
      <c r="X70"/>
      <c r="Y70"/>
      <c r="Z70"/>
    </row>
    <row r="71" spans="1:26" x14ac:dyDescent="0.2">
      <c r="A71" s="19">
        <v>6.5000000000000002E-2</v>
      </c>
      <c r="B71" s="20">
        <v>0</v>
      </c>
      <c r="C71" s="20">
        <v>0.1028</v>
      </c>
      <c r="D71" s="20">
        <v>0.19889999999999999</v>
      </c>
      <c r="E71" s="20">
        <v>0.28689999999999999</v>
      </c>
      <c r="F71" s="20">
        <v>0.36599999999999999</v>
      </c>
      <c r="G71" s="20">
        <v>0.4355</v>
      </c>
      <c r="H71" s="20">
        <v>0.49519999999999997</v>
      </c>
      <c r="I71" s="20">
        <v>0.54510000000000003</v>
      </c>
      <c r="J71" s="20">
        <v>0.58579999999999999</v>
      </c>
      <c r="K71" s="20">
        <v>0.61819999999999997</v>
      </c>
      <c r="L71" s="20">
        <v>0.64349999999999996</v>
      </c>
      <c r="M71" s="20">
        <v>0.66320000000000001</v>
      </c>
      <c r="N71" s="20">
        <v>0.67920000000000003</v>
      </c>
      <c r="O71" s="20">
        <v>0.69330000000000003</v>
      </c>
      <c r="P71" s="20">
        <v>0.70750000000000002</v>
      </c>
      <c r="Q71" s="20">
        <v>0.72370000000000001</v>
      </c>
      <c r="R71" s="20">
        <v>0.74380000000000002</v>
      </c>
      <c r="S71" s="20">
        <v>0.76910000000000001</v>
      </c>
      <c r="T71" s="20">
        <v>0.80079999999999996</v>
      </c>
      <c r="U71" s="20">
        <v>0.8397</v>
      </c>
      <c r="V71" s="20">
        <v>0.8861</v>
      </c>
      <c r="W71"/>
      <c r="X71"/>
      <c r="Y71"/>
      <c r="Z71"/>
    </row>
    <row r="72" spans="1:26" x14ac:dyDescent="0.2">
      <c r="A72" s="19">
        <v>6.6000000000000003E-2</v>
      </c>
      <c r="B72" s="20">
        <v>0</v>
      </c>
      <c r="C72" s="20">
        <v>0.1021</v>
      </c>
      <c r="D72" s="20">
        <v>0.19750000000000001</v>
      </c>
      <c r="E72" s="20">
        <v>0.28499999999999998</v>
      </c>
      <c r="F72" s="20">
        <v>0.36370000000000002</v>
      </c>
      <c r="G72" s="20">
        <v>0.43290000000000001</v>
      </c>
      <c r="H72" s="20">
        <v>0.4924</v>
      </c>
      <c r="I72" s="20">
        <v>0.54239999999999999</v>
      </c>
      <c r="J72" s="20">
        <v>0.58320000000000005</v>
      </c>
      <c r="K72" s="20">
        <v>0.61599999999999999</v>
      </c>
      <c r="L72" s="20">
        <v>0.64170000000000005</v>
      </c>
      <c r="M72" s="20">
        <v>0.66210000000000002</v>
      </c>
      <c r="N72" s="20">
        <v>0.67869999999999997</v>
      </c>
      <c r="O72" s="20">
        <v>0.69359999999999999</v>
      </c>
      <c r="P72" s="20">
        <v>0.70860000000000001</v>
      </c>
      <c r="Q72" s="20">
        <v>0.72560000000000002</v>
      </c>
      <c r="R72" s="20">
        <v>0.74629999999999996</v>
      </c>
      <c r="S72" s="20">
        <v>0.7722</v>
      </c>
      <c r="T72" s="20">
        <v>0.8044</v>
      </c>
      <c r="U72" s="20">
        <v>0.84350000000000003</v>
      </c>
      <c r="V72" s="20">
        <v>0.89</v>
      </c>
      <c r="W72"/>
      <c r="X72"/>
      <c r="Y72"/>
      <c r="Z72"/>
    </row>
    <row r="73" spans="1:26" x14ac:dyDescent="0.2">
      <c r="A73" s="19">
        <v>6.7000000000000004E-2</v>
      </c>
      <c r="B73" s="20">
        <v>0</v>
      </c>
      <c r="C73" s="20">
        <v>0.1014</v>
      </c>
      <c r="D73" s="20">
        <v>0.19620000000000001</v>
      </c>
      <c r="E73" s="20">
        <v>0.28320000000000001</v>
      </c>
      <c r="F73" s="20">
        <v>0.3614</v>
      </c>
      <c r="G73" s="20">
        <v>0.43030000000000002</v>
      </c>
      <c r="H73" s="20">
        <v>0.48970000000000002</v>
      </c>
      <c r="I73" s="20">
        <v>0.53969999999999996</v>
      </c>
      <c r="J73" s="20">
        <v>0.58069999999999999</v>
      </c>
      <c r="K73" s="20">
        <v>0.61380000000000001</v>
      </c>
      <c r="L73" s="20">
        <v>0.6401</v>
      </c>
      <c r="M73" s="20">
        <v>0.66100000000000003</v>
      </c>
      <c r="N73" s="20">
        <v>0.6784</v>
      </c>
      <c r="O73" s="20">
        <v>0.69399999999999995</v>
      </c>
      <c r="P73" s="20">
        <v>0.7097</v>
      </c>
      <c r="Q73" s="20">
        <v>0.72750000000000004</v>
      </c>
      <c r="R73" s="20">
        <v>0.74890000000000001</v>
      </c>
      <c r="S73" s="20">
        <v>0.77529999999999999</v>
      </c>
      <c r="T73" s="20">
        <v>0.80789999999999995</v>
      </c>
      <c r="U73" s="20">
        <v>0.84730000000000005</v>
      </c>
      <c r="V73" s="20">
        <v>0.89380000000000004</v>
      </c>
      <c r="W73"/>
      <c r="X73"/>
      <c r="Y73"/>
      <c r="Z73"/>
    </row>
    <row r="74" spans="1:26" x14ac:dyDescent="0.2">
      <c r="A74" s="19">
        <v>6.8000000000000005E-2</v>
      </c>
      <c r="B74" s="20">
        <v>0</v>
      </c>
      <c r="C74" s="20">
        <v>0.1007</v>
      </c>
      <c r="D74" s="20">
        <v>0.19489999999999999</v>
      </c>
      <c r="E74" s="20">
        <v>0.28129999999999999</v>
      </c>
      <c r="F74" s="20">
        <v>0.35920000000000002</v>
      </c>
      <c r="G74" s="20">
        <v>0.42780000000000001</v>
      </c>
      <c r="H74" s="20">
        <v>0.48709999999999998</v>
      </c>
      <c r="I74" s="20">
        <v>0.53710000000000002</v>
      </c>
      <c r="J74" s="20">
        <v>0.57830000000000004</v>
      </c>
      <c r="K74" s="20">
        <v>0.61170000000000002</v>
      </c>
      <c r="L74" s="20">
        <v>0.63839999999999997</v>
      </c>
      <c r="M74" s="20">
        <v>0.66</v>
      </c>
      <c r="N74" s="20">
        <v>0.67800000000000005</v>
      </c>
      <c r="O74" s="20">
        <v>0.69440000000000002</v>
      </c>
      <c r="P74" s="20">
        <v>0.71089999999999998</v>
      </c>
      <c r="Q74" s="20">
        <v>0.72929999999999995</v>
      </c>
      <c r="R74" s="20">
        <v>0.75129999999999997</v>
      </c>
      <c r="S74" s="20">
        <v>0.77829999999999999</v>
      </c>
      <c r="T74" s="20">
        <v>0.81130000000000002</v>
      </c>
      <c r="U74" s="20">
        <v>0.85099999999999998</v>
      </c>
      <c r="V74" s="20">
        <v>0.89759999999999995</v>
      </c>
      <c r="W74"/>
      <c r="X74"/>
      <c r="Y74"/>
      <c r="Z74"/>
    </row>
    <row r="75" spans="1:26" x14ac:dyDescent="0.2">
      <c r="A75" s="19">
        <v>6.9000000000000006E-2</v>
      </c>
      <c r="B75" s="20">
        <v>0</v>
      </c>
      <c r="C75" s="20">
        <v>0.10009999999999999</v>
      </c>
      <c r="D75" s="20">
        <v>0.19359999999999999</v>
      </c>
      <c r="E75" s="20">
        <v>0.27960000000000002</v>
      </c>
      <c r="F75" s="20">
        <v>0.35699999999999998</v>
      </c>
      <c r="G75" s="20">
        <v>0.4254</v>
      </c>
      <c r="H75" s="20">
        <v>0.48449999999999999</v>
      </c>
      <c r="I75" s="20">
        <v>0.53449999999999998</v>
      </c>
      <c r="J75" s="20">
        <v>0.57599999999999996</v>
      </c>
      <c r="K75" s="20">
        <v>0.60970000000000002</v>
      </c>
      <c r="L75" s="20">
        <v>0.63690000000000002</v>
      </c>
      <c r="M75" s="20">
        <v>0.65900000000000003</v>
      </c>
      <c r="N75" s="20">
        <v>0.67769999999999997</v>
      </c>
      <c r="O75" s="20">
        <v>0.69479999999999997</v>
      </c>
      <c r="P75" s="20">
        <v>0.71199999999999997</v>
      </c>
      <c r="Q75" s="20">
        <v>0.73109999999999997</v>
      </c>
      <c r="R75" s="20">
        <v>0.75380000000000003</v>
      </c>
      <c r="S75" s="20">
        <v>0.78129999999999999</v>
      </c>
      <c r="T75" s="20">
        <v>0.81469999999999998</v>
      </c>
      <c r="U75" s="20">
        <v>0.85460000000000003</v>
      </c>
      <c r="V75" s="20">
        <v>0.9012</v>
      </c>
      <c r="W75"/>
      <c r="X75"/>
      <c r="Y75"/>
      <c r="Z75"/>
    </row>
    <row r="76" spans="1:26" x14ac:dyDescent="0.2">
      <c r="A76" s="19">
        <v>7.0000000000000007E-2</v>
      </c>
      <c r="B76" s="20">
        <v>0</v>
      </c>
      <c r="C76" s="20">
        <v>9.9400000000000002E-2</v>
      </c>
      <c r="D76" s="20">
        <v>0.19239999999999999</v>
      </c>
      <c r="E76" s="20">
        <v>0.27779999999999999</v>
      </c>
      <c r="F76" s="20">
        <v>0.35489999999999999</v>
      </c>
      <c r="G76" s="20">
        <v>0.42299999999999999</v>
      </c>
      <c r="H76" s="20">
        <v>0.48199999999999998</v>
      </c>
      <c r="I76" s="20">
        <v>0.53200000000000003</v>
      </c>
      <c r="J76" s="20">
        <v>0.5736</v>
      </c>
      <c r="K76" s="20">
        <v>0.60770000000000002</v>
      </c>
      <c r="L76" s="20">
        <v>0.63539999999999996</v>
      </c>
      <c r="M76" s="20">
        <v>0.65810000000000002</v>
      </c>
      <c r="N76" s="20">
        <v>0.6774</v>
      </c>
      <c r="O76" s="20">
        <v>0.69520000000000004</v>
      </c>
      <c r="P76" s="20">
        <v>0.71309999999999996</v>
      </c>
      <c r="Q76" s="20">
        <v>0.73299999999999998</v>
      </c>
      <c r="R76" s="20">
        <v>0.75619999999999998</v>
      </c>
      <c r="S76" s="20">
        <v>0.78420000000000001</v>
      </c>
      <c r="T76" s="20">
        <v>0.81799999999999995</v>
      </c>
      <c r="U76" s="20">
        <v>0.85809999999999997</v>
      </c>
      <c r="V76" s="20">
        <v>0.90490000000000004</v>
      </c>
      <c r="W76"/>
      <c r="X76"/>
      <c r="Y76"/>
      <c r="Z76"/>
    </row>
    <row r="77" spans="1:26" x14ac:dyDescent="0.2">
      <c r="A77" s="19">
        <v>7.0999999999999994E-2</v>
      </c>
      <c r="B77" s="20">
        <v>0</v>
      </c>
      <c r="C77" s="20">
        <v>9.8799999999999999E-2</v>
      </c>
      <c r="D77" s="20">
        <v>0.19120000000000001</v>
      </c>
      <c r="E77" s="20">
        <v>0.27610000000000001</v>
      </c>
      <c r="F77" s="20">
        <v>0.3528</v>
      </c>
      <c r="G77" s="20">
        <v>0.42059999999999997</v>
      </c>
      <c r="H77" s="20">
        <v>0.47949999999999998</v>
      </c>
      <c r="I77" s="20">
        <v>0.52959999999999996</v>
      </c>
      <c r="J77" s="20">
        <v>0.57140000000000002</v>
      </c>
      <c r="K77" s="20">
        <v>0.60580000000000001</v>
      </c>
      <c r="L77" s="20">
        <v>0.63390000000000002</v>
      </c>
      <c r="M77" s="20">
        <v>0.65720000000000001</v>
      </c>
      <c r="N77" s="20">
        <v>0.67720000000000002</v>
      </c>
      <c r="O77" s="20">
        <v>0.6956</v>
      </c>
      <c r="P77" s="20">
        <v>0.71430000000000005</v>
      </c>
      <c r="Q77" s="20">
        <v>0.73480000000000001</v>
      </c>
      <c r="R77" s="20">
        <v>0.75860000000000005</v>
      </c>
      <c r="S77" s="20">
        <v>0.78710000000000002</v>
      </c>
      <c r="T77" s="20">
        <v>0.82120000000000004</v>
      </c>
      <c r="U77" s="20">
        <v>0.86160000000000003</v>
      </c>
      <c r="V77" s="20">
        <v>0.90839999999999999</v>
      </c>
      <c r="W77"/>
      <c r="X77"/>
      <c r="Y77"/>
      <c r="Z77"/>
    </row>
    <row r="78" spans="1:26" x14ac:dyDescent="0.2">
      <c r="A78" s="19">
        <v>7.1999999999999995E-2</v>
      </c>
      <c r="B78" s="20">
        <v>0</v>
      </c>
      <c r="C78" s="20">
        <v>9.8100000000000007E-2</v>
      </c>
      <c r="D78" s="20">
        <v>0.19</v>
      </c>
      <c r="E78" s="20">
        <v>0.27439999999999998</v>
      </c>
      <c r="F78" s="20">
        <v>0.35070000000000001</v>
      </c>
      <c r="G78" s="20">
        <v>0.41830000000000001</v>
      </c>
      <c r="H78" s="20">
        <v>0.47710000000000002</v>
      </c>
      <c r="I78" s="20">
        <v>0.5272</v>
      </c>
      <c r="J78" s="20">
        <v>0.56920000000000004</v>
      </c>
      <c r="K78" s="20">
        <v>0.60389999999999999</v>
      </c>
      <c r="L78" s="20">
        <v>0.63249999999999995</v>
      </c>
      <c r="M78" s="20">
        <v>0.65629999999999999</v>
      </c>
      <c r="N78" s="20">
        <v>0.67689999999999995</v>
      </c>
      <c r="O78" s="20">
        <v>0.69610000000000005</v>
      </c>
      <c r="P78" s="20">
        <v>0.71540000000000004</v>
      </c>
      <c r="Q78" s="20">
        <v>0.73650000000000004</v>
      </c>
      <c r="R78" s="20">
        <v>0.76100000000000001</v>
      </c>
      <c r="S78" s="20">
        <v>0.79</v>
      </c>
      <c r="T78" s="20">
        <v>0.82450000000000001</v>
      </c>
      <c r="U78" s="20">
        <v>0.86499999999999999</v>
      </c>
      <c r="V78" s="20">
        <v>0.91190000000000004</v>
      </c>
      <c r="W78"/>
      <c r="X78"/>
      <c r="Y78"/>
      <c r="Z78"/>
    </row>
    <row r="79" spans="1:26" x14ac:dyDescent="0.2">
      <c r="A79" s="19">
        <v>7.2999999999999995E-2</v>
      </c>
      <c r="B79" s="20">
        <v>0</v>
      </c>
      <c r="C79" s="20">
        <v>9.7500000000000003E-2</v>
      </c>
      <c r="D79" s="20">
        <v>0.1888</v>
      </c>
      <c r="E79" s="20">
        <v>0.27279999999999999</v>
      </c>
      <c r="F79" s="20">
        <v>0.34870000000000001</v>
      </c>
      <c r="G79" s="20">
        <v>0.41610000000000003</v>
      </c>
      <c r="H79" s="20">
        <v>0.4748</v>
      </c>
      <c r="I79" s="20">
        <v>0.52490000000000003</v>
      </c>
      <c r="J79" s="20">
        <v>0.56710000000000005</v>
      </c>
      <c r="K79" s="20">
        <v>0.60209999999999997</v>
      </c>
      <c r="L79" s="20">
        <v>0.63119999999999998</v>
      </c>
      <c r="M79" s="20">
        <v>0.65549999999999997</v>
      </c>
      <c r="N79" s="20">
        <v>0.67679999999999996</v>
      </c>
      <c r="O79" s="20">
        <v>0.69650000000000001</v>
      </c>
      <c r="P79" s="20">
        <v>0.71650000000000003</v>
      </c>
      <c r="Q79" s="20">
        <v>0.73829999999999996</v>
      </c>
      <c r="R79" s="20">
        <v>0.76329999999999998</v>
      </c>
      <c r="S79" s="20">
        <v>0.79279999999999995</v>
      </c>
      <c r="T79" s="20">
        <v>0.8276</v>
      </c>
      <c r="U79" s="20">
        <v>0.86839999999999995</v>
      </c>
      <c r="V79" s="20">
        <v>0.91539999999999999</v>
      </c>
      <c r="W79"/>
      <c r="X79"/>
      <c r="Y79"/>
      <c r="Z79"/>
    </row>
    <row r="80" spans="1:26" x14ac:dyDescent="0.2">
      <c r="A80" s="19">
        <v>7.3999999999999996E-2</v>
      </c>
      <c r="B80" s="20">
        <v>0</v>
      </c>
      <c r="C80" s="20">
        <v>9.69E-2</v>
      </c>
      <c r="D80" s="20">
        <v>0.18759999999999999</v>
      </c>
      <c r="E80" s="20">
        <v>0.2712</v>
      </c>
      <c r="F80" s="20">
        <v>0.34670000000000001</v>
      </c>
      <c r="G80" s="20">
        <v>0.41389999999999999</v>
      </c>
      <c r="H80" s="20">
        <v>0.47249999999999998</v>
      </c>
      <c r="I80" s="20">
        <v>0.52270000000000005</v>
      </c>
      <c r="J80" s="20">
        <v>0.56510000000000005</v>
      </c>
      <c r="K80" s="20">
        <v>0.60040000000000004</v>
      </c>
      <c r="L80" s="20">
        <v>0.62980000000000003</v>
      </c>
      <c r="M80" s="20">
        <v>0.65469999999999995</v>
      </c>
      <c r="N80" s="20">
        <v>0.67659999999999998</v>
      </c>
      <c r="O80" s="20">
        <v>0.69699999999999995</v>
      </c>
      <c r="P80" s="20">
        <v>0.7177</v>
      </c>
      <c r="Q80" s="20">
        <v>0.74009999999999998</v>
      </c>
      <c r="R80" s="20">
        <v>0.76559999999999995</v>
      </c>
      <c r="S80" s="20">
        <v>0.79559999999999997</v>
      </c>
      <c r="T80" s="20">
        <v>0.83069999999999999</v>
      </c>
      <c r="U80" s="20">
        <v>0.87170000000000003</v>
      </c>
      <c r="V80" s="20">
        <v>0.91879999999999995</v>
      </c>
      <c r="W80"/>
      <c r="X80"/>
      <c r="Y80"/>
      <c r="Z80"/>
    </row>
    <row r="81" spans="1:26" x14ac:dyDescent="0.2">
      <c r="A81" s="19">
        <v>7.4999999999999997E-2</v>
      </c>
      <c r="B81" s="20">
        <v>0</v>
      </c>
      <c r="C81" s="20">
        <v>9.6299999999999997E-2</v>
      </c>
      <c r="D81" s="20">
        <v>0.1865</v>
      </c>
      <c r="E81" s="20">
        <v>0.26960000000000001</v>
      </c>
      <c r="F81" s="20">
        <v>0.3448</v>
      </c>
      <c r="G81" s="20">
        <v>0.41170000000000001</v>
      </c>
      <c r="H81" s="20">
        <v>0.47020000000000001</v>
      </c>
      <c r="I81" s="20">
        <v>0.52049999999999996</v>
      </c>
      <c r="J81" s="20">
        <v>0.56310000000000004</v>
      </c>
      <c r="K81" s="20">
        <v>0.59870000000000001</v>
      </c>
      <c r="L81" s="20">
        <v>0.62860000000000005</v>
      </c>
      <c r="M81" s="20">
        <v>0.65400000000000003</v>
      </c>
      <c r="N81" s="20">
        <v>0.67649999999999999</v>
      </c>
      <c r="O81" s="20">
        <v>0.69750000000000001</v>
      </c>
      <c r="P81" s="20">
        <v>0.71879999999999999</v>
      </c>
      <c r="Q81" s="20">
        <v>0.74180000000000001</v>
      </c>
      <c r="R81" s="20">
        <v>0.76790000000000003</v>
      </c>
      <c r="S81" s="20">
        <v>0.79830000000000001</v>
      </c>
      <c r="T81" s="20">
        <v>0.83379999999999999</v>
      </c>
      <c r="U81" s="20">
        <v>0.875</v>
      </c>
      <c r="V81" s="20">
        <v>0.92210000000000003</v>
      </c>
      <c r="W81"/>
      <c r="X81"/>
      <c r="Y81"/>
      <c r="Z81"/>
    </row>
    <row r="82" spans="1:26" x14ac:dyDescent="0.2">
      <c r="A82" s="19">
        <v>7.5999999999999998E-2</v>
      </c>
      <c r="B82" s="20">
        <v>0</v>
      </c>
      <c r="C82" s="20">
        <v>9.5699999999999993E-2</v>
      </c>
      <c r="D82" s="20">
        <v>0.18540000000000001</v>
      </c>
      <c r="E82" s="20">
        <v>0.2681</v>
      </c>
      <c r="F82" s="20">
        <v>0.34289999999999998</v>
      </c>
      <c r="G82" s="20">
        <v>0.40970000000000001</v>
      </c>
      <c r="H82" s="20">
        <v>0.46810000000000002</v>
      </c>
      <c r="I82" s="20">
        <v>0.51839999999999997</v>
      </c>
      <c r="J82" s="20">
        <v>0.56110000000000004</v>
      </c>
      <c r="K82" s="20">
        <v>0.59709999999999996</v>
      </c>
      <c r="L82" s="20">
        <v>0.62739999999999996</v>
      </c>
      <c r="M82" s="20">
        <v>0.65329999999999999</v>
      </c>
      <c r="N82" s="20">
        <v>0.6764</v>
      </c>
      <c r="O82" s="20">
        <v>0.69799999999999995</v>
      </c>
      <c r="P82" s="20">
        <v>0.71989999999999998</v>
      </c>
      <c r="Q82" s="20">
        <v>0.74350000000000005</v>
      </c>
      <c r="R82" s="20">
        <v>0.7702</v>
      </c>
      <c r="S82" s="20">
        <v>0.80100000000000005</v>
      </c>
      <c r="T82" s="20">
        <v>0.83679999999999999</v>
      </c>
      <c r="U82" s="20">
        <v>0.87819999999999998</v>
      </c>
      <c r="V82" s="20">
        <v>0.9254</v>
      </c>
      <c r="W82"/>
      <c r="X82"/>
      <c r="Y82"/>
      <c r="Z82"/>
    </row>
    <row r="83" spans="1:26" x14ac:dyDescent="0.2">
      <c r="A83" s="19">
        <v>7.6999999999999999E-2</v>
      </c>
      <c r="B83" s="20">
        <v>0</v>
      </c>
      <c r="C83" s="20">
        <v>9.5200000000000007E-2</v>
      </c>
      <c r="D83" s="20">
        <v>0.18429999999999999</v>
      </c>
      <c r="E83" s="20">
        <v>0.26650000000000001</v>
      </c>
      <c r="F83" s="20">
        <v>0.34110000000000001</v>
      </c>
      <c r="G83" s="20">
        <v>0.40760000000000002</v>
      </c>
      <c r="H83" s="20">
        <v>0.46589999999999998</v>
      </c>
      <c r="I83" s="20">
        <v>0.51629999999999998</v>
      </c>
      <c r="J83" s="20">
        <v>0.55920000000000003</v>
      </c>
      <c r="K83" s="20">
        <v>0.59550000000000003</v>
      </c>
      <c r="L83" s="20">
        <v>0.62619999999999998</v>
      </c>
      <c r="M83" s="20">
        <v>0.65269999999999995</v>
      </c>
      <c r="N83" s="20">
        <v>0.67630000000000001</v>
      </c>
      <c r="O83" s="20">
        <v>0.6986</v>
      </c>
      <c r="P83" s="20">
        <v>0.72109999999999996</v>
      </c>
      <c r="Q83" s="20">
        <v>0.74519999999999997</v>
      </c>
      <c r="R83" s="20">
        <v>0.77239999999999998</v>
      </c>
      <c r="S83" s="20">
        <v>0.80359999999999998</v>
      </c>
      <c r="T83" s="20">
        <v>0.83979999999999999</v>
      </c>
      <c r="U83" s="20">
        <v>0.88139999999999996</v>
      </c>
      <c r="V83" s="20">
        <v>0.92859999999999998</v>
      </c>
      <c r="W83"/>
      <c r="X83"/>
      <c r="Y83"/>
      <c r="Z83"/>
    </row>
    <row r="84" spans="1:26" x14ac:dyDescent="0.2">
      <c r="A84" s="19">
        <v>7.8E-2</v>
      </c>
      <c r="B84" s="20">
        <v>0</v>
      </c>
      <c r="C84" s="20">
        <v>9.4600000000000004E-2</v>
      </c>
      <c r="D84" s="20">
        <v>0.18329999999999999</v>
      </c>
      <c r="E84" s="20">
        <v>0.2651</v>
      </c>
      <c r="F84" s="20">
        <v>0.33929999999999999</v>
      </c>
      <c r="G84" s="20">
        <v>0.40560000000000002</v>
      </c>
      <c r="H84" s="20">
        <v>0.46389999999999998</v>
      </c>
      <c r="I84" s="20">
        <v>0.51429999999999998</v>
      </c>
      <c r="J84" s="20">
        <v>0.55740000000000001</v>
      </c>
      <c r="K84" s="20">
        <v>0.59399999999999997</v>
      </c>
      <c r="L84" s="20">
        <v>0.62509999999999999</v>
      </c>
      <c r="M84" s="20">
        <v>0.65210000000000001</v>
      </c>
      <c r="N84" s="20">
        <v>0.67620000000000002</v>
      </c>
      <c r="O84" s="20">
        <v>0.69910000000000005</v>
      </c>
      <c r="P84" s="20">
        <v>0.72219999999999995</v>
      </c>
      <c r="Q84" s="20">
        <v>0.74690000000000001</v>
      </c>
      <c r="R84" s="20">
        <v>0.77459999999999996</v>
      </c>
      <c r="S84" s="20">
        <v>0.80630000000000002</v>
      </c>
      <c r="T84" s="20">
        <v>0.8427</v>
      </c>
      <c r="U84" s="20">
        <v>0.88449999999999995</v>
      </c>
      <c r="V84" s="20">
        <v>0.93179999999999996</v>
      </c>
      <c r="W84"/>
      <c r="X84"/>
      <c r="Y84"/>
      <c r="Z84"/>
    </row>
    <row r="85" spans="1:26" x14ac:dyDescent="0.2">
      <c r="A85" s="19">
        <v>7.9000000000000001E-2</v>
      </c>
      <c r="B85" s="20">
        <v>0</v>
      </c>
      <c r="C85" s="20">
        <v>9.4100000000000003E-2</v>
      </c>
      <c r="D85" s="20">
        <v>0.1822</v>
      </c>
      <c r="E85" s="20">
        <v>0.2636</v>
      </c>
      <c r="F85" s="20">
        <v>0.33760000000000001</v>
      </c>
      <c r="G85" s="20">
        <v>0.4037</v>
      </c>
      <c r="H85" s="20">
        <v>0.46179999999999999</v>
      </c>
      <c r="I85" s="20">
        <v>0.51229999999999998</v>
      </c>
      <c r="J85" s="20">
        <v>0.55559999999999998</v>
      </c>
      <c r="K85" s="20">
        <v>0.59250000000000003</v>
      </c>
      <c r="L85" s="20">
        <v>0.624</v>
      </c>
      <c r="M85" s="20">
        <v>0.65149999999999997</v>
      </c>
      <c r="N85" s="20">
        <v>0.67620000000000002</v>
      </c>
      <c r="O85" s="20">
        <v>0.69969999999999999</v>
      </c>
      <c r="P85" s="20">
        <v>0.72330000000000005</v>
      </c>
      <c r="Q85" s="20">
        <v>0.74860000000000004</v>
      </c>
      <c r="R85" s="20">
        <v>0.77680000000000005</v>
      </c>
      <c r="S85" s="20">
        <v>0.80889999999999995</v>
      </c>
      <c r="T85" s="20">
        <v>0.84560000000000002</v>
      </c>
      <c r="U85" s="20">
        <v>0.88759999999999994</v>
      </c>
      <c r="V85" s="20">
        <v>0.93500000000000005</v>
      </c>
      <c r="W85"/>
      <c r="X85"/>
      <c r="Y85"/>
      <c r="Z85"/>
    </row>
    <row r="86" spans="1:26" x14ac:dyDescent="0.2">
      <c r="A86" s="19">
        <v>0.08</v>
      </c>
      <c r="B86" s="20">
        <v>0</v>
      </c>
      <c r="C86" s="20">
        <v>9.35E-2</v>
      </c>
      <c r="D86" s="20">
        <v>0.1812</v>
      </c>
      <c r="E86" s="20">
        <v>0.26219999999999999</v>
      </c>
      <c r="F86" s="20">
        <v>0.33579999999999999</v>
      </c>
      <c r="G86" s="20">
        <v>0.40179999999999999</v>
      </c>
      <c r="H86" s="20">
        <v>0.45989999999999998</v>
      </c>
      <c r="I86" s="20">
        <v>0.51039999999999996</v>
      </c>
      <c r="J86" s="20">
        <v>0.55389999999999995</v>
      </c>
      <c r="K86" s="20">
        <v>0.59109999999999996</v>
      </c>
      <c r="L86" s="20">
        <v>0.623</v>
      </c>
      <c r="M86" s="20">
        <v>0.65090000000000003</v>
      </c>
      <c r="N86" s="20">
        <v>0.67620000000000002</v>
      </c>
      <c r="O86" s="20">
        <v>0.70020000000000004</v>
      </c>
      <c r="P86" s="20">
        <v>0.72450000000000003</v>
      </c>
      <c r="Q86" s="20">
        <v>0.75029999999999997</v>
      </c>
      <c r="R86" s="20">
        <v>0.77890000000000004</v>
      </c>
      <c r="S86" s="20">
        <v>0.81140000000000001</v>
      </c>
      <c r="T86" s="20">
        <v>0.84850000000000003</v>
      </c>
      <c r="U86" s="20">
        <v>0.89059999999999995</v>
      </c>
      <c r="V86" s="20">
        <v>0.93799999999999994</v>
      </c>
      <c r="W86"/>
      <c r="X86"/>
      <c r="Y86"/>
      <c r="Z86"/>
    </row>
    <row r="87" spans="1:26" x14ac:dyDescent="0.2">
      <c r="A87" s="19">
        <v>8.1000000000000003E-2</v>
      </c>
      <c r="B87" s="20">
        <v>0</v>
      </c>
      <c r="C87" s="20">
        <v>9.2999999999999999E-2</v>
      </c>
      <c r="D87" s="20">
        <v>0.1802</v>
      </c>
      <c r="E87" s="20">
        <v>0.26079999999999998</v>
      </c>
      <c r="F87" s="20">
        <v>0.3342</v>
      </c>
      <c r="G87" s="20">
        <v>0.39989999999999998</v>
      </c>
      <c r="H87" s="20">
        <v>0.45800000000000002</v>
      </c>
      <c r="I87" s="20">
        <v>0.50849999999999995</v>
      </c>
      <c r="J87" s="20">
        <v>0.55220000000000002</v>
      </c>
      <c r="K87" s="20">
        <v>0.5897</v>
      </c>
      <c r="L87" s="20">
        <v>0.622</v>
      </c>
      <c r="M87" s="20">
        <v>0.65039999999999998</v>
      </c>
      <c r="N87" s="20">
        <v>0.67620000000000002</v>
      </c>
      <c r="O87" s="20">
        <v>0.70079999999999998</v>
      </c>
      <c r="P87" s="20">
        <v>0.72560000000000002</v>
      </c>
      <c r="Q87" s="20">
        <v>0.752</v>
      </c>
      <c r="R87" s="20">
        <v>0.78110000000000002</v>
      </c>
      <c r="S87" s="20">
        <v>0.81389999999999996</v>
      </c>
      <c r="T87" s="20">
        <v>0.85129999999999995</v>
      </c>
      <c r="U87" s="20">
        <v>0.89359999999999995</v>
      </c>
      <c r="V87" s="20">
        <v>0.94110000000000005</v>
      </c>
      <c r="W87"/>
      <c r="X87"/>
      <c r="Y87"/>
      <c r="Z87"/>
    </row>
    <row r="88" spans="1:26" x14ac:dyDescent="0.2">
      <c r="A88" s="19">
        <v>8.2000000000000003E-2</v>
      </c>
      <c r="B88" s="20">
        <v>0</v>
      </c>
      <c r="C88" s="20">
        <v>9.2499999999999999E-2</v>
      </c>
      <c r="D88" s="20">
        <v>0.17929999999999999</v>
      </c>
      <c r="E88" s="20">
        <v>0.25950000000000001</v>
      </c>
      <c r="F88" s="20">
        <v>0.33250000000000002</v>
      </c>
      <c r="G88" s="20">
        <v>0.39810000000000001</v>
      </c>
      <c r="H88" s="20">
        <v>0.45610000000000001</v>
      </c>
      <c r="I88" s="20">
        <v>0.50670000000000004</v>
      </c>
      <c r="J88" s="20">
        <v>0.55059999999999998</v>
      </c>
      <c r="K88" s="20">
        <v>0.58830000000000005</v>
      </c>
      <c r="L88" s="20">
        <v>0.62109999999999999</v>
      </c>
      <c r="M88" s="20">
        <v>0.64990000000000003</v>
      </c>
      <c r="N88" s="20">
        <v>0.67620000000000002</v>
      </c>
      <c r="O88" s="20">
        <v>0.70140000000000002</v>
      </c>
      <c r="P88" s="20">
        <v>0.72670000000000001</v>
      </c>
      <c r="Q88" s="20">
        <v>0.75360000000000005</v>
      </c>
      <c r="R88" s="20">
        <v>0.78320000000000001</v>
      </c>
      <c r="S88" s="20">
        <v>0.81640000000000001</v>
      </c>
      <c r="T88" s="20">
        <v>0.85399999999999998</v>
      </c>
      <c r="U88" s="20">
        <v>0.89649999999999996</v>
      </c>
      <c r="V88" s="20">
        <v>0.94410000000000005</v>
      </c>
      <c r="W88"/>
      <c r="X88"/>
      <c r="Y88"/>
      <c r="Z88"/>
    </row>
    <row r="89" spans="1:26" x14ac:dyDescent="0.2">
      <c r="A89" s="19">
        <v>8.3000000000000004E-2</v>
      </c>
      <c r="B89" s="20">
        <v>0</v>
      </c>
      <c r="C89" s="20">
        <v>9.1999999999999998E-2</v>
      </c>
      <c r="D89" s="20">
        <v>0.17829999999999999</v>
      </c>
      <c r="E89" s="20">
        <v>0.25819999999999999</v>
      </c>
      <c r="F89" s="20">
        <v>0.33090000000000003</v>
      </c>
      <c r="G89" s="20">
        <v>0.39629999999999999</v>
      </c>
      <c r="H89" s="20">
        <v>0.45429999999999998</v>
      </c>
      <c r="I89" s="20">
        <v>0.505</v>
      </c>
      <c r="J89" s="20">
        <v>0.54900000000000004</v>
      </c>
      <c r="K89" s="20">
        <v>0.58699999999999997</v>
      </c>
      <c r="L89" s="20">
        <v>0.62019999999999997</v>
      </c>
      <c r="M89" s="20">
        <v>0.64949999999999997</v>
      </c>
      <c r="N89" s="20">
        <v>0.67630000000000001</v>
      </c>
      <c r="O89" s="20">
        <v>0.70199999999999996</v>
      </c>
      <c r="P89" s="20">
        <v>0.72789999999999999</v>
      </c>
      <c r="Q89" s="20">
        <v>0.75519999999999998</v>
      </c>
      <c r="R89" s="20">
        <v>0.7853</v>
      </c>
      <c r="S89" s="20">
        <v>0.81889999999999996</v>
      </c>
      <c r="T89" s="20">
        <v>0.85680000000000001</v>
      </c>
      <c r="U89" s="20">
        <v>0.89939999999999998</v>
      </c>
      <c r="V89" s="20">
        <v>0.94699999999999995</v>
      </c>
      <c r="W89"/>
      <c r="X89"/>
      <c r="Y89"/>
      <c r="Z89"/>
    </row>
    <row r="90" spans="1:26" x14ac:dyDescent="0.2">
      <c r="A90" s="19">
        <v>8.4000000000000005E-2</v>
      </c>
      <c r="B90" s="20">
        <v>0</v>
      </c>
      <c r="C90" s="20">
        <v>9.1499999999999998E-2</v>
      </c>
      <c r="D90" s="20">
        <v>0.1774</v>
      </c>
      <c r="E90" s="20">
        <v>0.25690000000000002</v>
      </c>
      <c r="F90" s="20">
        <v>0.32940000000000003</v>
      </c>
      <c r="G90" s="20">
        <v>0.39460000000000001</v>
      </c>
      <c r="H90" s="20">
        <v>0.45250000000000001</v>
      </c>
      <c r="I90" s="20">
        <v>0.50329999999999997</v>
      </c>
      <c r="J90" s="20">
        <v>0.5474</v>
      </c>
      <c r="K90" s="20">
        <v>0.58579999999999999</v>
      </c>
      <c r="L90" s="20">
        <v>0.61929999999999996</v>
      </c>
      <c r="M90" s="20">
        <v>0.64900000000000002</v>
      </c>
      <c r="N90" s="20">
        <v>0.6764</v>
      </c>
      <c r="O90" s="20">
        <v>0.7026</v>
      </c>
      <c r="P90" s="20">
        <v>0.72899999999999998</v>
      </c>
      <c r="Q90" s="20">
        <v>0.75690000000000002</v>
      </c>
      <c r="R90" s="20">
        <v>0.7873</v>
      </c>
      <c r="S90" s="20">
        <v>0.82130000000000003</v>
      </c>
      <c r="T90" s="20">
        <v>0.85950000000000004</v>
      </c>
      <c r="U90" s="20">
        <v>0.90229999999999999</v>
      </c>
      <c r="V90" s="20">
        <v>0.94989999999999997</v>
      </c>
      <c r="W90"/>
      <c r="X90"/>
      <c r="Y90"/>
      <c r="Z90"/>
    </row>
    <row r="91" spans="1:26" x14ac:dyDescent="0.2">
      <c r="A91" s="19">
        <v>8.5000000000000006E-2</v>
      </c>
      <c r="B91" s="20">
        <v>0</v>
      </c>
      <c r="C91" s="20">
        <v>9.11E-2</v>
      </c>
      <c r="D91" s="20">
        <v>0.17649999999999999</v>
      </c>
      <c r="E91" s="20">
        <v>0.25559999999999999</v>
      </c>
      <c r="F91" s="20">
        <v>0.32790000000000002</v>
      </c>
      <c r="G91" s="20">
        <v>0.39290000000000003</v>
      </c>
      <c r="H91" s="20">
        <v>0.45079999999999998</v>
      </c>
      <c r="I91" s="20">
        <v>0.50160000000000005</v>
      </c>
      <c r="J91" s="20">
        <v>0.54600000000000004</v>
      </c>
      <c r="K91" s="20">
        <v>0.58460000000000001</v>
      </c>
      <c r="L91" s="20">
        <v>0.61839999999999995</v>
      </c>
      <c r="M91" s="20">
        <v>0.64870000000000005</v>
      </c>
      <c r="N91" s="20">
        <v>0.67649999999999999</v>
      </c>
      <c r="O91" s="20">
        <v>0.70320000000000005</v>
      </c>
      <c r="P91" s="20">
        <v>0.73009999999999997</v>
      </c>
      <c r="Q91" s="20">
        <v>0.75849999999999995</v>
      </c>
      <c r="R91" s="20">
        <v>0.78939999999999999</v>
      </c>
      <c r="S91" s="20">
        <v>0.82369999999999999</v>
      </c>
      <c r="T91" s="20">
        <v>0.86209999999999998</v>
      </c>
      <c r="U91" s="20">
        <v>0.90510000000000002</v>
      </c>
      <c r="V91" s="20">
        <v>0.95279999999999998</v>
      </c>
      <c r="W91"/>
      <c r="X91"/>
      <c r="Y91"/>
      <c r="Z91"/>
    </row>
    <row r="92" spans="1:26" x14ac:dyDescent="0.2">
      <c r="A92" s="19">
        <v>8.5999999999999993E-2</v>
      </c>
      <c r="B92" s="20">
        <v>0</v>
      </c>
      <c r="C92" s="20">
        <v>9.06E-2</v>
      </c>
      <c r="D92" s="20">
        <v>0.17560000000000001</v>
      </c>
      <c r="E92" s="20">
        <v>0.25440000000000002</v>
      </c>
      <c r="F92" s="20">
        <v>0.32640000000000002</v>
      </c>
      <c r="G92" s="20">
        <v>0.39129999999999998</v>
      </c>
      <c r="H92" s="20">
        <v>0.4491</v>
      </c>
      <c r="I92" s="20">
        <v>0.5</v>
      </c>
      <c r="J92" s="20">
        <v>0.54449999999999998</v>
      </c>
      <c r="K92" s="20">
        <v>0.58340000000000003</v>
      </c>
      <c r="L92" s="20">
        <v>0.61760000000000004</v>
      </c>
      <c r="M92" s="20">
        <v>0.64829999999999999</v>
      </c>
      <c r="N92" s="20">
        <v>0.67659999999999998</v>
      </c>
      <c r="O92" s="20">
        <v>0.70379999999999998</v>
      </c>
      <c r="P92" s="20">
        <v>0.73119999999999996</v>
      </c>
      <c r="Q92" s="20">
        <v>0.7601</v>
      </c>
      <c r="R92" s="20">
        <v>0.79139999999999999</v>
      </c>
      <c r="S92" s="20">
        <v>0.82599999999999996</v>
      </c>
      <c r="T92" s="20">
        <v>0.86470000000000002</v>
      </c>
      <c r="U92" s="20">
        <v>0.90790000000000004</v>
      </c>
      <c r="V92" s="20">
        <v>0.9556</v>
      </c>
      <c r="W92"/>
      <c r="X92"/>
      <c r="Y92"/>
      <c r="Z92"/>
    </row>
    <row r="93" spans="1:26" x14ac:dyDescent="0.2">
      <c r="A93" s="19">
        <v>8.6999999999999994E-2</v>
      </c>
      <c r="B93" s="20">
        <v>0</v>
      </c>
      <c r="C93" s="20">
        <v>9.01E-2</v>
      </c>
      <c r="D93" s="20">
        <v>0.17480000000000001</v>
      </c>
      <c r="E93" s="20">
        <v>0.25319999999999998</v>
      </c>
      <c r="F93" s="20">
        <v>0.32490000000000002</v>
      </c>
      <c r="G93" s="20">
        <v>0.38969999999999999</v>
      </c>
      <c r="H93" s="20">
        <v>0.44740000000000002</v>
      </c>
      <c r="I93" s="20">
        <v>0.49840000000000001</v>
      </c>
      <c r="J93" s="20">
        <v>0.54310000000000003</v>
      </c>
      <c r="K93" s="20">
        <v>0.58230000000000004</v>
      </c>
      <c r="L93" s="20">
        <v>0.6169</v>
      </c>
      <c r="M93" s="20">
        <v>0.64800000000000002</v>
      </c>
      <c r="N93" s="20">
        <v>0.67669999999999997</v>
      </c>
      <c r="O93" s="20">
        <v>0.70440000000000003</v>
      </c>
      <c r="P93" s="20">
        <v>0.73240000000000005</v>
      </c>
      <c r="Q93" s="20">
        <v>0.76170000000000004</v>
      </c>
      <c r="R93" s="20">
        <v>0.79339999999999999</v>
      </c>
      <c r="S93" s="20">
        <v>0.82840000000000003</v>
      </c>
      <c r="T93" s="20">
        <v>0.86729999999999996</v>
      </c>
      <c r="U93" s="20">
        <v>0.91059999999999997</v>
      </c>
      <c r="V93" s="20">
        <v>0.95840000000000003</v>
      </c>
      <c r="W93"/>
      <c r="X93"/>
      <c r="Y93"/>
      <c r="Z93"/>
    </row>
    <row r="94" spans="1:26" x14ac:dyDescent="0.2">
      <c r="A94" s="19">
        <v>8.7999999999999995E-2</v>
      </c>
      <c r="B94" s="20">
        <v>0</v>
      </c>
      <c r="C94" s="20">
        <v>8.9700000000000002E-2</v>
      </c>
      <c r="D94" s="20">
        <v>0.1739</v>
      </c>
      <c r="E94" s="20">
        <v>0.252</v>
      </c>
      <c r="F94" s="20">
        <v>0.32350000000000001</v>
      </c>
      <c r="G94" s="20">
        <v>0.3881</v>
      </c>
      <c r="H94" s="20">
        <v>0.44579999999999997</v>
      </c>
      <c r="I94" s="20">
        <v>0.49690000000000001</v>
      </c>
      <c r="J94" s="20">
        <v>0.54179999999999995</v>
      </c>
      <c r="K94" s="20">
        <v>0.58120000000000005</v>
      </c>
      <c r="L94" s="20">
        <v>0.61619999999999997</v>
      </c>
      <c r="M94" s="20">
        <v>0.64759999999999995</v>
      </c>
      <c r="N94" s="20">
        <v>0.67689999999999995</v>
      </c>
      <c r="O94" s="20">
        <v>0.70509999999999995</v>
      </c>
      <c r="P94" s="20">
        <v>0.73350000000000004</v>
      </c>
      <c r="Q94" s="20">
        <v>0.76319999999999999</v>
      </c>
      <c r="R94" s="20">
        <v>0.79530000000000001</v>
      </c>
      <c r="S94" s="20">
        <v>0.83069999999999999</v>
      </c>
      <c r="T94" s="20">
        <v>0.86990000000000001</v>
      </c>
      <c r="U94" s="20">
        <v>0.9133</v>
      </c>
      <c r="V94" s="20">
        <v>0.96109999999999995</v>
      </c>
      <c r="W94"/>
      <c r="X94"/>
      <c r="Y94"/>
      <c r="Z94"/>
    </row>
    <row r="95" spans="1:26" x14ac:dyDescent="0.2">
      <c r="A95" s="19">
        <v>8.8999999999999996E-2</v>
      </c>
      <c r="B95" s="20">
        <v>0</v>
      </c>
      <c r="C95" s="20">
        <v>8.9300000000000004E-2</v>
      </c>
      <c r="D95" s="20">
        <v>0.1731</v>
      </c>
      <c r="E95" s="20">
        <v>0.25090000000000001</v>
      </c>
      <c r="F95" s="20">
        <v>0.32219999999999999</v>
      </c>
      <c r="G95" s="20">
        <v>0.3866</v>
      </c>
      <c r="H95" s="20">
        <v>0.44429999999999997</v>
      </c>
      <c r="I95" s="20">
        <v>0.49540000000000001</v>
      </c>
      <c r="J95" s="20">
        <v>0.54049999999999998</v>
      </c>
      <c r="K95" s="20">
        <v>0.58020000000000005</v>
      </c>
      <c r="L95" s="20">
        <v>0.61550000000000005</v>
      </c>
      <c r="M95" s="20">
        <v>0.64739999999999998</v>
      </c>
      <c r="N95" s="20">
        <v>0.67710000000000004</v>
      </c>
      <c r="O95" s="20">
        <v>0.70569999999999999</v>
      </c>
      <c r="P95" s="20">
        <v>0.73460000000000003</v>
      </c>
      <c r="Q95" s="20">
        <v>0.76480000000000004</v>
      </c>
      <c r="R95" s="20">
        <v>0.79730000000000001</v>
      </c>
      <c r="S95" s="20">
        <v>0.83289999999999997</v>
      </c>
      <c r="T95" s="20">
        <v>0.87239999999999995</v>
      </c>
      <c r="U95" s="20">
        <v>0.91600000000000004</v>
      </c>
      <c r="V95" s="20">
        <v>0.96379999999999999</v>
      </c>
      <c r="W95"/>
      <c r="X95"/>
      <c r="Y95"/>
      <c r="Z95"/>
    </row>
    <row r="96" spans="1:26" x14ac:dyDescent="0.2">
      <c r="A96" s="19">
        <v>0.09</v>
      </c>
      <c r="B96" s="20">
        <v>0</v>
      </c>
      <c r="C96" s="20">
        <v>8.8800000000000004E-2</v>
      </c>
      <c r="D96" s="20">
        <v>0.17230000000000001</v>
      </c>
      <c r="E96" s="20">
        <v>0.24979999999999999</v>
      </c>
      <c r="F96" s="20">
        <v>0.32079999999999997</v>
      </c>
      <c r="G96" s="20">
        <v>0.3851</v>
      </c>
      <c r="H96" s="20">
        <v>0.44280000000000003</v>
      </c>
      <c r="I96" s="20">
        <v>0.49399999999999999</v>
      </c>
      <c r="J96" s="20">
        <v>0.53920000000000001</v>
      </c>
      <c r="K96" s="20">
        <v>0.57920000000000005</v>
      </c>
      <c r="L96" s="20">
        <v>0.61480000000000001</v>
      </c>
      <c r="M96" s="20">
        <v>0.64710000000000001</v>
      </c>
      <c r="N96" s="20">
        <v>0.67720000000000002</v>
      </c>
      <c r="O96" s="20">
        <v>0.70640000000000003</v>
      </c>
      <c r="P96" s="20">
        <v>0.73570000000000002</v>
      </c>
      <c r="Q96" s="20">
        <v>0.76629999999999998</v>
      </c>
      <c r="R96" s="20">
        <v>0.79920000000000002</v>
      </c>
      <c r="S96" s="20">
        <v>0.83520000000000005</v>
      </c>
      <c r="T96" s="20">
        <v>0.87480000000000002</v>
      </c>
      <c r="U96" s="20">
        <v>0.91859999999999997</v>
      </c>
      <c r="V96" s="20">
        <v>0.96650000000000003</v>
      </c>
      <c r="W96"/>
      <c r="X96"/>
      <c r="Y96"/>
      <c r="Z96"/>
    </row>
    <row r="97" spans="1:26" x14ac:dyDescent="0.2">
      <c r="A97" s="19">
        <v>9.0999999999999998E-2</v>
      </c>
      <c r="B97" s="20">
        <v>0</v>
      </c>
      <c r="C97" s="20">
        <v>8.8400000000000006E-2</v>
      </c>
      <c r="D97" s="20">
        <v>0.17150000000000001</v>
      </c>
      <c r="E97" s="20">
        <v>0.2487</v>
      </c>
      <c r="F97" s="20">
        <v>0.31950000000000001</v>
      </c>
      <c r="G97" s="20">
        <v>0.38369999999999999</v>
      </c>
      <c r="H97" s="20">
        <v>0.44130000000000003</v>
      </c>
      <c r="I97" s="20">
        <v>0.49259999999999998</v>
      </c>
      <c r="J97" s="20">
        <v>0.53800000000000003</v>
      </c>
      <c r="K97" s="20">
        <v>0.57820000000000005</v>
      </c>
      <c r="L97" s="20">
        <v>0.61419999999999997</v>
      </c>
      <c r="M97" s="20">
        <v>0.64690000000000003</v>
      </c>
      <c r="N97" s="20">
        <v>0.6774</v>
      </c>
      <c r="O97" s="20">
        <v>0.70699999999999996</v>
      </c>
      <c r="P97" s="20">
        <v>0.73680000000000001</v>
      </c>
      <c r="Q97" s="20">
        <v>0.76790000000000003</v>
      </c>
      <c r="R97" s="20">
        <v>0.80110000000000003</v>
      </c>
      <c r="S97" s="20">
        <v>0.83740000000000003</v>
      </c>
      <c r="T97" s="20">
        <v>0.87729999999999997</v>
      </c>
      <c r="U97" s="20">
        <v>0.92120000000000002</v>
      </c>
      <c r="V97" s="20">
        <v>0.96909999999999996</v>
      </c>
      <c r="W97"/>
      <c r="X97"/>
      <c r="Y97"/>
      <c r="Z97"/>
    </row>
    <row r="98" spans="1:26" x14ac:dyDescent="0.2">
      <c r="A98" s="19">
        <v>9.1999999999999998E-2</v>
      </c>
      <c r="B98" s="20">
        <v>0</v>
      </c>
      <c r="C98" s="20">
        <v>8.7999999999999995E-2</v>
      </c>
      <c r="D98" s="20">
        <v>0.17080000000000001</v>
      </c>
      <c r="E98" s="20">
        <v>0.24759999999999999</v>
      </c>
      <c r="F98" s="20">
        <v>0.31819999999999998</v>
      </c>
      <c r="G98" s="20">
        <v>0.38229999999999997</v>
      </c>
      <c r="H98" s="20">
        <v>0.43990000000000001</v>
      </c>
      <c r="I98" s="20">
        <v>0.49120000000000003</v>
      </c>
      <c r="J98" s="20">
        <v>0.53680000000000005</v>
      </c>
      <c r="K98" s="20">
        <v>0.57730000000000004</v>
      </c>
      <c r="L98" s="20">
        <v>0.61360000000000003</v>
      </c>
      <c r="M98" s="20">
        <v>0.64670000000000005</v>
      </c>
      <c r="N98" s="20">
        <v>0.67769999999999997</v>
      </c>
      <c r="O98" s="20">
        <v>0.7077</v>
      </c>
      <c r="P98" s="20">
        <v>0.7379</v>
      </c>
      <c r="Q98" s="20">
        <v>0.76939999999999997</v>
      </c>
      <c r="R98" s="20">
        <v>0.80300000000000005</v>
      </c>
      <c r="S98" s="20">
        <v>0.83960000000000001</v>
      </c>
      <c r="T98" s="20">
        <v>0.87970000000000004</v>
      </c>
      <c r="U98" s="20">
        <v>0.92369999999999997</v>
      </c>
      <c r="V98" s="20">
        <v>0.97170000000000001</v>
      </c>
      <c r="W98"/>
      <c r="X98"/>
      <c r="Y98"/>
      <c r="Z98"/>
    </row>
    <row r="99" spans="1:26" x14ac:dyDescent="0.2">
      <c r="A99" s="19">
        <v>9.2999999999999999E-2</v>
      </c>
      <c r="B99" s="20">
        <v>0</v>
      </c>
      <c r="C99" s="20">
        <v>8.7599999999999997E-2</v>
      </c>
      <c r="D99" s="20">
        <v>0.17</v>
      </c>
      <c r="E99" s="20">
        <v>0.24660000000000001</v>
      </c>
      <c r="F99" s="20">
        <v>0.317</v>
      </c>
      <c r="G99" s="20">
        <v>0.38090000000000002</v>
      </c>
      <c r="H99" s="20">
        <v>0.4385</v>
      </c>
      <c r="I99" s="20">
        <v>0.4899</v>
      </c>
      <c r="J99" s="20">
        <v>0.53559999999999997</v>
      </c>
      <c r="K99" s="20">
        <v>0.57640000000000002</v>
      </c>
      <c r="L99" s="20">
        <v>0.61299999999999999</v>
      </c>
      <c r="M99" s="20">
        <v>0.64649999999999996</v>
      </c>
      <c r="N99" s="20">
        <v>0.67789999999999995</v>
      </c>
      <c r="O99" s="20">
        <v>0.70840000000000003</v>
      </c>
      <c r="P99" s="20">
        <v>0.73899999999999999</v>
      </c>
      <c r="Q99" s="20">
        <v>0.77090000000000003</v>
      </c>
      <c r="R99" s="20">
        <v>0.80489999999999995</v>
      </c>
      <c r="S99" s="20">
        <v>0.84179999999999999</v>
      </c>
      <c r="T99" s="20">
        <v>0.8821</v>
      </c>
      <c r="U99" s="20">
        <v>0.92620000000000002</v>
      </c>
      <c r="V99" s="20">
        <v>0.97430000000000005</v>
      </c>
      <c r="W99"/>
      <c r="X99"/>
      <c r="Y99"/>
      <c r="Z99"/>
    </row>
    <row r="100" spans="1:26" x14ac:dyDescent="0.2">
      <c r="A100" s="19">
        <v>9.4E-2</v>
      </c>
      <c r="B100" s="20">
        <v>0</v>
      </c>
      <c r="C100" s="20">
        <v>8.72E-2</v>
      </c>
      <c r="D100" s="20">
        <v>0.16930000000000001</v>
      </c>
      <c r="E100" s="20">
        <v>0.24560000000000001</v>
      </c>
      <c r="F100" s="20">
        <v>0.31580000000000003</v>
      </c>
      <c r="G100" s="20">
        <v>0.37959999999999999</v>
      </c>
      <c r="H100" s="20">
        <v>0.43709999999999999</v>
      </c>
      <c r="I100" s="20">
        <v>0.48859999999999998</v>
      </c>
      <c r="J100" s="20">
        <v>0.53449999999999998</v>
      </c>
      <c r="K100" s="20">
        <v>0.57550000000000001</v>
      </c>
      <c r="L100" s="20">
        <v>0.61250000000000004</v>
      </c>
      <c r="M100" s="20">
        <v>0.64629999999999999</v>
      </c>
      <c r="N100" s="20">
        <v>0.67820000000000003</v>
      </c>
      <c r="O100" s="20">
        <v>0.70909999999999995</v>
      </c>
      <c r="P100" s="20">
        <v>0.74019999999999997</v>
      </c>
      <c r="Q100" s="20">
        <v>0.77239999999999998</v>
      </c>
      <c r="R100" s="20">
        <v>0.80669999999999997</v>
      </c>
      <c r="S100" s="20">
        <v>0.84389999999999998</v>
      </c>
      <c r="T100" s="20">
        <v>0.88439999999999996</v>
      </c>
      <c r="U100" s="20">
        <v>0.92869999999999997</v>
      </c>
      <c r="V100" s="20">
        <v>0.9768</v>
      </c>
      <c r="W100"/>
      <c r="X100"/>
      <c r="Y100"/>
      <c r="Z100"/>
    </row>
    <row r="101" spans="1:26" x14ac:dyDescent="0.2">
      <c r="A101" s="19">
        <v>9.5000000000000001E-2</v>
      </c>
      <c r="B101" s="20">
        <v>0</v>
      </c>
      <c r="C101" s="20">
        <v>8.6900000000000005E-2</v>
      </c>
      <c r="D101" s="20">
        <v>0.1686</v>
      </c>
      <c r="E101" s="20">
        <v>0.24460000000000001</v>
      </c>
      <c r="F101" s="20">
        <v>0.31459999999999999</v>
      </c>
      <c r="G101" s="20">
        <v>0.37830000000000003</v>
      </c>
      <c r="H101" s="20">
        <v>0.43580000000000002</v>
      </c>
      <c r="I101" s="20">
        <v>0.4874</v>
      </c>
      <c r="J101" s="20">
        <v>0.53339999999999999</v>
      </c>
      <c r="K101" s="20">
        <v>0.57469999999999999</v>
      </c>
      <c r="L101" s="20">
        <v>0.6119</v>
      </c>
      <c r="M101" s="20">
        <v>0.6462</v>
      </c>
      <c r="N101" s="20">
        <v>0.6784</v>
      </c>
      <c r="O101" s="20">
        <v>0.70979999999999999</v>
      </c>
      <c r="P101" s="20">
        <v>0.74129999999999996</v>
      </c>
      <c r="Q101" s="20">
        <v>0.77390000000000003</v>
      </c>
      <c r="R101" s="20">
        <v>0.80859999999999999</v>
      </c>
      <c r="S101" s="20">
        <v>0.84599999999999997</v>
      </c>
      <c r="T101" s="20">
        <v>0.88680000000000003</v>
      </c>
      <c r="U101" s="20">
        <v>0.93120000000000003</v>
      </c>
      <c r="V101" s="20">
        <v>0.97929999999999995</v>
      </c>
      <c r="W101"/>
      <c r="X101"/>
      <c r="Y101"/>
      <c r="Z101"/>
    </row>
    <row r="102" spans="1:26" x14ac:dyDescent="0.2">
      <c r="A102" s="19">
        <v>9.6000000000000002E-2</v>
      </c>
      <c r="B102" s="20">
        <v>0</v>
      </c>
      <c r="C102" s="20">
        <v>8.6499999999999994E-2</v>
      </c>
      <c r="D102" s="20">
        <v>0.16789999999999999</v>
      </c>
      <c r="E102" s="20">
        <v>0.2437</v>
      </c>
      <c r="F102" s="20">
        <v>0.3135</v>
      </c>
      <c r="G102" s="20">
        <v>0.37709999999999999</v>
      </c>
      <c r="H102" s="20">
        <v>0.43459999999999999</v>
      </c>
      <c r="I102" s="20">
        <v>0.48620000000000002</v>
      </c>
      <c r="J102" s="20">
        <v>0.53239999999999998</v>
      </c>
      <c r="K102" s="20">
        <v>0.57389999999999997</v>
      </c>
      <c r="L102" s="20">
        <v>0.61150000000000004</v>
      </c>
      <c r="M102" s="20">
        <v>0.64610000000000001</v>
      </c>
      <c r="N102" s="20">
        <v>0.67869999999999997</v>
      </c>
      <c r="O102" s="20">
        <v>0.71050000000000002</v>
      </c>
      <c r="P102" s="20">
        <v>0.74239999999999995</v>
      </c>
      <c r="Q102" s="20">
        <v>0.77539999999999998</v>
      </c>
      <c r="R102" s="20">
        <v>0.81040000000000001</v>
      </c>
      <c r="S102" s="20">
        <v>0.84809999999999997</v>
      </c>
      <c r="T102" s="20">
        <v>0.8891</v>
      </c>
      <c r="U102" s="20">
        <v>0.93359999999999999</v>
      </c>
      <c r="V102" s="20">
        <v>0.98180000000000001</v>
      </c>
      <c r="W102"/>
      <c r="X102"/>
      <c r="Y102"/>
      <c r="Z102"/>
    </row>
    <row r="103" spans="1:26" x14ac:dyDescent="0.2">
      <c r="A103" s="19">
        <v>9.7000000000000003E-2</v>
      </c>
      <c r="B103" s="20">
        <v>0</v>
      </c>
      <c r="C103" s="20">
        <v>8.6099999999999996E-2</v>
      </c>
      <c r="D103" s="20">
        <v>0.16719999999999999</v>
      </c>
      <c r="E103" s="20">
        <v>0.2427</v>
      </c>
      <c r="F103" s="20">
        <v>0.31230000000000002</v>
      </c>
      <c r="G103" s="20">
        <v>0.37580000000000002</v>
      </c>
      <c r="H103" s="20">
        <v>0.43330000000000002</v>
      </c>
      <c r="I103" s="20">
        <v>0.48499999999999999</v>
      </c>
      <c r="J103" s="20">
        <v>0.53139999999999998</v>
      </c>
      <c r="K103" s="20">
        <v>0.57310000000000005</v>
      </c>
      <c r="L103" s="20">
        <v>0.61099999999999999</v>
      </c>
      <c r="M103" s="20">
        <v>0.64600000000000002</v>
      </c>
      <c r="N103" s="20">
        <v>0.67900000000000005</v>
      </c>
      <c r="O103" s="20">
        <v>0.71120000000000005</v>
      </c>
      <c r="P103" s="20">
        <v>0.74350000000000005</v>
      </c>
      <c r="Q103" s="20">
        <v>0.77690000000000003</v>
      </c>
      <c r="R103" s="20">
        <v>0.81220000000000003</v>
      </c>
      <c r="S103" s="20">
        <v>0.85019999999999996</v>
      </c>
      <c r="T103" s="20">
        <v>0.89129999999999998</v>
      </c>
      <c r="U103" s="20">
        <v>0.93600000000000005</v>
      </c>
      <c r="V103" s="20">
        <v>0.98419999999999996</v>
      </c>
      <c r="W103"/>
      <c r="X103"/>
      <c r="Y103"/>
      <c r="Z103"/>
    </row>
    <row r="104" spans="1:26" x14ac:dyDescent="0.2">
      <c r="A104" s="19">
        <v>9.8000000000000004E-2</v>
      </c>
      <c r="B104" s="20">
        <v>0</v>
      </c>
      <c r="C104" s="20">
        <v>8.5800000000000001E-2</v>
      </c>
      <c r="D104" s="20">
        <v>0.1666</v>
      </c>
      <c r="E104" s="20">
        <v>0.24179999999999999</v>
      </c>
      <c r="F104" s="20">
        <v>0.31119999999999998</v>
      </c>
      <c r="G104" s="20">
        <v>0.37469999999999998</v>
      </c>
      <c r="H104" s="20">
        <v>0.43209999999999998</v>
      </c>
      <c r="I104" s="20">
        <v>0.4839</v>
      </c>
      <c r="J104" s="20">
        <v>0.53039999999999998</v>
      </c>
      <c r="K104" s="20">
        <v>0.57240000000000002</v>
      </c>
      <c r="L104" s="20">
        <v>0.61060000000000003</v>
      </c>
      <c r="M104" s="20">
        <v>0.64590000000000003</v>
      </c>
      <c r="N104" s="20">
        <v>0.67930000000000001</v>
      </c>
      <c r="O104" s="20">
        <v>0.71189999999999998</v>
      </c>
      <c r="P104" s="20">
        <v>0.74450000000000005</v>
      </c>
      <c r="Q104" s="20">
        <v>0.77829999999999999</v>
      </c>
      <c r="R104" s="20">
        <v>0.81399999999999995</v>
      </c>
      <c r="S104" s="20">
        <v>0.85219999999999996</v>
      </c>
      <c r="T104" s="20">
        <v>0.89359999999999995</v>
      </c>
      <c r="U104" s="20">
        <v>0.93830000000000002</v>
      </c>
      <c r="V104" s="20">
        <v>0.98660000000000003</v>
      </c>
      <c r="W104"/>
      <c r="X104"/>
      <c r="Y104"/>
      <c r="Z104"/>
    </row>
    <row r="105" spans="1:26" x14ac:dyDescent="0.2">
      <c r="A105" s="19">
        <v>9.9000000000000005E-2</v>
      </c>
      <c r="B105" s="20">
        <v>0</v>
      </c>
      <c r="C105" s="20">
        <v>8.5500000000000007E-2</v>
      </c>
      <c r="D105" s="20">
        <v>0.16589999999999999</v>
      </c>
      <c r="E105" s="20">
        <v>0.24099999999999999</v>
      </c>
      <c r="F105" s="20">
        <v>0.31019999999999998</v>
      </c>
      <c r="G105" s="20">
        <v>0.3735</v>
      </c>
      <c r="H105" s="20">
        <v>0.43099999999999999</v>
      </c>
      <c r="I105" s="20">
        <v>0.48280000000000001</v>
      </c>
      <c r="J105" s="20">
        <v>0.52949999999999997</v>
      </c>
      <c r="K105" s="20">
        <v>0.57169999999999999</v>
      </c>
      <c r="L105" s="20">
        <v>0.61019999999999996</v>
      </c>
      <c r="M105" s="20">
        <v>0.64580000000000004</v>
      </c>
      <c r="N105" s="20">
        <v>0.67959999999999998</v>
      </c>
      <c r="O105" s="20">
        <v>0.71260000000000001</v>
      </c>
      <c r="P105" s="20">
        <v>0.74560000000000004</v>
      </c>
      <c r="Q105" s="20">
        <v>0.77980000000000005</v>
      </c>
      <c r="R105" s="20">
        <v>0.81569999999999998</v>
      </c>
      <c r="S105" s="20">
        <v>0.85419999999999996</v>
      </c>
      <c r="T105" s="20">
        <v>0.89580000000000004</v>
      </c>
      <c r="U105" s="20">
        <v>0.94059999999999999</v>
      </c>
      <c r="V105" s="20">
        <v>0.98899999999999999</v>
      </c>
      <c r="W105"/>
      <c r="X105"/>
      <c r="Y105"/>
      <c r="Z105"/>
    </row>
    <row r="106" spans="1:26" x14ac:dyDescent="0.2">
      <c r="A106" s="19">
        <v>0.1</v>
      </c>
      <c r="B106" s="20">
        <v>0</v>
      </c>
      <c r="C106" s="20">
        <v>8.5099999999999995E-2</v>
      </c>
      <c r="D106" s="20">
        <v>0.1653</v>
      </c>
      <c r="E106" s="20">
        <v>0.24010000000000001</v>
      </c>
      <c r="F106" s="20">
        <v>0.30919999999999997</v>
      </c>
      <c r="G106" s="20">
        <v>0.37240000000000001</v>
      </c>
      <c r="H106" s="20">
        <v>0.42980000000000002</v>
      </c>
      <c r="I106" s="20">
        <v>0.48170000000000002</v>
      </c>
      <c r="J106" s="20">
        <v>0.52859999999999996</v>
      </c>
      <c r="K106" s="20">
        <v>0.57099999999999995</v>
      </c>
      <c r="L106" s="20">
        <v>0.60980000000000001</v>
      </c>
      <c r="M106" s="20">
        <v>0.64580000000000004</v>
      </c>
      <c r="N106" s="20">
        <v>0.68</v>
      </c>
      <c r="O106" s="20">
        <v>0.71330000000000005</v>
      </c>
      <c r="P106" s="20">
        <v>0.74670000000000003</v>
      </c>
      <c r="Q106" s="20">
        <v>0.78120000000000001</v>
      </c>
      <c r="R106" s="20">
        <v>0.8175</v>
      </c>
      <c r="S106" s="20">
        <v>0.85619999999999996</v>
      </c>
      <c r="T106" s="20">
        <v>0.89800000000000002</v>
      </c>
      <c r="U106" s="20">
        <v>0.94289999999999996</v>
      </c>
      <c r="V106" s="20">
        <v>0.99129999999999996</v>
      </c>
      <c r="W106"/>
      <c r="X106"/>
      <c r="Y106"/>
      <c r="Z106"/>
    </row>
    <row r="107" spans="1:26" x14ac:dyDescent="0.2">
      <c r="A107" s="19">
        <v>0.10100000000000001</v>
      </c>
      <c r="B107" s="20">
        <v>0</v>
      </c>
      <c r="C107" s="20">
        <v>8.48E-2</v>
      </c>
      <c r="D107" s="20">
        <v>0.16470000000000001</v>
      </c>
      <c r="E107" s="20">
        <v>0.23930000000000001</v>
      </c>
      <c r="F107" s="20">
        <v>0.30819999999999997</v>
      </c>
      <c r="G107" s="20">
        <v>0.37130000000000002</v>
      </c>
      <c r="H107" s="20">
        <v>0.42870000000000003</v>
      </c>
      <c r="I107" s="20">
        <v>0.48070000000000002</v>
      </c>
      <c r="J107" s="20">
        <v>0.52769999999999995</v>
      </c>
      <c r="K107" s="20">
        <v>0.57040000000000002</v>
      </c>
      <c r="L107" s="20">
        <v>0.60950000000000004</v>
      </c>
      <c r="M107" s="20">
        <v>0.64580000000000004</v>
      </c>
      <c r="N107" s="20">
        <v>0.68030000000000002</v>
      </c>
      <c r="O107" s="20">
        <v>0.71399999999999997</v>
      </c>
      <c r="P107" s="20">
        <v>0.74780000000000002</v>
      </c>
      <c r="Q107" s="20">
        <v>0.78259999999999996</v>
      </c>
      <c r="R107" s="20">
        <v>0.81920000000000004</v>
      </c>
      <c r="S107" s="20">
        <v>0.85819999999999996</v>
      </c>
      <c r="T107" s="20">
        <v>0.90010000000000001</v>
      </c>
      <c r="U107" s="20">
        <v>0.94520000000000004</v>
      </c>
      <c r="V107" s="20">
        <v>0.99360000000000004</v>
      </c>
      <c r="W107"/>
      <c r="X107"/>
      <c r="Y107"/>
      <c r="Z107"/>
    </row>
    <row r="108" spans="1:26" x14ac:dyDescent="0.2">
      <c r="A108" s="19">
        <v>0.10199999999999999</v>
      </c>
      <c r="B108" s="20">
        <v>0</v>
      </c>
      <c r="C108" s="20">
        <v>8.4500000000000006E-2</v>
      </c>
      <c r="D108" s="20">
        <v>0.1641</v>
      </c>
      <c r="E108" s="20">
        <v>0.2384</v>
      </c>
      <c r="F108" s="20">
        <v>0.30719999999999997</v>
      </c>
      <c r="G108" s="20">
        <v>0.37019999999999997</v>
      </c>
      <c r="H108" s="20">
        <v>0.42770000000000002</v>
      </c>
      <c r="I108" s="20">
        <v>0.47970000000000002</v>
      </c>
      <c r="J108" s="20">
        <v>0.52690000000000003</v>
      </c>
      <c r="K108" s="20">
        <v>0.56979999999999997</v>
      </c>
      <c r="L108" s="20">
        <v>0.60909999999999997</v>
      </c>
      <c r="M108" s="20">
        <v>0.64580000000000004</v>
      </c>
      <c r="N108" s="20">
        <v>0.68069999999999997</v>
      </c>
      <c r="O108" s="20">
        <v>0.7147</v>
      </c>
      <c r="P108" s="20">
        <v>0.74890000000000001</v>
      </c>
      <c r="Q108" s="20">
        <v>0.78400000000000003</v>
      </c>
      <c r="R108" s="20">
        <v>0.82089999999999996</v>
      </c>
      <c r="S108" s="20">
        <v>0.86019999999999996</v>
      </c>
      <c r="T108" s="20">
        <v>0.90229999999999999</v>
      </c>
      <c r="U108" s="20">
        <v>0.94740000000000002</v>
      </c>
      <c r="V108" s="20">
        <v>0.99590000000000001</v>
      </c>
      <c r="W108"/>
      <c r="X108"/>
      <c r="Y108"/>
      <c r="Z108"/>
    </row>
    <row r="109" spans="1:26" x14ac:dyDescent="0.2">
      <c r="A109" s="19">
        <v>0.10299999999999999</v>
      </c>
      <c r="B109" s="20">
        <v>0</v>
      </c>
      <c r="C109" s="20">
        <v>8.4199999999999997E-2</v>
      </c>
      <c r="D109" s="20">
        <v>0.1636</v>
      </c>
      <c r="E109" s="20">
        <v>0.23769999999999999</v>
      </c>
      <c r="F109" s="20">
        <v>0.30620000000000003</v>
      </c>
      <c r="G109" s="20">
        <v>0.36919999999999997</v>
      </c>
      <c r="H109" s="20">
        <v>0.42659999999999998</v>
      </c>
      <c r="I109" s="20">
        <v>0.4788</v>
      </c>
      <c r="J109" s="20">
        <v>0.52610000000000001</v>
      </c>
      <c r="K109" s="20">
        <v>0.56920000000000004</v>
      </c>
      <c r="L109" s="20">
        <v>0.60880000000000001</v>
      </c>
      <c r="M109" s="20">
        <v>0.64580000000000004</v>
      </c>
      <c r="N109" s="20">
        <v>0.68100000000000005</v>
      </c>
      <c r="O109" s="20">
        <v>0.71550000000000002</v>
      </c>
      <c r="P109" s="20">
        <v>0.75</v>
      </c>
      <c r="Q109" s="20">
        <v>0.78549999999999998</v>
      </c>
      <c r="R109" s="20">
        <v>0.8226</v>
      </c>
      <c r="S109" s="20">
        <v>0.86209999999999998</v>
      </c>
      <c r="T109" s="20">
        <v>0.90439999999999998</v>
      </c>
      <c r="U109" s="20">
        <v>0.94969999999999999</v>
      </c>
      <c r="V109" s="20">
        <v>0.99809999999999999</v>
      </c>
      <c r="W109"/>
      <c r="X109"/>
      <c r="Y109"/>
      <c r="Z109"/>
    </row>
    <row r="110" spans="1:26" x14ac:dyDescent="0.2">
      <c r="A110" s="19">
        <v>0.104</v>
      </c>
      <c r="B110" s="20">
        <v>0</v>
      </c>
      <c r="C110" s="20">
        <v>8.3900000000000002E-2</v>
      </c>
      <c r="D110" s="20">
        <v>0.16300000000000001</v>
      </c>
      <c r="E110" s="20">
        <v>0.2369</v>
      </c>
      <c r="F110" s="20">
        <v>0.30530000000000002</v>
      </c>
      <c r="G110" s="20">
        <v>0.36820000000000003</v>
      </c>
      <c r="H110" s="20">
        <v>0.42559999999999998</v>
      </c>
      <c r="I110" s="20">
        <v>0.47789999999999999</v>
      </c>
      <c r="J110" s="20">
        <v>0.52529999999999999</v>
      </c>
      <c r="K110" s="20">
        <v>0.56869999999999998</v>
      </c>
      <c r="L110" s="20">
        <v>0.60850000000000004</v>
      </c>
      <c r="M110" s="20">
        <v>0.64580000000000004</v>
      </c>
      <c r="N110" s="20">
        <v>0.68140000000000001</v>
      </c>
      <c r="O110" s="20">
        <v>0.71619999999999995</v>
      </c>
      <c r="P110" s="20">
        <v>0.75109999999999999</v>
      </c>
      <c r="Q110" s="20">
        <v>0.78690000000000004</v>
      </c>
      <c r="R110" s="20">
        <v>0.82430000000000003</v>
      </c>
      <c r="S110" s="20">
        <v>0.86399999999999999</v>
      </c>
      <c r="T110" s="20">
        <v>0.90639999999999998</v>
      </c>
      <c r="U110" s="20">
        <v>0.95179999999999998</v>
      </c>
      <c r="V110" s="20">
        <v>1.0003</v>
      </c>
      <c r="W110"/>
      <c r="X110"/>
      <c r="Y110"/>
      <c r="Z110"/>
    </row>
    <row r="111" spans="1:26" x14ac:dyDescent="0.2">
      <c r="A111" s="19">
        <v>0.105</v>
      </c>
      <c r="B111" s="20">
        <v>0</v>
      </c>
      <c r="C111" s="20">
        <v>8.3599999999999994E-2</v>
      </c>
      <c r="D111" s="20">
        <v>0.16239999999999999</v>
      </c>
      <c r="E111" s="20">
        <v>0.2361</v>
      </c>
      <c r="F111" s="20">
        <v>0.3044</v>
      </c>
      <c r="G111" s="20">
        <v>0.36720000000000003</v>
      </c>
      <c r="H111" s="20">
        <v>0.42470000000000002</v>
      </c>
      <c r="I111" s="20">
        <v>0.47699999999999998</v>
      </c>
      <c r="J111" s="20">
        <v>0.52459999999999996</v>
      </c>
      <c r="K111" s="20">
        <v>0.56810000000000005</v>
      </c>
      <c r="L111" s="20">
        <v>0.60829999999999995</v>
      </c>
      <c r="M111" s="20">
        <v>0.64590000000000003</v>
      </c>
      <c r="N111" s="20">
        <v>0.68179999999999996</v>
      </c>
      <c r="O111" s="20">
        <v>0.71689999999999998</v>
      </c>
      <c r="P111" s="20">
        <v>0.75209999999999999</v>
      </c>
      <c r="Q111" s="20">
        <v>0.78820000000000001</v>
      </c>
      <c r="R111" s="20">
        <v>0.82599999999999996</v>
      </c>
      <c r="S111" s="20">
        <v>0.8659</v>
      </c>
      <c r="T111" s="20">
        <v>0.90849999999999997</v>
      </c>
      <c r="U111" s="20">
        <v>0.95399999999999996</v>
      </c>
      <c r="V111" s="20">
        <v>1.0024999999999999</v>
      </c>
      <c r="W111"/>
      <c r="X111"/>
      <c r="Y111"/>
      <c r="Z111"/>
    </row>
    <row r="112" spans="1:26" x14ac:dyDescent="0.2">
      <c r="A112" s="19">
        <v>0.106</v>
      </c>
      <c r="B112" s="20">
        <v>0</v>
      </c>
      <c r="C112" s="20">
        <v>8.3299999999999999E-2</v>
      </c>
      <c r="D112" s="20">
        <v>0.16189999999999999</v>
      </c>
      <c r="E112" s="20">
        <v>0.2354</v>
      </c>
      <c r="F112" s="20">
        <v>0.30359999999999998</v>
      </c>
      <c r="G112" s="20">
        <v>0.36630000000000001</v>
      </c>
      <c r="H112" s="20">
        <v>0.42370000000000002</v>
      </c>
      <c r="I112" s="20">
        <v>0.47610000000000002</v>
      </c>
      <c r="J112" s="20">
        <v>0.52390000000000003</v>
      </c>
      <c r="K112" s="20">
        <v>0.56759999999999999</v>
      </c>
      <c r="L112" s="20">
        <v>0.60799999999999998</v>
      </c>
      <c r="M112" s="20">
        <v>0.64600000000000002</v>
      </c>
      <c r="N112" s="20">
        <v>0.68220000000000003</v>
      </c>
      <c r="O112" s="20">
        <v>0.7177</v>
      </c>
      <c r="P112" s="20">
        <v>0.75319999999999998</v>
      </c>
      <c r="Q112" s="20">
        <v>0.78959999999999997</v>
      </c>
      <c r="R112" s="20">
        <v>0.8276</v>
      </c>
      <c r="S112" s="20">
        <v>0.86780000000000002</v>
      </c>
      <c r="T112" s="20">
        <v>0.91049999999999998</v>
      </c>
      <c r="U112" s="20">
        <v>0.95609999999999995</v>
      </c>
      <c r="V112" s="20">
        <v>1.0046999999999999</v>
      </c>
      <c r="W112"/>
      <c r="X112"/>
      <c r="Y112"/>
      <c r="Z112"/>
    </row>
    <row r="113" spans="1:26" x14ac:dyDescent="0.2">
      <c r="A113" s="19">
        <v>0.107</v>
      </c>
      <c r="B113" s="20">
        <v>0</v>
      </c>
      <c r="C113" s="20">
        <v>8.3099999999999993E-2</v>
      </c>
      <c r="D113" s="20">
        <v>0.16139999999999999</v>
      </c>
      <c r="E113" s="20">
        <v>0.23469999999999999</v>
      </c>
      <c r="F113" s="20">
        <v>0.30270000000000002</v>
      </c>
      <c r="G113" s="20">
        <v>0.3654</v>
      </c>
      <c r="H113" s="20">
        <v>0.42280000000000001</v>
      </c>
      <c r="I113" s="20">
        <v>0.4753</v>
      </c>
      <c r="J113" s="20">
        <v>0.5232</v>
      </c>
      <c r="K113" s="20">
        <v>0.56720000000000004</v>
      </c>
      <c r="L113" s="20">
        <v>0.60780000000000001</v>
      </c>
      <c r="M113" s="20">
        <v>0.64600000000000002</v>
      </c>
      <c r="N113" s="20">
        <v>0.68259999999999998</v>
      </c>
      <c r="O113" s="20">
        <v>0.71840000000000004</v>
      </c>
      <c r="P113" s="20">
        <v>0.75429999999999997</v>
      </c>
      <c r="Q113" s="20">
        <v>0.79100000000000004</v>
      </c>
      <c r="R113" s="20">
        <v>0.82930000000000004</v>
      </c>
      <c r="S113" s="20">
        <v>0.86960000000000004</v>
      </c>
      <c r="T113" s="20">
        <v>0.91259999999999997</v>
      </c>
      <c r="U113" s="20">
        <v>0.95830000000000004</v>
      </c>
      <c r="V113" s="20">
        <v>1.0067999999999999</v>
      </c>
      <c r="W113"/>
      <c r="X113"/>
      <c r="Y113"/>
      <c r="Z113"/>
    </row>
    <row r="114" spans="1:26" x14ac:dyDescent="0.2">
      <c r="A114" s="19">
        <v>0.108</v>
      </c>
      <c r="B114" s="20">
        <v>0</v>
      </c>
      <c r="C114" s="20">
        <v>8.2799999999999999E-2</v>
      </c>
      <c r="D114" s="20">
        <v>0.16089999999999999</v>
      </c>
      <c r="E114" s="20">
        <v>0.23400000000000001</v>
      </c>
      <c r="F114" s="20">
        <v>0.3019</v>
      </c>
      <c r="G114" s="20">
        <v>0.36449999999999999</v>
      </c>
      <c r="H114" s="20">
        <v>0.42199999999999999</v>
      </c>
      <c r="I114" s="20">
        <v>0.47449999999999998</v>
      </c>
      <c r="J114" s="20">
        <v>0.52259999999999995</v>
      </c>
      <c r="K114" s="20">
        <v>0.56669999999999998</v>
      </c>
      <c r="L114" s="20">
        <v>0.60760000000000003</v>
      </c>
      <c r="M114" s="20">
        <v>0.64610000000000001</v>
      </c>
      <c r="N114" s="20">
        <v>0.68300000000000005</v>
      </c>
      <c r="O114" s="20">
        <v>0.71919999999999995</v>
      </c>
      <c r="P114" s="20">
        <v>0.75529999999999997</v>
      </c>
      <c r="Q114" s="20">
        <v>0.79239999999999999</v>
      </c>
      <c r="R114" s="20">
        <v>0.83089999999999997</v>
      </c>
      <c r="S114" s="20">
        <v>0.87150000000000005</v>
      </c>
      <c r="T114" s="20">
        <v>0.91449999999999998</v>
      </c>
      <c r="U114" s="20">
        <v>0.96030000000000004</v>
      </c>
      <c r="V114" s="20">
        <v>1.0089999999999999</v>
      </c>
      <c r="W114"/>
      <c r="X114"/>
      <c r="Y114"/>
      <c r="Z114"/>
    </row>
    <row r="115" spans="1:26" x14ac:dyDescent="0.2">
      <c r="A115" s="19">
        <v>0.109</v>
      </c>
      <c r="B115" s="20">
        <v>0</v>
      </c>
      <c r="C115" s="20">
        <v>8.2500000000000004E-2</v>
      </c>
      <c r="D115" s="20">
        <v>0.16039999999999999</v>
      </c>
      <c r="E115" s="20">
        <v>0.23330000000000001</v>
      </c>
      <c r="F115" s="20">
        <v>0.30109999999999998</v>
      </c>
      <c r="G115" s="20">
        <v>0.36370000000000002</v>
      </c>
      <c r="H115" s="20">
        <v>0.42109999999999997</v>
      </c>
      <c r="I115" s="20">
        <v>0.47370000000000001</v>
      </c>
      <c r="J115" s="20">
        <v>0.52190000000000003</v>
      </c>
      <c r="K115" s="20">
        <v>0.56630000000000003</v>
      </c>
      <c r="L115" s="20">
        <v>0.60750000000000004</v>
      </c>
      <c r="M115" s="20">
        <v>0.64629999999999999</v>
      </c>
      <c r="N115" s="20">
        <v>0.6835</v>
      </c>
      <c r="O115" s="20">
        <v>0.71989999999999998</v>
      </c>
      <c r="P115" s="20">
        <v>0.75639999999999996</v>
      </c>
      <c r="Q115" s="20">
        <v>0.79369999999999996</v>
      </c>
      <c r="R115" s="20">
        <v>0.83250000000000002</v>
      </c>
      <c r="S115" s="20">
        <v>0.87329999999999997</v>
      </c>
      <c r="T115" s="20">
        <v>0.91649999999999998</v>
      </c>
      <c r="U115" s="20">
        <v>0.96240000000000003</v>
      </c>
      <c r="V115" s="20">
        <v>1.0111000000000001</v>
      </c>
      <c r="W115"/>
      <c r="X115"/>
      <c r="Y115"/>
      <c r="Z115"/>
    </row>
    <row r="116" spans="1:26" x14ac:dyDescent="0.2">
      <c r="A116" s="19">
        <v>0.11</v>
      </c>
      <c r="B116" s="20">
        <v>0</v>
      </c>
      <c r="C116" s="20">
        <v>8.2299999999999998E-2</v>
      </c>
      <c r="D116" s="20">
        <v>0.16</v>
      </c>
      <c r="E116" s="20">
        <v>0.23269999999999999</v>
      </c>
      <c r="F116" s="20">
        <v>0.30030000000000001</v>
      </c>
      <c r="G116" s="20">
        <v>0.36280000000000001</v>
      </c>
      <c r="H116" s="20">
        <v>0.42030000000000001</v>
      </c>
      <c r="I116" s="20">
        <v>0.47299999999999998</v>
      </c>
      <c r="J116" s="20">
        <v>0.52129999999999999</v>
      </c>
      <c r="K116" s="20">
        <v>0.56589999999999996</v>
      </c>
      <c r="L116" s="20">
        <v>0.60729999999999995</v>
      </c>
      <c r="M116" s="20">
        <v>0.64639999999999997</v>
      </c>
      <c r="N116" s="20">
        <v>0.68389999999999995</v>
      </c>
      <c r="O116" s="20">
        <v>0.72070000000000001</v>
      </c>
      <c r="P116" s="20">
        <v>0.75749999999999995</v>
      </c>
      <c r="Q116" s="20">
        <v>0.79510000000000003</v>
      </c>
      <c r="R116" s="20">
        <v>0.83409999999999995</v>
      </c>
      <c r="S116" s="20">
        <v>0.87509999999999999</v>
      </c>
      <c r="T116" s="20">
        <v>0.91849999999999998</v>
      </c>
      <c r="U116" s="20">
        <v>0.96440000000000003</v>
      </c>
      <c r="V116" s="20">
        <v>1.0130999999999999</v>
      </c>
      <c r="W116"/>
      <c r="X116"/>
      <c r="Y116"/>
      <c r="Z116"/>
    </row>
    <row r="117" spans="1:26" x14ac:dyDescent="0.2">
      <c r="A117" s="19">
        <v>0.111</v>
      </c>
      <c r="B117" s="20">
        <v>0</v>
      </c>
      <c r="C117" s="20">
        <v>8.2000000000000003E-2</v>
      </c>
      <c r="D117" s="20">
        <v>0.1595</v>
      </c>
      <c r="E117" s="20">
        <v>0.2321</v>
      </c>
      <c r="F117" s="20">
        <v>0.29959999999999998</v>
      </c>
      <c r="G117" s="20">
        <v>0.36199999999999999</v>
      </c>
      <c r="H117" s="20">
        <v>0.41949999999999998</v>
      </c>
      <c r="I117" s="20">
        <v>0.4723</v>
      </c>
      <c r="J117" s="20">
        <v>0.52080000000000004</v>
      </c>
      <c r="K117" s="20">
        <v>0.5655</v>
      </c>
      <c r="L117" s="20">
        <v>0.60719999999999996</v>
      </c>
      <c r="M117" s="20">
        <v>0.64649999999999996</v>
      </c>
      <c r="N117" s="20">
        <v>0.68430000000000002</v>
      </c>
      <c r="O117" s="20">
        <v>0.72140000000000004</v>
      </c>
      <c r="P117" s="20">
        <v>0.75849999999999995</v>
      </c>
      <c r="Q117" s="20">
        <v>0.7964</v>
      </c>
      <c r="R117" s="20">
        <v>0.8357</v>
      </c>
      <c r="S117" s="20">
        <v>0.87690000000000001</v>
      </c>
      <c r="T117" s="20">
        <v>0.9204</v>
      </c>
      <c r="U117" s="20">
        <v>0.96650000000000003</v>
      </c>
      <c r="V117" s="20">
        <v>1.0152000000000001</v>
      </c>
      <c r="W117"/>
      <c r="X117"/>
      <c r="Y117"/>
      <c r="Z117"/>
    </row>
    <row r="118" spans="1:26" x14ac:dyDescent="0.2">
      <c r="A118" s="19">
        <v>0.112</v>
      </c>
      <c r="B118" s="20">
        <v>0</v>
      </c>
      <c r="C118" s="20">
        <v>8.1799999999999998E-2</v>
      </c>
      <c r="D118" s="20">
        <v>0.159</v>
      </c>
      <c r="E118" s="20">
        <v>0.23150000000000001</v>
      </c>
      <c r="F118" s="20">
        <v>0.2989</v>
      </c>
      <c r="G118" s="20">
        <v>0.36130000000000001</v>
      </c>
      <c r="H118" s="20">
        <v>0.41870000000000002</v>
      </c>
      <c r="I118" s="20">
        <v>0.47160000000000002</v>
      </c>
      <c r="J118" s="20">
        <v>0.5202</v>
      </c>
      <c r="K118" s="20">
        <v>0.56520000000000004</v>
      </c>
      <c r="L118" s="20">
        <v>0.60709999999999997</v>
      </c>
      <c r="M118" s="20">
        <v>0.64670000000000005</v>
      </c>
      <c r="N118" s="20">
        <v>0.68479999999999996</v>
      </c>
      <c r="O118" s="20">
        <v>0.72219999999999995</v>
      </c>
      <c r="P118" s="20">
        <v>0.75960000000000005</v>
      </c>
      <c r="Q118" s="20">
        <v>0.79769999999999996</v>
      </c>
      <c r="R118" s="20">
        <v>0.83720000000000006</v>
      </c>
      <c r="S118" s="20">
        <v>0.87860000000000005</v>
      </c>
      <c r="T118" s="20">
        <v>0.92230000000000001</v>
      </c>
      <c r="U118" s="20">
        <v>0.96850000000000003</v>
      </c>
      <c r="V118" s="20">
        <v>1.0172000000000001</v>
      </c>
      <c r="W118"/>
      <c r="X118"/>
      <c r="Y118"/>
      <c r="Z118"/>
    </row>
    <row r="119" spans="1:26" x14ac:dyDescent="0.2">
      <c r="A119" s="19">
        <v>0.113</v>
      </c>
      <c r="B119" s="20">
        <v>0</v>
      </c>
      <c r="C119" s="20">
        <v>8.1600000000000006E-2</v>
      </c>
      <c r="D119" s="20">
        <v>0.15859999999999999</v>
      </c>
      <c r="E119" s="20">
        <v>0.23089999999999999</v>
      </c>
      <c r="F119" s="20">
        <v>0.29820000000000002</v>
      </c>
      <c r="G119" s="20">
        <v>0.36049999999999999</v>
      </c>
      <c r="H119" s="20">
        <v>0.41799999999999998</v>
      </c>
      <c r="I119" s="20">
        <v>0.47089999999999999</v>
      </c>
      <c r="J119" s="20">
        <v>0.51970000000000005</v>
      </c>
      <c r="K119" s="20">
        <v>0.56479999999999997</v>
      </c>
      <c r="L119" s="20">
        <v>0.60699999999999998</v>
      </c>
      <c r="M119" s="20">
        <v>0.64690000000000003</v>
      </c>
      <c r="N119" s="20">
        <v>0.68530000000000002</v>
      </c>
      <c r="O119" s="20">
        <v>0.72289999999999999</v>
      </c>
      <c r="P119" s="20">
        <v>0.76060000000000005</v>
      </c>
      <c r="Q119" s="20">
        <v>0.79900000000000004</v>
      </c>
      <c r="R119" s="20">
        <v>0.83879999999999999</v>
      </c>
      <c r="S119" s="20">
        <v>0.88039999999999996</v>
      </c>
      <c r="T119" s="20">
        <v>0.92420000000000002</v>
      </c>
      <c r="U119" s="20">
        <v>0.97040000000000004</v>
      </c>
      <c r="V119" s="20">
        <v>1.0192000000000001</v>
      </c>
      <c r="W119"/>
      <c r="X119"/>
      <c r="Y119"/>
      <c r="Z119"/>
    </row>
    <row r="120" spans="1:26" x14ac:dyDescent="0.2">
      <c r="A120" s="19">
        <v>0.114</v>
      </c>
      <c r="B120" s="20">
        <v>0</v>
      </c>
      <c r="C120" s="20">
        <v>8.14E-2</v>
      </c>
      <c r="D120" s="20">
        <v>0.15820000000000001</v>
      </c>
      <c r="E120" s="20">
        <v>0.2303</v>
      </c>
      <c r="F120" s="20">
        <v>0.29749999999999999</v>
      </c>
      <c r="G120" s="20">
        <v>0.35980000000000001</v>
      </c>
      <c r="H120" s="20">
        <v>0.4173</v>
      </c>
      <c r="I120" s="20">
        <v>0.4703</v>
      </c>
      <c r="J120" s="20">
        <v>0.51919999999999999</v>
      </c>
      <c r="K120" s="20">
        <v>0.5645</v>
      </c>
      <c r="L120" s="20">
        <v>0.6069</v>
      </c>
      <c r="M120" s="20">
        <v>0.64710000000000001</v>
      </c>
      <c r="N120" s="20">
        <v>0.68569999999999998</v>
      </c>
      <c r="O120" s="20">
        <v>0.72370000000000001</v>
      </c>
      <c r="P120" s="20">
        <v>0.76170000000000004</v>
      </c>
      <c r="Q120" s="20">
        <v>0.8004</v>
      </c>
      <c r="R120" s="20">
        <v>0.84030000000000005</v>
      </c>
      <c r="S120" s="20">
        <v>0.8821</v>
      </c>
      <c r="T120" s="20">
        <v>0.92610000000000003</v>
      </c>
      <c r="U120" s="20">
        <v>0.97240000000000004</v>
      </c>
      <c r="V120" s="20">
        <v>1.0212000000000001</v>
      </c>
      <c r="W120"/>
      <c r="X120"/>
      <c r="Y120"/>
      <c r="Z120"/>
    </row>
    <row r="121" spans="1:26" x14ac:dyDescent="0.2">
      <c r="A121" s="19">
        <v>0.115</v>
      </c>
      <c r="B121" s="20">
        <v>0</v>
      </c>
      <c r="C121" s="20">
        <v>8.1100000000000005E-2</v>
      </c>
      <c r="D121" s="20">
        <v>0.1578</v>
      </c>
      <c r="E121" s="20">
        <v>0.22969999999999999</v>
      </c>
      <c r="F121" s="20">
        <v>0.29680000000000001</v>
      </c>
      <c r="G121" s="20">
        <v>0.35909999999999997</v>
      </c>
      <c r="H121" s="20">
        <v>0.41660000000000003</v>
      </c>
      <c r="I121" s="20">
        <v>0.46970000000000001</v>
      </c>
      <c r="J121" s="20">
        <v>0.51870000000000005</v>
      </c>
      <c r="K121" s="20">
        <v>0.56420000000000003</v>
      </c>
      <c r="L121" s="20">
        <v>0.60680000000000001</v>
      </c>
      <c r="M121" s="20">
        <v>0.64729999999999999</v>
      </c>
      <c r="N121" s="20">
        <v>0.68620000000000003</v>
      </c>
      <c r="O121" s="20">
        <v>0.72450000000000003</v>
      </c>
      <c r="P121" s="20">
        <v>0.76270000000000004</v>
      </c>
      <c r="Q121" s="20">
        <v>0.80169999999999997</v>
      </c>
      <c r="R121" s="20">
        <v>0.84189999999999998</v>
      </c>
      <c r="S121" s="20">
        <v>0.88380000000000003</v>
      </c>
      <c r="T121" s="20">
        <v>0.92789999999999995</v>
      </c>
      <c r="U121" s="20">
        <v>0.97430000000000005</v>
      </c>
      <c r="V121" s="20">
        <v>1.0230999999999999</v>
      </c>
      <c r="W121"/>
      <c r="X121"/>
      <c r="Y121"/>
      <c r="Z121"/>
    </row>
    <row r="122" spans="1:26" x14ac:dyDescent="0.2">
      <c r="A122" s="19">
        <v>0.11600000000000001</v>
      </c>
      <c r="B122" s="20">
        <v>0</v>
      </c>
      <c r="C122" s="20">
        <v>8.09E-2</v>
      </c>
      <c r="D122" s="20">
        <v>0.15740000000000001</v>
      </c>
      <c r="E122" s="20">
        <v>0.22919999999999999</v>
      </c>
      <c r="F122" s="20">
        <v>0.29620000000000002</v>
      </c>
      <c r="G122" s="20">
        <v>0.3584</v>
      </c>
      <c r="H122" s="20">
        <v>0.41589999999999999</v>
      </c>
      <c r="I122" s="20">
        <v>0.46910000000000002</v>
      </c>
      <c r="J122" s="20">
        <v>0.51829999999999998</v>
      </c>
      <c r="K122" s="20">
        <v>0.56399999999999995</v>
      </c>
      <c r="L122" s="20">
        <v>0.60680000000000001</v>
      </c>
      <c r="M122" s="20">
        <v>0.64749999999999996</v>
      </c>
      <c r="N122" s="20">
        <v>0.68669999999999998</v>
      </c>
      <c r="O122" s="20">
        <v>0.72519999999999996</v>
      </c>
      <c r="P122" s="20">
        <v>0.76380000000000003</v>
      </c>
      <c r="Q122" s="20">
        <v>0.80300000000000005</v>
      </c>
      <c r="R122" s="20">
        <v>0.84340000000000004</v>
      </c>
      <c r="S122" s="20">
        <v>0.88549999999999995</v>
      </c>
      <c r="T122" s="20">
        <v>0.92969999999999997</v>
      </c>
      <c r="U122" s="20">
        <v>0.97619999999999996</v>
      </c>
      <c r="V122" s="20">
        <v>1.0250999999999999</v>
      </c>
      <c r="W122"/>
      <c r="X122"/>
      <c r="Y122"/>
      <c r="Z122"/>
    </row>
    <row r="123" spans="1:26" x14ac:dyDescent="0.2">
      <c r="A123" s="19">
        <v>0.11700000000000001</v>
      </c>
      <c r="B123" s="20">
        <v>0</v>
      </c>
      <c r="C123" s="20">
        <v>8.0699999999999994E-2</v>
      </c>
      <c r="D123" s="20">
        <v>0.157</v>
      </c>
      <c r="E123" s="20">
        <v>0.22869999999999999</v>
      </c>
      <c r="F123" s="20">
        <v>0.29559999999999997</v>
      </c>
      <c r="G123" s="20">
        <v>0.35770000000000002</v>
      </c>
      <c r="H123" s="20">
        <v>0.4153</v>
      </c>
      <c r="I123" s="20">
        <v>0.46850000000000003</v>
      </c>
      <c r="J123" s="20">
        <v>0.51780000000000004</v>
      </c>
      <c r="K123" s="20">
        <v>0.56369999999999998</v>
      </c>
      <c r="L123" s="20">
        <v>0.60680000000000001</v>
      </c>
      <c r="M123" s="20">
        <v>0.64770000000000005</v>
      </c>
      <c r="N123" s="20">
        <v>0.68720000000000003</v>
      </c>
      <c r="O123" s="20">
        <v>0.72599999999999998</v>
      </c>
      <c r="P123" s="20">
        <v>0.76480000000000004</v>
      </c>
      <c r="Q123" s="20">
        <v>0.80420000000000003</v>
      </c>
      <c r="R123" s="20">
        <v>0.84489999999999998</v>
      </c>
      <c r="S123" s="20">
        <v>0.88719999999999999</v>
      </c>
      <c r="T123" s="20">
        <v>0.93149999999999999</v>
      </c>
      <c r="U123" s="20">
        <v>0.97809999999999997</v>
      </c>
      <c r="V123" s="20">
        <v>1.0269999999999999</v>
      </c>
      <c r="W123"/>
      <c r="X123"/>
      <c r="Y123"/>
      <c r="Z123"/>
    </row>
    <row r="124" spans="1:26" x14ac:dyDescent="0.2">
      <c r="A124" s="19">
        <v>0.11799999999999999</v>
      </c>
      <c r="B124" s="20">
        <v>0</v>
      </c>
      <c r="C124" s="20">
        <v>8.0500000000000002E-2</v>
      </c>
      <c r="D124" s="20">
        <v>0.15659999999999999</v>
      </c>
      <c r="E124" s="20">
        <v>0.22819999999999999</v>
      </c>
      <c r="F124" s="20">
        <v>0.29499999999999998</v>
      </c>
      <c r="G124" s="20">
        <v>0.35709999999999997</v>
      </c>
      <c r="H124" s="20">
        <v>0.41470000000000001</v>
      </c>
      <c r="I124" s="20">
        <v>0.46800000000000003</v>
      </c>
      <c r="J124" s="20">
        <v>0.51739999999999997</v>
      </c>
      <c r="K124" s="20">
        <v>0.5635</v>
      </c>
      <c r="L124" s="20">
        <v>0.60680000000000001</v>
      </c>
      <c r="M124" s="20">
        <v>0.64800000000000002</v>
      </c>
      <c r="N124" s="20">
        <v>0.68769999999999998</v>
      </c>
      <c r="O124" s="20">
        <v>0.7268</v>
      </c>
      <c r="P124" s="20">
        <v>0.76580000000000004</v>
      </c>
      <c r="Q124" s="20">
        <v>0.80549999999999999</v>
      </c>
      <c r="R124" s="20">
        <v>0.84640000000000004</v>
      </c>
      <c r="S124" s="20">
        <v>0.88890000000000002</v>
      </c>
      <c r="T124" s="20">
        <v>0.93330000000000002</v>
      </c>
      <c r="U124" s="20">
        <v>0.98</v>
      </c>
      <c r="V124" s="20">
        <v>1.0288999999999999</v>
      </c>
      <c r="W124"/>
      <c r="X124"/>
      <c r="Y124"/>
      <c r="Z124"/>
    </row>
    <row r="125" spans="1:26" x14ac:dyDescent="0.2">
      <c r="A125" s="19">
        <v>0.11899999999999999</v>
      </c>
      <c r="B125" s="20">
        <v>0</v>
      </c>
      <c r="C125" s="20">
        <v>8.0299999999999996E-2</v>
      </c>
      <c r="D125" s="20">
        <v>0.15629999999999999</v>
      </c>
      <c r="E125" s="20">
        <v>0.22770000000000001</v>
      </c>
      <c r="F125" s="20">
        <v>0.2944</v>
      </c>
      <c r="G125" s="20">
        <v>0.35649999999999998</v>
      </c>
      <c r="H125" s="20">
        <v>0.41410000000000002</v>
      </c>
      <c r="I125" s="20">
        <v>0.46750000000000003</v>
      </c>
      <c r="J125" s="20">
        <v>0.51700000000000002</v>
      </c>
      <c r="K125" s="20">
        <v>0.56330000000000002</v>
      </c>
      <c r="L125" s="20">
        <v>0.60680000000000001</v>
      </c>
      <c r="M125" s="20">
        <v>0.6482</v>
      </c>
      <c r="N125" s="20">
        <v>0.68820000000000003</v>
      </c>
      <c r="O125" s="20">
        <v>0.72760000000000002</v>
      </c>
      <c r="P125" s="20">
        <v>0.76690000000000003</v>
      </c>
      <c r="Q125" s="20">
        <v>0.80679999999999996</v>
      </c>
      <c r="R125" s="20">
        <v>0.84789999999999999</v>
      </c>
      <c r="S125" s="20">
        <v>0.89049999999999996</v>
      </c>
      <c r="T125" s="20">
        <v>0.93510000000000004</v>
      </c>
      <c r="U125" s="20">
        <v>0.98180000000000001</v>
      </c>
      <c r="V125" s="20">
        <v>1.0306999999999999</v>
      </c>
      <c r="W125"/>
      <c r="X125"/>
      <c r="Y125"/>
      <c r="Z125"/>
    </row>
    <row r="126" spans="1:26" x14ac:dyDescent="0.2">
      <c r="A126" s="19">
        <v>0.12</v>
      </c>
      <c r="B126" s="20">
        <v>0</v>
      </c>
      <c r="C126" s="20">
        <v>8.0100000000000005E-2</v>
      </c>
      <c r="D126" s="20">
        <v>0.15590000000000001</v>
      </c>
      <c r="E126" s="20">
        <v>0.22720000000000001</v>
      </c>
      <c r="F126" s="20">
        <v>0.29380000000000001</v>
      </c>
      <c r="G126" s="20">
        <v>0.35589999999999999</v>
      </c>
      <c r="H126" s="20">
        <v>0.41349999999999998</v>
      </c>
      <c r="I126" s="20">
        <v>0.46700000000000003</v>
      </c>
      <c r="J126" s="20">
        <v>0.51670000000000005</v>
      </c>
      <c r="K126" s="20">
        <v>0.56310000000000004</v>
      </c>
      <c r="L126" s="20">
        <v>0.60680000000000001</v>
      </c>
      <c r="M126" s="20">
        <v>0.64849999999999997</v>
      </c>
      <c r="N126" s="20">
        <v>0.68879999999999997</v>
      </c>
      <c r="O126" s="20">
        <v>0.72829999999999995</v>
      </c>
      <c r="P126" s="20">
        <v>0.76790000000000003</v>
      </c>
      <c r="Q126" s="20">
        <v>0.80810000000000004</v>
      </c>
      <c r="R126" s="20">
        <v>0.84930000000000005</v>
      </c>
      <c r="S126" s="20">
        <v>0.89219999999999999</v>
      </c>
      <c r="T126" s="20">
        <v>0.93689999999999996</v>
      </c>
      <c r="U126" s="20">
        <v>0.98360000000000003</v>
      </c>
      <c r="V126" s="20">
        <v>1.0326</v>
      </c>
      <c r="W126"/>
      <c r="X126"/>
      <c r="Y126"/>
      <c r="Z126"/>
    </row>
    <row r="127" spans="1:26" x14ac:dyDescent="0.2">
      <c r="A127" s="19">
        <v>0.121</v>
      </c>
      <c r="B127" s="20">
        <v>0</v>
      </c>
      <c r="C127" s="20">
        <v>0.08</v>
      </c>
      <c r="D127" s="20">
        <v>0.15559999999999999</v>
      </c>
      <c r="E127" s="20">
        <v>0.22670000000000001</v>
      </c>
      <c r="F127" s="20">
        <v>0.29330000000000001</v>
      </c>
      <c r="G127" s="20">
        <v>0.3553</v>
      </c>
      <c r="H127" s="20">
        <v>0.41299999999999998</v>
      </c>
      <c r="I127" s="20">
        <v>0.46650000000000003</v>
      </c>
      <c r="J127" s="20">
        <v>0.51629999999999998</v>
      </c>
      <c r="K127" s="20">
        <v>0.56289999999999996</v>
      </c>
      <c r="L127" s="20">
        <v>0.60680000000000001</v>
      </c>
      <c r="M127" s="20">
        <v>0.64870000000000005</v>
      </c>
      <c r="N127" s="20">
        <v>0.68930000000000002</v>
      </c>
      <c r="O127" s="20">
        <v>0.72909999999999997</v>
      </c>
      <c r="P127" s="20">
        <v>0.76890000000000003</v>
      </c>
      <c r="Q127" s="20">
        <v>0.80930000000000002</v>
      </c>
      <c r="R127" s="20">
        <v>0.8508</v>
      </c>
      <c r="S127" s="20">
        <v>0.89380000000000004</v>
      </c>
      <c r="T127" s="20">
        <v>0.93859999999999999</v>
      </c>
      <c r="U127" s="20">
        <v>0.98550000000000004</v>
      </c>
      <c r="V127" s="20">
        <v>1.0344</v>
      </c>
      <c r="W127"/>
      <c r="X127"/>
      <c r="Y127"/>
      <c r="Z127"/>
    </row>
    <row r="128" spans="1:26" x14ac:dyDescent="0.2">
      <c r="A128" s="19">
        <v>0.122</v>
      </c>
      <c r="B128" s="20">
        <v>0</v>
      </c>
      <c r="C128" s="20">
        <v>7.9799999999999996E-2</v>
      </c>
      <c r="D128" s="20">
        <v>0.15529999999999999</v>
      </c>
      <c r="E128" s="20">
        <v>0.2263</v>
      </c>
      <c r="F128" s="20">
        <v>0.2928</v>
      </c>
      <c r="G128" s="20">
        <v>0.3548</v>
      </c>
      <c r="H128" s="20">
        <v>0.41249999999999998</v>
      </c>
      <c r="I128" s="20">
        <v>0.46610000000000001</v>
      </c>
      <c r="J128" s="20">
        <v>0.51600000000000001</v>
      </c>
      <c r="K128" s="20">
        <v>0.56279999999999997</v>
      </c>
      <c r="L128" s="20">
        <v>0.6069</v>
      </c>
      <c r="M128" s="20">
        <v>0.64900000000000002</v>
      </c>
      <c r="N128" s="20">
        <v>0.68979999999999997</v>
      </c>
      <c r="O128" s="20">
        <v>0.72989999999999999</v>
      </c>
      <c r="P128" s="20">
        <v>0.77</v>
      </c>
      <c r="Q128" s="20">
        <v>0.81059999999999999</v>
      </c>
      <c r="R128" s="20">
        <v>0.85219999999999996</v>
      </c>
      <c r="S128" s="20">
        <v>0.89539999999999997</v>
      </c>
      <c r="T128" s="20">
        <v>0.94030000000000002</v>
      </c>
      <c r="U128" s="20">
        <v>0.98729999999999996</v>
      </c>
      <c r="V128" s="20">
        <v>1.0362</v>
      </c>
      <c r="W128"/>
      <c r="X128"/>
      <c r="Y128"/>
      <c r="Z128"/>
    </row>
    <row r="129" spans="1:26" x14ac:dyDescent="0.2">
      <c r="A129" s="19">
        <v>0.123</v>
      </c>
      <c r="B129" s="20">
        <v>0</v>
      </c>
      <c r="C129" s="20">
        <v>7.9600000000000004E-2</v>
      </c>
      <c r="D129" s="20">
        <v>0.155</v>
      </c>
      <c r="E129" s="20">
        <v>0.22589999999999999</v>
      </c>
      <c r="F129" s="20">
        <v>0.2923</v>
      </c>
      <c r="G129" s="20">
        <v>0.3543</v>
      </c>
      <c r="H129" s="20">
        <v>0.41199999999999998</v>
      </c>
      <c r="I129" s="20">
        <v>0.4657</v>
      </c>
      <c r="J129" s="20">
        <v>0.51570000000000005</v>
      </c>
      <c r="K129" s="20">
        <v>0.56259999999999999</v>
      </c>
      <c r="L129" s="20">
        <v>0.60699999999999998</v>
      </c>
      <c r="M129" s="20">
        <v>0.64929999999999999</v>
      </c>
      <c r="N129" s="20">
        <v>0.69030000000000002</v>
      </c>
      <c r="O129" s="20">
        <v>0.73070000000000002</v>
      </c>
      <c r="P129" s="20">
        <v>0.77100000000000002</v>
      </c>
      <c r="Q129" s="20">
        <v>0.81179999999999997</v>
      </c>
      <c r="R129" s="20">
        <v>0.85370000000000001</v>
      </c>
      <c r="S129" s="20">
        <v>0.89700000000000002</v>
      </c>
      <c r="T129" s="20">
        <v>0.94199999999999995</v>
      </c>
      <c r="U129" s="20">
        <v>0.98899999999999999</v>
      </c>
      <c r="V129" s="20">
        <v>1.038</v>
      </c>
      <c r="W129"/>
      <c r="X129"/>
      <c r="Y129"/>
      <c r="Z129"/>
    </row>
    <row r="130" spans="1:26" x14ac:dyDescent="0.2">
      <c r="A130" s="19">
        <v>0.124</v>
      </c>
      <c r="B130" s="20">
        <v>0</v>
      </c>
      <c r="C130" s="20">
        <v>7.9500000000000001E-2</v>
      </c>
      <c r="D130" s="20">
        <v>0.1547</v>
      </c>
      <c r="E130" s="20">
        <v>0.22550000000000001</v>
      </c>
      <c r="F130" s="20">
        <v>0.2918</v>
      </c>
      <c r="G130" s="20">
        <v>0.3538</v>
      </c>
      <c r="H130" s="20">
        <v>0.41149999999999998</v>
      </c>
      <c r="I130" s="20">
        <v>0.46529999999999999</v>
      </c>
      <c r="J130" s="20">
        <v>0.51539999999999997</v>
      </c>
      <c r="K130" s="20">
        <v>0.5625</v>
      </c>
      <c r="L130" s="20">
        <v>0.60709999999999997</v>
      </c>
      <c r="M130" s="20">
        <v>0.64959999999999996</v>
      </c>
      <c r="N130" s="20">
        <v>0.69089999999999996</v>
      </c>
      <c r="O130" s="20">
        <v>0.73150000000000004</v>
      </c>
      <c r="P130" s="20">
        <v>0.77200000000000002</v>
      </c>
      <c r="Q130" s="20">
        <v>0.81310000000000004</v>
      </c>
      <c r="R130" s="20">
        <v>0.85509999999999997</v>
      </c>
      <c r="S130" s="20">
        <v>0.89859999999999995</v>
      </c>
      <c r="T130" s="20">
        <v>0.94369999999999998</v>
      </c>
      <c r="U130" s="20">
        <v>0.99080000000000001</v>
      </c>
      <c r="V130" s="20">
        <v>1.0398000000000001</v>
      </c>
      <c r="W130"/>
      <c r="X130"/>
      <c r="Y130"/>
      <c r="Z130"/>
    </row>
    <row r="131" spans="1:26" x14ac:dyDescent="0.2">
      <c r="A131" s="19">
        <v>0.125</v>
      </c>
      <c r="B131" s="20">
        <v>0</v>
      </c>
      <c r="C131" s="20">
        <v>7.9299999999999995E-2</v>
      </c>
      <c r="D131" s="20">
        <v>0.15440000000000001</v>
      </c>
      <c r="E131" s="20">
        <v>0.22509999999999999</v>
      </c>
      <c r="F131" s="20">
        <v>0.2913</v>
      </c>
      <c r="G131" s="20">
        <v>0.3533</v>
      </c>
      <c r="H131" s="20">
        <v>0.41099999999999998</v>
      </c>
      <c r="I131" s="20">
        <v>0.46489999999999998</v>
      </c>
      <c r="J131" s="20">
        <v>0.51519999999999999</v>
      </c>
      <c r="K131" s="20">
        <v>0.56240000000000001</v>
      </c>
      <c r="L131" s="20">
        <v>0.60719999999999996</v>
      </c>
      <c r="M131" s="20">
        <v>0.64990000000000003</v>
      </c>
      <c r="N131" s="20">
        <v>0.69140000000000001</v>
      </c>
      <c r="O131" s="20">
        <v>0.73229999999999995</v>
      </c>
      <c r="P131" s="20">
        <v>0.77300000000000002</v>
      </c>
      <c r="Q131" s="20">
        <v>0.81430000000000002</v>
      </c>
      <c r="R131" s="20">
        <v>0.85650000000000004</v>
      </c>
      <c r="S131" s="20">
        <v>0.90010000000000001</v>
      </c>
      <c r="T131" s="20">
        <v>0.94540000000000002</v>
      </c>
      <c r="U131" s="20">
        <v>0.99250000000000005</v>
      </c>
      <c r="V131" s="20">
        <v>1.0416000000000001</v>
      </c>
      <c r="W131"/>
      <c r="X131"/>
      <c r="Y131"/>
      <c r="Z131"/>
    </row>
    <row r="132" spans="1:26" x14ac:dyDescent="0.2">
      <c r="A132" s="19">
        <v>0.126</v>
      </c>
      <c r="B132" s="20">
        <v>0</v>
      </c>
      <c r="C132" s="20">
        <v>7.9200000000000007E-2</v>
      </c>
      <c r="D132" s="20">
        <v>0.15409999999999999</v>
      </c>
      <c r="E132" s="20">
        <v>0.22470000000000001</v>
      </c>
      <c r="F132" s="20">
        <v>0.29089999999999999</v>
      </c>
      <c r="G132" s="20">
        <v>0.3528</v>
      </c>
      <c r="H132" s="20">
        <v>0.41060000000000002</v>
      </c>
      <c r="I132" s="20">
        <v>0.46450000000000002</v>
      </c>
      <c r="J132" s="20">
        <v>0.51490000000000002</v>
      </c>
      <c r="K132" s="20">
        <v>0.56230000000000002</v>
      </c>
      <c r="L132" s="20">
        <v>0.60729999999999995</v>
      </c>
      <c r="M132" s="20">
        <v>0.65029999999999999</v>
      </c>
      <c r="N132" s="20">
        <v>0.69199999999999995</v>
      </c>
      <c r="O132" s="20">
        <v>0.73309999999999997</v>
      </c>
      <c r="P132" s="20">
        <v>0.77400000000000002</v>
      </c>
      <c r="Q132" s="20">
        <v>0.8155</v>
      </c>
      <c r="R132" s="20">
        <v>0.8579</v>
      </c>
      <c r="S132" s="20">
        <v>0.90169999999999995</v>
      </c>
      <c r="T132" s="20">
        <v>0.94710000000000005</v>
      </c>
      <c r="U132" s="20">
        <v>0.99419999999999997</v>
      </c>
      <c r="V132" s="20">
        <v>1.0432999999999999</v>
      </c>
      <c r="W132"/>
      <c r="X132"/>
      <c r="Y132"/>
      <c r="Z132"/>
    </row>
    <row r="133" spans="1:26" x14ac:dyDescent="0.2">
      <c r="A133" s="19">
        <v>0.127</v>
      </c>
      <c r="B133" s="20">
        <v>0</v>
      </c>
      <c r="C133" s="20">
        <v>7.9000000000000001E-2</v>
      </c>
      <c r="D133" s="20">
        <v>0.15379999999999999</v>
      </c>
      <c r="E133" s="20">
        <v>0.2243</v>
      </c>
      <c r="F133" s="20">
        <v>0.29049999999999998</v>
      </c>
      <c r="G133" s="20">
        <v>0.35239999999999999</v>
      </c>
      <c r="H133" s="20">
        <v>0.41020000000000001</v>
      </c>
      <c r="I133" s="20">
        <v>0.4642</v>
      </c>
      <c r="J133" s="20">
        <v>0.51470000000000005</v>
      </c>
      <c r="K133" s="20">
        <v>0.56230000000000002</v>
      </c>
      <c r="L133" s="20">
        <v>0.60740000000000005</v>
      </c>
      <c r="M133" s="20">
        <v>0.65059999999999996</v>
      </c>
      <c r="N133" s="20">
        <v>0.69259999999999999</v>
      </c>
      <c r="O133" s="20">
        <v>0.7339</v>
      </c>
      <c r="P133" s="20">
        <v>0.77510000000000001</v>
      </c>
      <c r="Q133" s="20">
        <v>0.81669999999999998</v>
      </c>
      <c r="R133" s="20">
        <v>0.85929999999999995</v>
      </c>
      <c r="S133" s="20">
        <v>0.9032</v>
      </c>
      <c r="T133" s="20">
        <v>0.94869999999999999</v>
      </c>
      <c r="U133" s="20">
        <v>0.996</v>
      </c>
      <c r="V133" s="20">
        <v>1.0450999999999999</v>
      </c>
      <c r="W133"/>
      <c r="X133"/>
      <c r="Y133"/>
      <c r="Z133"/>
    </row>
    <row r="134" spans="1:26" x14ac:dyDescent="0.2">
      <c r="A134" s="19">
        <v>0.128</v>
      </c>
      <c r="B134" s="20">
        <v>0</v>
      </c>
      <c r="C134" s="20">
        <v>7.8899999999999998E-2</v>
      </c>
      <c r="D134" s="20">
        <v>0.1535</v>
      </c>
      <c r="E134" s="20">
        <v>0.22389999999999999</v>
      </c>
      <c r="F134" s="20">
        <v>0.28999999999999998</v>
      </c>
      <c r="G134" s="20">
        <v>0.35189999999999999</v>
      </c>
      <c r="H134" s="20">
        <v>0.4098</v>
      </c>
      <c r="I134" s="20">
        <v>0.46379999999999999</v>
      </c>
      <c r="J134" s="20">
        <v>0.51449999999999996</v>
      </c>
      <c r="K134" s="20">
        <v>0.56220000000000003</v>
      </c>
      <c r="L134" s="20">
        <v>0.60750000000000004</v>
      </c>
      <c r="M134" s="20">
        <v>0.65100000000000002</v>
      </c>
      <c r="N134" s="20">
        <v>0.69310000000000005</v>
      </c>
      <c r="O134" s="20">
        <v>0.73460000000000003</v>
      </c>
      <c r="P134" s="20">
        <v>0.77610000000000001</v>
      </c>
      <c r="Q134" s="20">
        <v>0.81789999999999996</v>
      </c>
      <c r="R134" s="20">
        <v>0.86070000000000002</v>
      </c>
      <c r="S134" s="20">
        <v>0.90469999999999995</v>
      </c>
      <c r="T134" s="20">
        <v>0.95030000000000003</v>
      </c>
      <c r="U134" s="20">
        <v>0.99760000000000004</v>
      </c>
      <c r="V134" s="20">
        <v>1.0468</v>
      </c>
      <c r="W134"/>
      <c r="X134"/>
      <c r="Y134"/>
      <c r="Z134"/>
    </row>
    <row r="135" spans="1:26" x14ac:dyDescent="0.2">
      <c r="A135" s="19">
        <v>0.129</v>
      </c>
      <c r="B135" s="20">
        <v>0</v>
      </c>
      <c r="C135" s="20">
        <v>7.8700000000000006E-2</v>
      </c>
      <c r="D135" s="20">
        <v>0.15329999999999999</v>
      </c>
      <c r="E135" s="20">
        <v>0.22359999999999999</v>
      </c>
      <c r="F135" s="20">
        <v>0.28960000000000002</v>
      </c>
      <c r="G135" s="20">
        <v>0.35149999999999998</v>
      </c>
      <c r="H135" s="20">
        <v>0.40939999999999999</v>
      </c>
      <c r="I135" s="20">
        <v>0.46350000000000002</v>
      </c>
      <c r="J135" s="20">
        <v>0.51429999999999998</v>
      </c>
      <c r="K135" s="20">
        <v>0.56220000000000003</v>
      </c>
      <c r="L135" s="20">
        <v>0.60770000000000002</v>
      </c>
      <c r="M135" s="20">
        <v>0.65129999999999999</v>
      </c>
      <c r="N135" s="20">
        <v>0.69369999999999998</v>
      </c>
      <c r="O135" s="20">
        <v>0.73540000000000005</v>
      </c>
      <c r="P135" s="20">
        <v>0.77710000000000001</v>
      </c>
      <c r="Q135" s="20">
        <v>0.81910000000000005</v>
      </c>
      <c r="R135" s="20">
        <v>0.86209999999999998</v>
      </c>
      <c r="S135" s="20">
        <v>0.90620000000000001</v>
      </c>
      <c r="T135" s="20">
        <v>0.95189999999999997</v>
      </c>
      <c r="U135" s="20">
        <v>0.99929999999999997</v>
      </c>
      <c r="V135" s="20">
        <v>1.0485</v>
      </c>
      <c r="W135"/>
      <c r="X135"/>
      <c r="Y135"/>
      <c r="Z135"/>
    </row>
    <row r="136" spans="1:26" x14ac:dyDescent="0.2">
      <c r="A136" s="19">
        <v>0.13</v>
      </c>
      <c r="B136" s="20">
        <v>0</v>
      </c>
      <c r="C136" s="20">
        <v>7.8600000000000003E-2</v>
      </c>
      <c r="D136" s="20">
        <v>0.153</v>
      </c>
      <c r="E136" s="20">
        <v>0.2233</v>
      </c>
      <c r="F136" s="20">
        <v>0.2893</v>
      </c>
      <c r="G136" s="20">
        <v>0.35110000000000002</v>
      </c>
      <c r="H136" s="20">
        <v>0.40899999999999997</v>
      </c>
      <c r="I136" s="20">
        <v>0.46329999999999999</v>
      </c>
      <c r="J136" s="20">
        <v>0.51419999999999999</v>
      </c>
      <c r="K136" s="20">
        <v>0.56220000000000003</v>
      </c>
      <c r="L136" s="20">
        <v>0.60780000000000001</v>
      </c>
      <c r="M136" s="20">
        <v>0.65169999999999995</v>
      </c>
      <c r="N136" s="20">
        <v>0.69430000000000003</v>
      </c>
      <c r="O136" s="20">
        <v>0.73619999999999997</v>
      </c>
      <c r="P136" s="20">
        <v>0.77810000000000001</v>
      </c>
      <c r="Q136" s="20">
        <v>0.82030000000000003</v>
      </c>
      <c r="R136" s="20">
        <v>0.86339999999999995</v>
      </c>
      <c r="S136" s="20">
        <v>0.90769999999999995</v>
      </c>
      <c r="T136" s="20">
        <v>0.95350000000000001</v>
      </c>
      <c r="U136" s="20">
        <v>1.0009999999999999</v>
      </c>
      <c r="V136" s="20">
        <v>1.0501</v>
      </c>
      <c r="W136"/>
      <c r="X136"/>
      <c r="Y136"/>
      <c r="Z136"/>
    </row>
    <row r="137" spans="1:26" x14ac:dyDescent="0.2">
      <c r="A137" s="19">
        <v>0.13100000000000001</v>
      </c>
      <c r="B137" s="20">
        <v>0</v>
      </c>
      <c r="C137" s="20">
        <v>7.85E-2</v>
      </c>
      <c r="D137" s="20">
        <v>0.15279999999999999</v>
      </c>
      <c r="E137" s="20">
        <v>0.22289999999999999</v>
      </c>
      <c r="F137" s="20">
        <v>0.28889999999999999</v>
      </c>
      <c r="G137" s="20">
        <v>0.3508</v>
      </c>
      <c r="H137" s="20">
        <v>0.40870000000000001</v>
      </c>
      <c r="I137" s="20">
        <v>0.46300000000000002</v>
      </c>
      <c r="J137" s="20">
        <v>0.51400000000000001</v>
      </c>
      <c r="K137" s="20">
        <v>0.56220000000000003</v>
      </c>
      <c r="L137" s="20">
        <v>0.60799999999999998</v>
      </c>
      <c r="M137" s="20">
        <v>0.65210000000000001</v>
      </c>
      <c r="N137" s="20">
        <v>0.69489999999999996</v>
      </c>
      <c r="O137" s="20">
        <v>0.73699999999999999</v>
      </c>
      <c r="P137" s="20">
        <v>0.77910000000000001</v>
      </c>
      <c r="Q137" s="20">
        <v>0.82150000000000001</v>
      </c>
      <c r="R137" s="20">
        <v>0.86480000000000001</v>
      </c>
      <c r="S137" s="20">
        <v>0.90920000000000001</v>
      </c>
      <c r="T137" s="20">
        <v>0.95509999999999995</v>
      </c>
      <c r="U137" s="20">
        <v>1.0025999999999999</v>
      </c>
      <c r="V137" s="20">
        <v>1.0518000000000001</v>
      </c>
      <c r="W137"/>
      <c r="X137"/>
      <c r="Y137"/>
      <c r="Z137"/>
    </row>
    <row r="138" spans="1:26" x14ac:dyDescent="0.2">
      <c r="A138" s="19">
        <v>0.13200000000000001</v>
      </c>
      <c r="B138" s="20">
        <v>0</v>
      </c>
      <c r="C138" s="20">
        <v>7.8299999999999995E-2</v>
      </c>
      <c r="D138" s="20">
        <v>0.15260000000000001</v>
      </c>
      <c r="E138" s="20">
        <v>0.22259999999999999</v>
      </c>
      <c r="F138" s="20">
        <v>0.28849999999999998</v>
      </c>
      <c r="G138" s="20">
        <v>0.35039999999999999</v>
      </c>
      <c r="H138" s="20">
        <v>0.40839999999999999</v>
      </c>
      <c r="I138" s="20">
        <v>0.4627</v>
      </c>
      <c r="J138" s="20">
        <v>0.51390000000000002</v>
      </c>
      <c r="K138" s="20">
        <v>0.56220000000000003</v>
      </c>
      <c r="L138" s="20">
        <v>0.60819999999999996</v>
      </c>
      <c r="M138" s="20">
        <v>0.65239999999999998</v>
      </c>
      <c r="N138" s="20">
        <v>0.69550000000000001</v>
      </c>
      <c r="O138" s="20">
        <v>0.73780000000000001</v>
      </c>
      <c r="P138" s="20">
        <v>0.78010000000000002</v>
      </c>
      <c r="Q138" s="20">
        <v>0.82269999999999999</v>
      </c>
      <c r="R138" s="20">
        <v>0.86609999999999998</v>
      </c>
      <c r="S138" s="20">
        <v>0.91069999999999995</v>
      </c>
      <c r="T138" s="20">
        <v>0.95669999999999999</v>
      </c>
      <c r="U138" s="20">
        <v>1.0043</v>
      </c>
      <c r="V138" s="20">
        <v>1.0535000000000001</v>
      </c>
      <c r="W138"/>
      <c r="X138"/>
      <c r="Y138"/>
      <c r="Z138"/>
    </row>
    <row r="139" spans="1:26" x14ac:dyDescent="0.2">
      <c r="A139" s="19">
        <v>0.13300000000000001</v>
      </c>
      <c r="B139" s="20">
        <v>0</v>
      </c>
      <c r="C139" s="20">
        <v>7.8200000000000006E-2</v>
      </c>
      <c r="D139" s="20">
        <v>0.15240000000000001</v>
      </c>
      <c r="E139" s="20">
        <v>0.2223</v>
      </c>
      <c r="F139" s="20">
        <v>0.28820000000000001</v>
      </c>
      <c r="G139" s="20">
        <v>0.35</v>
      </c>
      <c r="H139" s="20">
        <v>0.40810000000000002</v>
      </c>
      <c r="I139" s="20">
        <v>0.46250000000000002</v>
      </c>
      <c r="J139" s="20">
        <v>0.51370000000000005</v>
      </c>
      <c r="K139" s="20">
        <v>0.56220000000000003</v>
      </c>
      <c r="L139" s="20">
        <v>0.60840000000000005</v>
      </c>
      <c r="M139" s="20">
        <v>0.65280000000000005</v>
      </c>
      <c r="N139" s="20">
        <v>0.69610000000000005</v>
      </c>
      <c r="O139" s="20">
        <v>0.73860000000000003</v>
      </c>
      <c r="P139" s="20">
        <v>0.78110000000000002</v>
      </c>
      <c r="Q139" s="20">
        <v>0.82389999999999997</v>
      </c>
      <c r="R139" s="20">
        <v>0.86750000000000005</v>
      </c>
      <c r="S139" s="20">
        <v>0.91220000000000001</v>
      </c>
      <c r="T139" s="20">
        <v>0.95830000000000004</v>
      </c>
      <c r="U139" s="20">
        <v>1.0059</v>
      </c>
      <c r="V139" s="20">
        <v>1.0550999999999999</v>
      </c>
      <c r="W139"/>
      <c r="X139"/>
      <c r="Y139"/>
      <c r="Z139"/>
    </row>
    <row r="140" spans="1:26" x14ac:dyDescent="0.2">
      <c r="A140" s="19">
        <v>0.13400000000000001</v>
      </c>
      <c r="B140" s="20">
        <v>0</v>
      </c>
      <c r="C140" s="20">
        <v>7.8100000000000003E-2</v>
      </c>
      <c r="D140" s="20">
        <v>0.15210000000000001</v>
      </c>
      <c r="E140" s="20">
        <v>0.22209999999999999</v>
      </c>
      <c r="F140" s="20">
        <v>0.28789999999999999</v>
      </c>
      <c r="G140" s="20">
        <v>0.34970000000000001</v>
      </c>
      <c r="H140" s="20">
        <v>0.4078</v>
      </c>
      <c r="I140" s="20">
        <v>0.46229999999999999</v>
      </c>
      <c r="J140" s="20">
        <v>0.51359999999999995</v>
      </c>
      <c r="K140" s="20">
        <v>0.56230000000000002</v>
      </c>
      <c r="L140" s="20">
        <v>0.60860000000000003</v>
      </c>
      <c r="M140" s="20">
        <v>0.6532</v>
      </c>
      <c r="N140" s="20">
        <v>0.69669999999999999</v>
      </c>
      <c r="O140" s="20">
        <v>0.73939999999999995</v>
      </c>
      <c r="P140" s="20">
        <v>0.78210000000000002</v>
      </c>
      <c r="Q140" s="20">
        <v>0.82509999999999994</v>
      </c>
      <c r="R140" s="20">
        <v>0.86880000000000002</v>
      </c>
      <c r="S140" s="20">
        <v>0.91359999999999997</v>
      </c>
      <c r="T140" s="20">
        <v>0.95979999999999999</v>
      </c>
      <c r="U140" s="20">
        <v>1.0075000000000001</v>
      </c>
      <c r="V140" s="20">
        <v>1.0567</v>
      </c>
      <c r="W140"/>
      <c r="X140"/>
      <c r="Y140"/>
      <c r="Z140"/>
    </row>
    <row r="141" spans="1:26" x14ac:dyDescent="0.2">
      <c r="A141" s="19">
        <v>0.13500000000000001</v>
      </c>
      <c r="B141" s="20">
        <v>0</v>
      </c>
      <c r="C141" s="20">
        <v>7.8E-2</v>
      </c>
      <c r="D141" s="20">
        <v>0.15190000000000001</v>
      </c>
      <c r="E141" s="20">
        <v>0.2218</v>
      </c>
      <c r="F141" s="20">
        <v>0.28760000000000002</v>
      </c>
      <c r="G141" s="20">
        <v>0.34939999999999999</v>
      </c>
      <c r="H141" s="20">
        <v>0.40749999999999997</v>
      </c>
      <c r="I141" s="20">
        <v>0.46210000000000001</v>
      </c>
      <c r="J141" s="20">
        <v>0.51359999999999995</v>
      </c>
      <c r="K141" s="20">
        <v>0.56230000000000002</v>
      </c>
      <c r="L141" s="20">
        <v>0.60880000000000001</v>
      </c>
      <c r="M141" s="20">
        <v>0.65359999999999996</v>
      </c>
      <c r="N141" s="20">
        <v>0.69730000000000003</v>
      </c>
      <c r="O141" s="20">
        <v>0.74019999999999997</v>
      </c>
      <c r="P141" s="20">
        <v>0.78310000000000002</v>
      </c>
      <c r="Q141" s="20">
        <v>0.82620000000000005</v>
      </c>
      <c r="R141" s="20">
        <v>0.87009999999999998</v>
      </c>
      <c r="S141" s="20">
        <v>0.91510000000000002</v>
      </c>
      <c r="T141" s="20">
        <v>0.96130000000000004</v>
      </c>
      <c r="U141" s="20">
        <v>1.0091000000000001</v>
      </c>
      <c r="V141" s="20">
        <v>1.0583</v>
      </c>
      <c r="W141"/>
      <c r="X141"/>
      <c r="Y141"/>
      <c r="Z141"/>
    </row>
    <row r="142" spans="1:26" x14ac:dyDescent="0.2">
      <c r="A142" s="19">
        <v>0.13600000000000001</v>
      </c>
      <c r="B142" s="20">
        <v>0</v>
      </c>
      <c r="C142" s="20">
        <v>7.7899999999999997E-2</v>
      </c>
      <c r="D142" s="20">
        <v>0.1517</v>
      </c>
      <c r="E142" s="20">
        <v>0.2215</v>
      </c>
      <c r="F142" s="20">
        <v>0.2873</v>
      </c>
      <c r="G142" s="20">
        <v>0.34910000000000002</v>
      </c>
      <c r="H142" s="20">
        <v>0.40720000000000001</v>
      </c>
      <c r="I142" s="20">
        <v>0.46189999999999998</v>
      </c>
      <c r="J142" s="20">
        <v>0.51349999999999996</v>
      </c>
      <c r="K142" s="20">
        <v>0.56240000000000001</v>
      </c>
      <c r="L142" s="20">
        <v>0.60909999999999997</v>
      </c>
      <c r="M142" s="20">
        <v>0.65410000000000001</v>
      </c>
      <c r="N142" s="20">
        <v>0.69789999999999996</v>
      </c>
      <c r="O142" s="20">
        <v>0.74099999999999999</v>
      </c>
      <c r="P142" s="20">
        <v>0.78410000000000002</v>
      </c>
      <c r="Q142" s="20">
        <v>0.82740000000000002</v>
      </c>
      <c r="R142" s="20">
        <v>0.87139999999999995</v>
      </c>
      <c r="S142" s="20">
        <v>0.91649999999999998</v>
      </c>
      <c r="T142" s="20">
        <v>0.96279999999999999</v>
      </c>
      <c r="U142" s="20">
        <v>1.0105999999999999</v>
      </c>
      <c r="V142" s="20">
        <v>1.0599000000000001</v>
      </c>
      <c r="W142"/>
      <c r="X142"/>
      <c r="Y142"/>
      <c r="Z142"/>
    </row>
    <row r="143" spans="1:26" x14ac:dyDescent="0.2">
      <c r="A143" s="19">
        <v>0.13700000000000001</v>
      </c>
      <c r="B143" s="20">
        <v>0</v>
      </c>
      <c r="C143" s="20">
        <v>7.7799999999999994E-2</v>
      </c>
      <c r="D143" s="20">
        <v>0.15160000000000001</v>
      </c>
      <c r="E143" s="20">
        <v>0.2213</v>
      </c>
      <c r="F143" s="20">
        <v>0.28699999999999998</v>
      </c>
      <c r="G143" s="20">
        <v>0.3488</v>
      </c>
      <c r="H143" s="20">
        <v>0.40699999999999997</v>
      </c>
      <c r="I143" s="20">
        <v>0.4617</v>
      </c>
      <c r="J143" s="20">
        <v>0.51339999999999997</v>
      </c>
      <c r="K143" s="20">
        <v>0.5625</v>
      </c>
      <c r="L143" s="20">
        <v>0.60929999999999995</v>
      </c>
      <c r="M143" s="20">
        <v>0.65449999999999997</v>
      </c>
      <c r="N143" s="20">
        <v>0.69850000000000001</v>
      </c>
      <c r="O143" s="20">
        <v>0.74180000000000001</v>
      </c>
      <c r="P143" s="20">
        <v>0.78500000000000003</v>
      </c>
      <c r="Q143" s="20">
        <v>0.82850000000000001</v>
      </c>
      <c r="R143" s="20">
        <v>0.87270000000000003</v>
      </c>
      <c r="S143" s="20">
        <v>0.91790000000000005</v>
      </c>
      <c r="T143" s="20">
        <v>0.96440000000000003</v>
      </c>
      <c r="U143" s="20">
        <v>1.0122</v>
      </c>
      <c r="V143" s="20">
        <v>1.0615000000000001</v>
      </c>
      <c r="W143"/>
      <c r="X143"/>
      <c r="Y143"/>
      <c r="Z143"/>
    </row>
    <row r="144" spans="1:26" x14ac:dyDescent="0.2">
      <c r="A144" s="19">
        <v>0.13800000000000001</v>
      </c>
      <c r="B144" s="20">
        <v>0</v>
      </c>
      <c r="C144" s="20">
        <v>7.7700000000000005E-2</v>
      </c>
      <c r="D144" s="20">
        <v>0.15140000000000001</v>
      </c>
      <c r="E144" s="20">
        <v>0.221</v>
      </c>
      <c r="F144" s="20">
        <v>0.28670000000000001</v>
      </c>
      <c r="G144" s="20">
        <v>0.34860000000000002</v>
      </c>
      <c r="H144" s="20">
        <v>0.40679999999999999</v>
      </c>
      <c r="I144" s="20">
        <v>0.46160000000000001</v>
      </c>
      <c r="J144" s="20">
        <v>0.51339999999999997</v>
      </c>
      <c r="K144" s="20">
        <v>0.5625</v>
      </c>
      <c r="L144" s="20">
        <v>0.60960000000000003</v>
      </c>
      <c r="M144" s="20">
        <v>0.65490000000000004</v>
      </c>
      <c r="N144" s="20">
        <v>0.69910000000000005</v>
      </c>
      <c r="O144" s="20">
        <v>0.74260000000000004</v>
      </c>
      <c r="P144" s="20">
        <v>0.78600000000000003</v>
      </c>
      <c r="Q144" s="20">
        <v>0.82969999999999999</v>
      </c>
      <c r="R144" s="20">
        <v>0.874</v>
      </c>
      <c r="S144" s="20">
        <v>0.91930000000000001</v>
      </c>
      <c r="T144" s="20">
        <v>0.96589999999999998</v>
      </c>
      <c r="U144" s="20">
        <v>1.0137</v>
      </c>
      <c r="V144" s="20">
        <v>1.0629999999999999</v>
      </c>
      <c r="W144"/>
      <c r="X144"/>
      <c r="Y144"/>
      <c r="Z144"/>
    </row>
    <row r="145" spans="1:26" x14ac:dyDescent="0.2">
      <c r="A145" s="19">
        <v>0.13900000000000001</v>
      </c>
      <c r="B145" s="20">
        <v>0</v>
      </c>
      <c r="C145" s="20">
        <v>7.7600000000000002E-2</v>
      </c>
      <c r="D145" s="20">
        <v>0.1512</v>
      </c>
      <c r="E145" s="20">
        <v>0.2208</v>
      </c>
      <c r="F145" s="20">
        <v>0.28649999999999998</v>
      </c>
      <c r="G145" s="20">
        <v>0.3483</v>
      </c>
      <c r="H145" s="20">
        <v>0.40649999999999997</v>
      </c>
      <c r="I145" s="20">
        <v>0.46139999999999998</v>
      </c>
      <c r="J145" s="20">
        <v>0.51329999999999998</v>
      </c>
      <c r="K145" s="20">
        <v>0.56269999999999998</v>
      </c>
      <c r="L145" s="20">
        <v>0.60980000000000001</v>
      </c>
      <c r="M145" s="20">
        <v>0.65529999999999999</v>
      </c>
      <c r="N145" s="20">
        <v>0.69969999999999999</v>
      </c>
      <c r="O145" s="20">
        <v>0.74339999999999995</v>
      </c>
      <c r="P145" s="20">
        <v>0.78700000000000003</v>
      </c>
      <c r="Q145" s="20">
        <v>0.83079999999999998</v>
      </c>
      <c r="R145" s="20">
        <v>0.87529999999999997</v>
      </c>
      <c r="S145" s="20">
        <v>0.92069999999999996</v>
      </c>
      <c r="T145" s="20">
        <v>0.96730000000000005</v>
      </c>
      <c r="U145" s="20">
        <v>1.0153000000000001</v>
      </c>
      <c r="V145" s="20">
        <v>1.0646</v>
      </c>
      <c r="W145"/>
      <c r="X145"/>
      <c r="Y145"/>
      <c r="Z145"/>
    </row>
    <row r="146" spans="1:26" x14ac:dyDescent="0.2">
      <c r="A146" s="19">
        <v>0.14000000000000001</v>
      </c>
      <c r="B146" s="20">
        <v>0</v>
      </c>
      <c r="C146" s="20">
        <v>7.7499999999999999E-2</v>
      </c>
      <c r="D146" s="20">
        <v>0.151</v>
      </c>
      <c r="E146" s="20">
        <v>0.22059999999999999</v>
      </c>
      <c r="F146" s="20">
        <v>0.28620000000000001</v>
      </c>
      <c r="G146" s="20">
        <v>0.34810000000000002</v>
      </c>
      <c r="H146" s="20">
        <v>0.40639999999999998</v>
      </c>
      <c r="I146" s="20">
        <v>0.46129999999999999</v>
      </c>
      <c r="J146" s="20">
        <v>0.51329999999999998</v>
      </c>
      <c r="K146" s="20">
        <v>0.56279999999999997</v>
      </c>
      <c r="L146" s="20">
        <v>0.61009999999999998</v>
      </c>
      <c r="M146" s="20">
        <v>0.65580000000000005</v>
      </c>
      <c r="N146" s="20">
        <v>0.70030000000000003</v>
      </c>
      <c r="O146" s="20">
        <v>0.74429999999999996</v>
      </c>
      <c r="P146" s="20">
        <v>0.78800000000000003</v>
      </c>
      <c r="Q146" s="20">
        <v>0.83199999999999996</v>
      </c>
      <c r="R146" s="20">
        <v>0.87660000000000005</v>
      </c>
      <c r="S146" s="20">
        <v>0.92210000000000003</v>
      </c>
      <c r="T146" s="20">
        <v>0.96879999999999999</v>
      </c>
      <c r="U146" s="20">
        <v>1.0167999999999999</v>
      </c>
      <c r="V146" s="20">
        <v>1.0661</v>
      </c>
      <c r="W146"/>
      <c r="X146"/>
      <c r="Y146"/>
      <c r="Z146"/>
    </row>
    <row r="147" spans="1:26" x14ac:dyDescent="0.2">
      <c r="A147" s="19">
        <v>0.14099999999999999</v>
      </c>
      <c r="B147" s="20">
        <v>0</v>
      </c>
      <c r="C147" s="20">
        <v>7.7399999999999997E-2</v>
      </c>
      <c r="D147" s="20">
        <v>0.15090000000000001</v>
      </c>
      <c r="E147" s="20">
        <v>0.22040000000000001</v>
      </c>
      <c r="F147" s="20">
        <v>0.28599999999999998</v>
      </c>
      <c r="G147" s="20">
        <v>0.34789999999999999</v>
      </c>
      <c r="H147" s="20">
        <v>0.40620000000000001</v>
      </c>
      <c r="I147" s="20">
        <v>0.4612</v>
      </c>
      <c r="J147" s="20">
        <v>0.51329999999999998</v>
      </c>
      <c r="K147" s="20">
        <v>0.56289999999999996</v>
      </c>
      <c r="L147" s="20">
        <v>0.61040000000000005</v>
      </c>
      <c r="M147" s="20">
        <v>0.65620000000000001</v>
      </c>
      <c r="N147" s="20">
        <v>0.70099999999999996</v>
      </c>
      <c r="O147" s="20">
        <v>0.74509999999999998</v>
      </c>
      <c r="P147" s="20">
        <v>0.78900000000000003</v>
      </c>
      <c r="Q147" s="20">
        <v>0.83309999999999995</v>
      </c>
      <c r="R147" s="20">
        <v>0.87780000000000002</v>
      </c>
      <c r="S147" s="20">
        <v>0.92349999999999999</v>
      </c>
      <c r="T147" s="20">
        <v>0.97030000000000005</v>
      </c>
      <c r="U147" s="20">
        <v>1.0183</v>
      </c>
      <c r="V147" s="20">
        <v>1.0677000000000001</v>
      </c>
      <c r="W147"/>
      <c r="X147"/>
      <c r="Y147"/>
      <c r="Z147"/>
    </row>
    <row r="148" spans="1:26" x14ac:dyDescent="0.2">
      <c r="A148" s="19">
        <v>0.14199999999999999</v>
      </c>
      <c r="B148" s="20">
        <v>0</v>
      </c>
      <c r="C148" s="20">
        <v>7.7399999999999997E-2</v>
      </c>
      <c r="D148" s="20">
        <v>0.1507</v>
      </c>
      <c r="E148" s="20">
        <v>0.22020000000000001</v>
      </c>
      <c r="F148" s="20">
        <v>0.2858</v>
      </c>
      <c r="G148" s="20">
        <v>0.34760000000000002</v>
      </c>
      <c r="H148" s="20">
        <v>0.40600000000000003</v>
      </c>
      <c r="I148" s="20">
        <v>0.46110000000000001</v>
      </c>
      <c r="J148" s="20">
        <v>0.51329999999999998</v>
      </c>
      <c r="K148" s="20">
        <v>0.56299999999999994</v>
      </c>
      <c r="L148" s="20">
        <v>0.61070000000000002</v>
      </c>
      <c r="M148" s="20">
        <v>0.65669999999999995</v>
      </c>
      <c r="N148" s="20">
        <v>0.7016</v>
      </c>
      <c r="O148" s="20">
        <v>0.74590000000000001</v>
      </c>
      <c r="P148" s="20">
        <v>0.78990000000000005</v>
      </c>
      <c r="Q148" s="20">
        <v>0.83420000000000005</v>
      </c>
      <c r="R148" s="20">
        <v>0.87909999999999999</v>
      </c>
      <c r="S148" s="20">
        <v>0.92490000000000006</v>
      </c>
      <c r="T148" s="20">
        <v>0.97170000000000001</v>
      </c>
      <c r="U148" s="20">
        <v>1.0198</v>
      </c>
      <c r="V148" s="20">
        <v>1.0691999999999999</v>
      </c>
      <c r="W148"/>
      <c r="X148"/>
      <c r="Y148"/>
      <c r="Z148"/>
    </row>
    <row r="149" spans="1:26" x14ac:dyDescent="0.2">
      <c r="A149" s="19">
        <v>0.14299999999999999</v>
      </c>
      <c r="B149" s="20">
        <v>0</v>
      </c>
      <c r="C149" s="20">
        <v>7.7299999999999994E-2</v>
      </c>
      <c r="D149" s="20">
        <v>0.15060000000000001</v>
      </c>
      <c r="E149" s="20">
        <v>0.22</v>
      </c>
      <c r="F149" s="20">
        <v>0.28560000000000002</v>
      </c>
      <c r="G149" s="20">
        <v>0.34739999999999999</v>
      </c>
      <c r="H149" s="20">
        <v>0.40579999999999999</v>
      </c>
      <c r="I149" s="20">
        <v>0.46100000000000002</v>
      </c>
      <c r="J149" s="20">
        <v>0.51339999999999997</v>
      </c>
      <c r="K149" s="20">
        <v>0.56320000000000003</v>
      </c>
      <c r="L149" s="20">
        <v>0.61099999999999999</v>
      </c>
      <c r="M149" s="20">
        <v>0.65720000000000001</v>
      </c>
      <c r="N149" s="20">
        <v>0.70220000000000005</v>
      </c>
      <c r="O149" s="20">
        <v>0.74670000000000003</v>
      </c>
      <c r="P149" s="20">
        <v>0.79090000000000005</v>
      </c>
      <c r="Q149" s="20">
        <v>0.83540000000000003</v>
      </c>
      <c r="R149" s="20">
        <v>0.88039999999999996</v>
      </c>
      <c r="S149" s="20">
        <v>0.92620000000000002</v>
      </c>
      <c r="T149" s="20">
        <v>0.97309999999999997</v>
      </c>
      <c r="U149" s="20">
        <v>1.0213000000000001</v>
      </c>
      <c r="V149" s="20">
        <v>1.0707</v>
      </c>
      <c r="W149"/>
      <c r="X149"/>
      <c r="Y149"/>
      <c r="Z149"/>
    </row>
    <row r="150" spans="1:26" x14ac:dyDescent="0.2">
      <c r="A150" s="19">
        <v>0.14399999999999999</v>
      </c>
      <c r="B150" s="20">
        <v>0</v>
      </c>
      <c r="C150" s="20">
        <v>7.7200000000000005E-2</v>
      </c>
      <c r="D150" s="20">
        <v>0.15049999999999999</v>
      </c>
      <c r="E150" s="20">
        <v>0.2198</v>
      </c>
      <c r="F150" s="20">
        <v>0.28539999999999999</v>
      </c>
      <c r="G150" s="20">
        <v>0.3473</v>
      </c>
      <c r="H150" s="20">
        <v>0.40570000000000001</v>
      </c>
      <c r="I150" s="20">
        <v>0.46100000000000002</v>
      </c>
      <c r="J150" s="20">
        <v>0.51339999999999997</v>
      </c>
      <c r="K150" s="20">
        <v>0.56330000000000002</v>
      </c>
      <c r="L150" s="20">
        <v>0.61129999999999995</v>
      </c>
      <c r="M150" s="20">
        <v>0.65759999999999996</v>
      </c>
      <c r="N150" s="20">
        <v>0.70289999999999997</v>
      </c>
      <c r="O150" s="20">
        <v>0.74750000000000005</v>
      </c>
      <c r="P150" s="20">
        <v>0.79190000000000005</v>
      </c>
      <c r="Q150" s="20">
        <v>0.83650000000000002</v>
      </c>
      <c r="R150" s="20">
        <v>0.88160000000000005</v>
      </c>
      <c r="S150" s="20">
        <v>0.92759999999999998</v>
      </c>
      <c r="T150" s="20">
        <v>0.97460000000000002</v>
      </c>
      <c r="U150" s="20">
        <v>1.0226999999999999</v>
      </c>
      <c r="V150" s="20">
        <v>1.0721000000000001</v>
      </c>
      <c r="W150"/>
      <c r="X150"/>
      <c r="Y150"/>
      <c r="Z150"/>
    </row>
    <row r="151" spans="1:26" x14ac:dyDescent="0.2">
      <c r="A151" s="19">
        <v>0.14499999999999999</v>
      </c>
      <c r="B151" s="20">
        <v>0</v>
      </c>
      <c r="C151" s="20">
        <v>7.7100000000000002E-2</v>
      </c>
      <c r="D151" s="20">
        <v>0.15029999999999999</v>
      </c>
      <c r="E151" s="20">
        <v>0.21959999999999999</v>
      </c>
      <c r="F151" s="20">
        <v>0.28520000000000001</v>
      </c>
      <c r="G151" s="20">
        <v>0.34710000000000002</v>
      </c>
      <c r="H151" s="20">
        <v>0.40560000000000002</v>
      </c>
      <c r="I151" s="20">
        <v>0.46089999999999998</v>
      </c>
      <c r="J151" s="20">
        <v>0.51339999999999997</v>
      </c>
      <c r="K151" s="20">
        <v>0.5635</v>
      </c>
      <c r="L151" s="20">
        <v>0.61160000000000003</v>
      </c>
      <c r="M151" s="20">
        <v>0.65810000000000002</v>
      </c>
      <c r="N151" s="20">
        <v>0.70350000000000001</v>
      </c>
      <c r="O151" s="20">
        <v>0.74829999999999997</v>
      </c>
      <c r="P151" s="20">
        <v>0.79279999999999995</v>
      </c>
      <c r="Q151" s="20">
        <v>0.83760000000000001</v>
      </c>
      <c r="R151" s="20">
        <v>0.88280000000000003</v>
      </c>
      <c r="S151" s="20">
        <v>0.92889999999999995</v>
      </c>
      <c r="T151" s="20">
        <v>0.97599999999999998</v>
      </c>
      <c r="U151" s="20">
        <v>1.0242</v>
      </c>
      <c r="V151" s="20">
        <v>1.0736000000000001</v>
      </c>
      <c r="W151"/>
      <c r="X151"/>
      <c r="Y151"/>
      <c r="Z151"/>
    </row>
    <row r="152" spans="1:26" x14ac:dyDescent="0.2">
      <c r="A152" s="19">
        <v>0.14599999999999999</v>
      </c>
      <c r="B152" s="20">
        <v>0</v>
      </c>
      <c r="C152" s="20">
        <v>7.7100000000000002E-2</v>
      </c>
      <c r="D152" s="20">
        <v>0.1502</v>
      </c>
      <c r="E152" s="20">
        <v>0.2195</v>
      </c>
      <c r="F152" s="20">
        <v>0.28499999999999998</v>
      </c>
      <c r="G152" s="20">
        <v>0.34689999999999999</v>
      </c>
      <c r="H152" s="20">
        <v>0.40550000000000003</v>
      </c>
      <c r="I152" s="20">
        <v>0.46089999999999998</v>
      </c>
      <c r="J152" s="20">
        <v>0.51349999999999996</v>
      </c>
      <c r="K152" s="20">
        <v>0.56369999999999998</v>
      </c>
      <c r="L152" s="20">
        <v>0.6119</v>
      </c>
      <c r="M152" s="20">
        <v>0.65859999999999996</v>
      </c>
      <c r="N152" s="20">
        <v>0.70420000000000005</v>
      </c>
      <c r="O152" s="20">
        <v>0.74909999999999999</v>
      </c>
      <c r="P152" s="20">
        <v>0.79379999999999995</v>
      </c>
      <c r="Q152" s="20">
        <v>0.8387</v>
      </c>
      <c r="R152" s="20">
        <v>0.8841</v>
      </c>
      <c r="S152" s="20">
        <v>0.93020000000000003</v>
      </c>
      <c r="T152" s="20">
        <v>0.97740000000000005</v>
      </c>
      <c r="U152" s="20">
        <v>1.0257000000000001</v>
      </c>
      <c r="V152" s="20">
        <v>1.0750999999999999</v>
      </c>
      <c r="W152"/>
      <c r="X152"/>
      <c r="Y152"/>
      <c r="Z152"/>
    </row>
    <row r="153" spans="1:26" x14ac:dyDescent="0.2">
      <c r="A153" s="19">
        <v>0.14699999999999999</v>
      </c>
      <c r="B153" s="20">
        <v>0</v>
      </c>
      <c r="C153" s="20">
        <v>7.6999999999999999E-2</v>
      </c>
      <c r="D153" s="20">
        <v>0.15010000000000001</v>
      </c>
      <c r="E153" s="20">
        <v>0.21929999999999999</v>
      </c>
      <c r="F153" s="20">
        <v>0.28489999999999999</v>
      </c>
      <c r="G153" s="20">
        <v>0.3468</v>
      </c>
      <c r="H153" s="20">
        <v>0.40539999999999998</v>
      </c>
      <c r="I153" s="20">
        <v>0.46079999999999999</v>
      </c>
      <c r="J153" s="20">
        <v>0.51359999999999995</v>
      </c>
      <c r="K153" s="20">
        <v>0.56389999999999996</v>
      </c>
      <c r="L153" s="20">
        <v>0.61229999999999996</v>
      </c>
      <c r="M153" s="20">
        <v>0.65910000000000002</v>
      </c>
      <c r="N153" s="20">
        <v>0.70479999999999998</v>
      </c>
      <c r="O153" s="20">
        <v>0.74990000000000001</v>
      </c>
      <c r="P153" s="20">
        <v>0.79479999999999995</v>
      </c>
      <c r="Q153" s="20">
        <v>0.83979999999999999</v>
      </c>
      <c r="R153" s="20">
        <v>0.88529999999999998</v>
      </c>
      <c r="S153" s="20">
        <v>0.93159999999999998</v>
      </c>
      <c r="T153" s="20">
        <v>0.9788</v>
      </c>
      <c r="U153" s="20">
        <v>1.0270999999999999</v>
      </c>
      <c r="V153" s="20">
        <v>1.0765</v>
      </c>
      <c r="W153"/>
      <c r="X153"/>
      <c r="Y153"/>
      <c r="Z153"/>
    </row>
    <row r="154" spans="1:26" x14ac:dyDescent="0.2">
      <c r="A154" s="19">
        <v>0.14799999999999999</v>
      </c>
      <c r="B154" s="20">
        <v>0</v>
      </c>
      <c r="C154" s="20">
        <v>7.6899999999999996E-2</v>
      </c>
      <c r="D154" s="20">
        <v>0.15</v>
      </c>
      <c r="E154" s="20">
        <v>0.21920000000000001</v>
      </c>
      <c r="F154" s="20">
        <v>0.28470000000000001</v>
      </c>
      <c r="G154" s="20">
        <v>0.34670000000000001</v>
      </c>
      <c r="H154" s="20">
        <v>0.40529999999999999</v>
      </c>
      <c r="I154" s="20">
        <v>0.46079999999999999</v>
      </c>
      <c r="J154" s="20">
        <v>0.51359999999999995</v>
      </c>
      <c r="K154" s="20">
        <v>0.56410000000000005</v>
      </c>
      <c r="L154" s="20">
        <v>0.61260000000000003</v>
      </c>
      <c r="M154" s="20">
        <v>0.65959999999999996</v>
      </c>
      <c r="N154" s="20">
        <v>0.70550000000000002</v>
      </c>
      <c r="O154" s="20">
        <v>0.75070000000000003</v>
      </c>
      <c r="P154" s="20">
        <v>0.79569999999999996</v>
      </c>
      <c r="Q154" s="20">
        <v>0.84089999999999998</v>
      </c>
      <c r="R154" s="20">
        <v>0.88649999999999995</v>
      </c>
      <c r="S154" s="20">
        <v>0.93289999999999995</v>
      </c>
      <c r="T154" s="20">
        <v>0.98019999999999996</v>
      </c>
      <c r="U154" s="20">
        <v>1.0285</v>
      </c>
      <c r="V154" s="20">
        <v>1.0780000000000001</v>
      </c>
      <c r="W154"/>
      <c r="X154"/>
      <c r="Y154"/>
      <c r="Z154"/>
    </row>
    <row r="155" spans="1:26" x14ac:dyDescent="0.2">
      <c r="A155" s="19">
        <v>0.14899999999999999</v>
      </c>
      <c r="B155" s="20">
        <v>0</v>
      </c>
      <c r="C155" s="20">
        <v>7.6899999999999996E-2</v>
      </c>
      <c r="D155" s="20">
        <v>0.14990000000000001</v>
      </c>
      <c r="E155" s="20">
        <v>0.21909999999999999</v>
      </c>
      <c r="F155" s="20">
        <v>0.28460000000000002</v>
      </c>
      <c r="G155" s="20">
        <v>0.34649999999999997</v>
      </c>
      <c r="H155" s="20">
        <v>0.4052</v>
      </c>
      <c r="I155" s="20">
        <v>0.46079999999999999</v>
      </c>
      <c r="J155" s="20">
        <v>0.51370000000000005</v>
      </c>
      <c r="K155" s="20">
        <v>0.56430000000000002</v>
      </c>
      <c r="L155" s="20">
        <v>0.6129</v>
      </c>
      <c r="M155" s="20">
        <v>0.66010000000000002</v>
      </c>
      <c r="N155" s="20">
        <v>0.70609999999999995</v>
      </c>
      <c r="O155" s="20">
        <v>0.75149999999999995</v>
      </c>
      <c r="P155" s="20">
        <v>0.79669999999999996</v>
      </c>
      <c r="Q155" s="20">
        <v>0.84199999999999997</v>
      </c>
      <c r="R155" s="20">
        <v>0.88770000000000004</v>
      </c>
      <c r="S155" s="20">
        <v>0.93420000000000003</v>
      </c>
      <c r="T155" s="20">
        <v>0.98150000000000004</v>
      </c>
      <c r="U155" s="20">
        <v>1.0299</v>
      </c>
      <c r="V155" s="20">
        <v>1.0793999999999999</v>
      </c>
      <c r="W155"/>
      <c r="X155"/>
      <c r="Y155"/>
      <c r="Z155"/>
    </row>
    <row r="156" spans="1:26" x14ac:dyDescent="0.2">
      <c r="A156" s="19">
        <v>0.15</v>
      </c>
      <c r="B156" s="20">
        <v>0</v>
      </c>
      <c r="C156" s="20">
        <v>7.6799999999999993E-2</v>
      </c>
      <c r="D156" s="20">
        <v>0.14979999999999999</v>
      </c>
      <c r="E156" s="20">
        <v>0.21890000000000001</v>
      </c>
      <c r="F156" s="20">
        <v>0.28439999999999999</v>
      </c>
      <c r="G156" s="20">
        <v>0.34639999999999999</v>
      </c>
      <c r="H156" s="20">
        <v>0.40510000000000002</v>
      </c>
      <c r="I156" s="20">
        <v>0.46079999999999999</v>
      </c>
      <c r="J156" s="20">
        <v>0.51380000000000003</v>
      </c>
      <c r="K156" s="20">
        <v>0.5645</v>
      </c>
      <c r="L156" s="20">
        <v>0.61329999999999996</v>
      </c>
      <c r="M156" s="20">
        <v>0.66059999999999997</v>
      </c>
      <c r="N156" s="20">
        <v>0.70679999999999998</v>
      </c>
      <c r="O156" s="20">
        <v>0.75229999999999997</v>
      </c>
      <c r="P156" s="20">
        <v>0.79759999999999998</v>
      </c>
      <c r="Q156" s="20">
        <v>0.84309999999999996</v>
      </c>
      <c r="R156" s="20">
        <v>0.88890000000000002</v>
      </c>
      <c r="S156" s="20">
        <v>0.9355</v>
      </c>
      <c r="T156" s="20">
        <v>0.9829</v>
      </c>
      <c r="U156" s="20">
        <v>1.0313000000000001</v>
      </c>
      <c r="V156" s="20">
        <v>1.0808</v>
      </c>
      <c r="W156"/>
      <c r="X156"/>
      <c r="Y156"/>
      <c r="Z156"/>
    </row>
    <row r="157" spans="1:26" x14ac:dyDescent="0.2">
      <c r="A157" s="19">
        <v>0.151</v>
      </c>
      <c r="B157" s="20">
        <v>0</v>
      </c>
      <c r="C157" s="20">
        <v>7.6799999999999993E-2</v>
      </c>
      <c r="D157" s="20">
        <v>0.1497</v>
      </c>
      <c r="E157" s="20">
        <v>0.21879999999999999</v>
      </c>
      <c r="F157" s="20">
        <v>0.2843</v>
      </c>
      <c r="G157" s="20">
        <v>0.3463</v>
      </c>
      <c r="H157" s="20">
        <v>0.40510000000000002</v>
      </c>
      <c r="I157" s="20">
        <v>0.46079999999999999</v>
      </c>
      <c r="J157" s="20">
        <v>0.51400000000000001</v>
      </c>
      <c r="K157" s="20">
        <v>0.56479999999999997</v>
      </c>
      <c r="L157" s="20">
        <v>0.61370000000000002</v>
      </c>
      <c r="M157" s="20">
        <v>0.66110000000000002</v>
      </c>
      <c r="N157" s="20">
        <v>0.70740000000000003</v>
      </c>
      <c r="O157" s="20">
        <v>0.75309999999999999</v>
      </c>
      <c r="P157" s="20">
        <v>0.79859999999999998</v>
      </c>
      <c r="Q157" s="20">
        <v>0.84419999999999995</v>
      </c>
      <c r="R157" s="20">
        <v>0.8901</v>
      </c>
      <c r="S157" s="20">
        <v>0.93679999999999997</v>
      </c>
      <c r="T157" s="20">
        <v>0.98429999999999995</v>
      </c>
      <c r="U157" s="20">
        <v>1.0327</v>
      </c>
      <c r="V157" s="20">
        <v>1.0822000000000001</v>
      </c>
      <c r="W157"/>
      <c r="X157"/>
      <c r="Y157"/>
      <c r="Z157"/>
    </row>
    <row r="158" spans="1:26" x14ac:dyDescent="0.2">
      <c r="A158" s="19">
        <v>0.152</v>
      </c>
      <c r="B158" s="20">
        <v>0</v>
      </c>
      <c r="C158" s="20">
        <v>7.6700000000000004E-2</v>
      </c>
      <c r="D158" s="20">
        <v>0.14960000000000001</v>
      </c>
      <c r="E158" s="20">
        <v>0.21870000000000001</v>
      </c>
      <c r="F158" s="20">
        <v>0.28420000000000001</v>
      </c>
      <c r="G158" s="20">
        <v>0.34620000000000001</v>
      </c>
      <c r="H158" s="20">
        <v>0.40500000000000003</v>
      </c>
      <c r="I158" s="20">
        <v>0.46089999999999998</v>
      </c>
      <c r="J158" s="20">
        <v>0.5141</v>
      </c>
      <c r="K158" s="20">
        <v>0.56499999999999995</v>
      </c>
      <c r="L158" s="20">
        <v>0.61399999999999999</v>
      </c>
      <c r="M158" s="20">
        <v>0.66159999999999997</v>
      </c>
      <c r="N158" s="20">
        <v>0.70809999999999995</v>
      </c>
      <c r="O158" s="20">
        <v>0.754</v>
      </c>
      <c r="P158" s="20">
        <v>0.79949999999999999</v>
      </c>
      <c r="Q158" s="20">
        <v>0.84519999999999995</v>
      </c>
      <c r="R158" s="20">
        <v>0.89129999999999998</v>
      </c>
      <c r="S158" s="20">
        <v>0.93799999999999994</v>
      </c>
      <c r="T158" s="20">
        <v>0.98560000000000003</v>
      </c>
      <c r="U158" s="20">
        <v>1.0341</v>
      </c>
      <c r="V158" s="20">
        <v>1.0835999999999999</v>
      </c>
      <c r="W158"/>
      <c r="X158"/>
      <c r="Y158"/>
      <c r="Z158"/>
    </row>
    <row r="159" spans="1:26" x14ac:dyDescent="0.2">
      <c r="A159" s="19">
        <v>0.153</v>
      </c>
      <c r="B159" s="20">
        <v>0</v>
      </c>
      <c r="C159" s="20">
        <v>7.6700000000000004E-2</v>
      </c>
      <c r="D159" s="20">
        <v>0.14949999999999999</v>
      </c>
      <c r="E159" s="20">
        <v>0.21859999999999999</v>
      </c>
      <c r="F159" s="20">
        <v>0.28410000000000002</v>
      </c>
      <c r="G159" s="20">
        <v>0.34610000000000002</v>
      </c>
      <c r="H159" s="20">
        <v>0.40500000000000003</v>
      </c>
      <c r="I159" s="20">
        <v>0.46089999999999998</v>
      </c>
      <c r="J159" s="20">
        <v>0.51419999999999999</v>
      </c>
      <c r="K159" s="20">
        <v>0.56520000000000004</v>
      </c>
      <c r="L159" s="20">
        <v>0.61439999999999995</v>
      </c>
      <c r="M159" s="20">
        <v>0.66210000000000002</v>
      </c>
      <c r="N159" s="20">
        <v>0.70879999999999999</v>
      </c>
      <c r="O159" s="20">
        <v>0.75480000000000003</v>
      </c>
      <c r="P159" s="20">
        <v>0.80049999999999999</v>
      </c>
      <c r="Q159" s="20">
        <v>0.84630000000000005</v>
      </c>
      <c r="R159" s="20">
        <v>0.89249999999999996</v>
      </c>
      <c r="S159" s="20">
        <v>0.93930000000000002</v>
      </c>
      <c r="T159" s="20">
        <v>0.9869</v>
      </c>
      <c r="U159" s="20">
        <v>1.0355000000000001</v>
      </c>
      <c r="V159" s="20">
        <v>1.085</v>
      </c>
      <c r="W159"/>
      <c r="X159"/>
      <c r="Y159"/>
      <c r="Z159"/>
    </row>
    <row r="160" spans="1:26" x14ac:dyDescent="0.2">
      <c r="A160" s="19">
        <v>0.154</v>
      </c>
      <c r="B160" s="20">
        <v>0</v>
      </c>
      <c r="C160" s="20">
        <v>7.6600000000000001E-2</v>
      </c>
      <c r="D160" s="20">
        <v>0.14940000000000001</v>
      </c>
      <c r="E160" s="20">
        <v>0.2185</v>
      </c>
      <c r="F160" s="20">
        <v>0.28399999999999997</v>
      </c>
      <c r="G160" s="20">
        <v>0.34610000000000002</v>
      </c>
      <c r="H160" s="20">
        <v>0.40500000000000003</v>
      </c>
      <c r="I160" s="20">
        <v>0.46100000000000002</v>
      </c>
      <c r="J160" s="20">
        <v>0.51439999999999997</v>
      </c>
      <c r="K160" s="20">
        <v>0.5655</v>
      </c>
      <c r="L160" s="20">
        <v>0.61480000000000001</v>
      </c>
      <c r="M160" s="20">
        <v>0.66259999999999997</v>
      </c>
      <c r="N160" s="20">
        <v>0.70940000000000003</v>
      </c>
      <c r="O160" s="20">
        <v>0.75560000000000005</v>
      </c>
      <c r="P160" s="20">
        <v>0.8014</v>
      </c>
      <c r="Q160" s="20">
        <v>0.84740000000000004</v>
      </c>
      <c r="R160" s="20">
        <v>0.89370000000000005</v>
      </c>
      <c r="S160" s="20">
        <v>0.94059999999999999</v>
      </c>
      <c r="T160" s="20">
        <v>0.98829999999999996</v>
      </c>
      <c r="U160" s="20">
        <v>1.0368999999999999</v>
      </c>
      <c r="V160" s="20">
        <v>1.0864</v>
      </c>
      <c r="W160"/>
      <c r="X160"/>
      <c r="Y160"/>
      <c r="Z160"/>
    </row>
    <row r="161" spans="1:26" x14ac:dyDescent="0.2">
      <c r="A161" s="19">
        <v>0.155</v>
      </c>
      <c r="B161" s="20">
        <v>0</v>
      </c>
      <c r="C161" s="20">
        <v>7.6600000000000001E-2</v>
      </c>
      <c r="D161" s="20">
        <v>0.14940000000000001</v>
      </c>
      <c r="E161" s="20">
        <v>0.21840000000000001</v>
      </c>
      <c r="F161" s="20">
        <v>0.28389999999999999</v>
      </c>
      <c r="G161" s="20">
        <v>0.34599999999999997</v>
      </c>
      <c r="H161" s="20">
        <v>0.40500000000000003</v>
      </c>
      <c r="I161" s="20">
        <v>0.46100000000000002</v>
      </c>
      <c r="J161" s="20">
        <v>0.51449999999999996</v>
      </c>
      <c r="K161" s="20">
        <v>0.56579999999999997</v>
      </c>
      <c r="L161" s="20">
        <v>0.61519999999999997</v>
      </c>
      <c r="M161" s="20">
        <v>0.66320000000000001</v>
      </c>
      <c r="N161" s="20">
        <v>0.71009999999999995</v>
      </c>
      <c r="O161" s="20">
        <v>0.75639999999999996</v>
      </c>
      <c r="P161" s="20">
        <v>0.8024</v>
      </c>
      <c r="Q161" s="20">
        <v>0.84840000000000004</v>
      </c>
      <c r="R161" s="20">
        <v>0.89480000000000004</v>
      </c>
      <c r="S161" s="20">
        <v>0.94179999999999997</v>
      </c>
      <c r="T161" s="20">
        <v>0.98960000000000004</v>
      </c>
      <c r="U161" s="20">
        <v>1.0382</v>
      </c>
      <c r="V161" s="20">
        <v>1.0878000000000001</v>
      </c>
      <c r="W161"/>
      <c r="X161"/>
      <c r="Y161"/>
      <c r="Z161"/>
    </row>
    <row r="162" spans="1:26" x14ac:dyDescent="0.2">
      <c r="A162" s="19">
        <v>0.156</v>
      </c>
      <c r="B162" s="20">
        <v>0</v>
      </c>
      <c r="C162" s="20">
        <v>7.6600000000000001E-2</v>
      </c>
      <c r="D162" s="20">
        <v>0.14929999999999999</v>
      </c>
      <c r="E162" s="20">
        <v>0.21840000000000001</v>
      </c>
      <c r="F162" s="20">
        <v>0.2838</v>
      </c>
      <c r="G162" s="20">
        <v>0.34599999999999997</v>
      </c>
      <c r="H162" s="20">
        <v>0.40500000000000003</v>
      </c>
      <c r="I162" s="20">
        <v>0.46110000000000001</v>
      </c>
      <c r="J162" s="20">
        <v>0.51470000000000005</v>
      </c>
      <c r="K162" s="20">
        <v>0.56599999999999995</v>
      </c>
      <c r="L162" s="20">
        <v>0.61560000000000004</v>
      </c>
      <c r="M162" s="20">
        <v>0.66369999999999996</v>
      </c>
      <c r="N162" s="20">
        <v>0.71079999999999999</v>
      </c>
      <c r="O162" s="20">
        <v>0.75719999999999998</v>
      </c>
      <c r="P162" s="20">
        <v>0.80330000000000001</v>
      </c>
      <c r="Q162" s="20">
        <v>0.84950000000000003</v>
      </c>
      <c r="R162" s="20">
        <v>0.89600000000000002</v>
      </c>
      <c r="S162" s="20">
        <v>0.94310000000000005</v>
      </c>
      <c r="T162" s="20">
        <v>0.9909</v>
      </c>
      <c r="U162" s="20">
        <v>1.0396000000000001</v>
      </c>
      <c r="V162" s="20">
        <v>1.0891</v>
      </c>
      <c r="W162"/>
      <c r="X162"/>
      <c r="Y162"/>
      <c r="Z162"/>
    </row>
    <row r="163" spans="1:26" x14ac:dyDescent="0.2">
      <c r="A163" s="19">
        <v>0.157</v>
      </c>
      <c r="B163" s="20">
        <v>0</v>
      </c>
      <c r="C163" s="20">
        <v>7.6499999999999999E-2</v>
      </c>
      <c r="D163" s="20">
        <v>0.1492</v>
      </c>
      <c r="E163" s="20">
        <v>0.21829999999999999</v>
      </c>
      <c r="F163" s="20">
        <v>0.2838</v>
      </c>
      <c r="G163" s="20">
        <v>0.34589999999999999</v>
      </c>
      <c r="H163" s="20">
        <v>0.40500000000000003</v>
      </c>
      <c r="I163" s="20">
        <v>0.4612</v>
      </c>
      <c r="J163" s="20">
        <v>0.51480000000000004</v>
      </c>
      <c r="K163" s="20">
        <v>0.56630000000000003</v>
      </c>
      <c r="L163" s="20">
        <v>0.61599999999999999</v>
      </c>
      <c r="M163" s="20">
        <v>0.66420000000000001</v>
      </c>
      <c r="N163" s="20">
        <v>0.71150000000000002</v>
      </c>
      <c r="O163" s="20">
        <v>0.75800000000000001</v>
      </c>
      <c r="P163" s="20">
        <v>0.80430000000000001</v>
      </c>
      <c r="Q163" s="20">
        <v>0.85060000000000002</v>
      </c>
      <c r="R163" s="20">
        <v>0.8972</v>
      </c>
      <c r="S163" s="20">
        <v>0.94430000000000003</v>
      </c>
      <c r="T163" s="20">
        <v>0.99219999999999997</v>
      </c>
      <c r="U163" s="20">
        <v>1.0408999999999999</v>
      </c>
      <c r="V163" s="20">
        <v>1.0905</v>
      </c>
      <c r="W163"/>
      <c r="X163"/>
      <c r="Y163"/>
      <c r="Z163"/>
    </row>
    <row r="164" spans="1:26" x14ac:dyDescent="0.2">
      <c r="A164" s="19">
        <v>0.158</v>
      </c>
      <c r="B164" s="20">
        <v>0</v>
      </c>
      <c r="C164" s="20">
        <v>7.6499999999999999E-2</v>
      </c>
      <c r="D164" s="20">
        <v>0.1492</v>
      </c>
      <c r="E164" s="20">
        <v>0.21820000000000001</v>
      </c>
      <c r="F164" s="20">
        <v>0.28370000000000001</v>
      </c>
      <c r="G164" s="20">
        <v>0.34589999999999999</v>
      </c>
      <c r="H164" s="20">
        <v>0.40500000000000003</v>
      </c>
      <c r="I164" s="20">
        <v>0.46129999999999999</v>
      </c>
      <c r="J164" s="20">
        <v>0.51500000000000001</v>
      </c>
      <c r="K164" s="20">
        <v>0.56659999999999999</v>
      </c>
      <c r="L164" s="20">
        <v>0.61639999999999995</v>
      </c>
      <c r="M164" s="20">
        <v>0.66479999999999995</v>
      </c>
      <c r="N164" s="20">
        <v>0.71209999999999996</v>
      </c>
      <c r="O164" s="20">
        <v>0.75880000000000003</v>
      </c>
      <c r="P164" s="20">
        <v>0.80520000000000003</v>
      </c>
      <c r="Q164" s="20">
        <v>0.85160000000000002</v>
      </c>
      <c r="R164" s="20">
        <v>0.89829999999999999</v>
      </c>
      <c r="S164" s="20">
        <v>0.9456</v>
      </c>
      <c r="T164" s="20">
        <v>0.99350000000000005</v>
      </c>
      <c r="U164" s="20">
        <v>1.0422</v>
      </c>
      <c r="V164" s="20">
        <v>1.0918000000000001</v>
      </c>
      <c r="W164"/>
      <c r="X164"/>
      <c r="Y164"/>
      <c r="Z164"/>
    </row>
    <row r="165" spans="1:26" x14ac:dyDescent="0.2">
      <c r="A165" s="19">
        <v>0.159</v>
      </c>
      <c r="B165" s="20">
        <v>0</v>
      </c>
      <c r="C165" s="20">
        <v>7.6499999999999999E-2</v>
      </c>
      <c r="D165" s="20">
        <v>0.14910000000000001</v>
      </c>
      <c r="E165" s="20">
        <v>0.21820000000000001</v>
      </c>
      <c r="F165" s="20">
        <v>0.28370000000000001</v>
      </c>
      <c r="G165" s="20">
        <v>0.34589999999999999</v>
      </c>
      <c r="H165" s="20">
        <v>0.40500000000000003</v>
      </c>
      <c r="I165" s="20">
        <v>0.46139999999999998</v>
      </c>
      <c r="J165" s="20">
        <v>0.51519999999999999</v>
      </c>
      <c r="K165" s="20">
        <v>0.56689999999999996</v>
      </c>
      <c r="L165" s="20">
        <v>0.61680000000000001</v>
      </c>
      <c r="M165" s="20">
        <v>0.6653</v>
      </c>
      <c r="N165" s="20">
        <v>0.71279999999999999</v>
      </c>
      <c r="O165" s="20">
        <v>0.75960000000000005</v>
      </c>
      <c r="P165" s="20">
        <v>0.80610000000000004</v>
      </c>
      <c r="Q165" s="20">
        <v>0.85270000000000001</v>
      </c>
      <c r="R165" s="20">
        <v>0.89949999999999997</v>
      </c>
      <c r="S165" s="20">
        <v>0.94679999999999997</v>
      </c>
      <c r="T165" s="20">
        <v>0.99480000000000002</v>
      </c>
      <c r="U165" s="20">
        <v>1.0435000000000001</v>
      </c>
      <c r="V165" s="20">
        <v>1.0931</v>
      </c>
      <c r="W165"/>
      <c r="X165"/>
      <c r="Y165"/>
      <c r="Z165"/>
    </row>
    <row r="166" spans="1:26" x14ac:dyDescent="0.2">
      <c r="A166" s="19">
        <v>0.16</v>
      </c>
      <c r="B166" s="20">
        <v>0</v>
      </c>
      <c r="C166" s="20">
        <v>7.6399999999999996E-2</v>
      </c>
      <c r="D166" s="20">
        <v>0.14910000000000001</v>
      </c>
      <c r="E166" s="20">
        <v>0.21809999999999999</v>
      </c>
      <c r="F166" s="20">
        <v>0.28360000000000002</v>
      </c>
      <c r="G166" s="20">
        <v>0.34589999999999999</v>
      </c>
      <c r="H166" s="20">
        <v>0.40510000000000002</v>
      </c>
      <c r="I166" s="20">
        <v>0.46150000000000002</v>
      </c>
      <c r="J166" s="20">
        <v>0.51539999999999997</v>
      </c>
      <c r="K166" s="20">
        <v>0.56720000000000004</v>
      </c>
      <c r="L166" s="20">
        <v>0.61729999999999996</v>
      </c>
      <c r="M166" s="20">
        <v>0.66590000000000005</v>
      </c>
      <c r="N166" s="20">
        <v>0.71350000000000002</v>
      </c>
      <c r="O166" s="20">
        <v>0.76039999999999996</v>
      </c>
      <c r="P166" s="20">
        <v>0.80710000000000004</v>
      </c>
      <c r="Q166" s="20">
        <v>0.85370000000000001</v>
      </c>
      <c r="R166" s="20">
        <v>0.90059999999999996</v>
      </c>
      <c r="S166" s="20">
        <v>0.94799999999999995</v>
      </c>
      <c r="T166" s="20">
        <v>0.996</v>
      </c>
      <c r="U166" s="20">
        <v>1.0448999999999999</v>
      </c>
      <c r="V166" s="20">
        <v>1.0945</v>
      </c>
      <c r="W166"/>
      <c r="X166"/>
      <c r="Y166"/>
      <c r="Z166"/>
    </row>
    <row r="167" spans="1:26" x14ac:dyDescent="0.2">
      <c r="A167" s="19">
        <v>0.161</v>
      </c>
      <c r="B167" s="20">
        <v>0</v>
      </c>
      <c r="C167" s="20">
        <v>7.6399999999999996E-2</v>
      </c>
      <c r="D167" s="20">
        <v>0.14910000000000001</v>
      </c>
      <c r="E167" s="20">
        <v>0.21809999999999999</v>
      </c>
      <c r="F167" s="20">
        <v>0.28360000000000002</v>
      </c>
      <c r="G167" s="20">
        <v>0.34589999999999999</v>
      </c>
      <c r="H167" s="20">
        <v>0.40510000000000002</v>
      </c>
      <c r="I167" s="20">
        <v>0.46160000000000001</v>
      </c>
      <c r="J167" s="20">
        <v>0.51559999999999995</v>
      </c>
      <c r="K167" s="20">
        <v>0.5675</v>
      </c>
      <c r="L167" s="20">
        <v>0.61770000000000003</v>
      </c>
      <c r="M167" s="20">
        <v>0.66639999999999999</v>
      </c>
      <c r="N167" s="20">
        <v>0.71419999999999995</v>
      </c>
      <c r="O167" s="20">
        <v>0.76119999999999999</v>
      </c>
      <c r="P167" s="20">
        <v>0.80800000000000005</v>
      </c>
      <c r="Q167" s="20">
        <v>0.85470000000000002</v>
      </c>
      <c r="R167" s="20">
        <v>0.90169999999999995</v>
      </c>
      <c r="S167" s="20">
        <v>0.94920000000000004</v>
      </c>
      <c r="T167" s="20">
        <v>0.99729999999999996</v>
      </c>
      <c r="U167" s="20">
        <v>1.0462</v>
      </c>
      <c r="V167" s="20">
        <v>1.0958000000000001</v>
      </c>
      <c r="W167"/>
      <c r="X167"/>
      <c r="Y167"/>
      <c r="Z167"/>
    </row>
    <row r="168" spans="1:26" x14ac:dyDescent="0.2">
      <c r="A168" s="19">
        <v>0.16200000000000001</v>
      </c>
      <c r="B168" s="20">
        <v>0</v>
      </c>
      <c r="C168" s="20">
        <v>7.6399999999999996E-2</v>
      </c>
      <c r="D168" s="20">
        <v>0.14899999999999999</v>
      </c>
      <c r="E168" s="20">
        <v>0.218</v>
      </c>
      <c r="F168" s="20">
        <v>0.28360000000000002</v>
      </c>
      <c r="G168" s="20">
        <v>0.34589999999999999</v>
      </c>
      <c r="H168" s="20">
        <v>0.4052</v>
      </c>
      <c r="I168" s="20">
        <v>0.4617</v>
      </c>
      <c r="J168" s="20">
        <v>0.51580000000000004</v>
      </c>
      <c r="K168" s="20">
        <v>0.56789999999999996</v>
      </c>
      <c r="L168" s="20">
        <v>0.61809999999999998</v>
      </c>
      <c r="M168" s="20">
        <v>0.66700000000000004</v>
      </c>
      <c r="N168" s="20">
        <v>0.71489999999999998</v>
      </c>
      <c r="O168" s="20">
        <v>0.7621</v>
      </c>
      <c r="P168" s="20">
        <v>0.80889999999999995</v>
      </c>
      <c r="Q168" s="20">
        <v>0.85580000000000001</v>
      </c>
      <c r="R168" s="20">
        <v>0.90290000000000004</v>
      </c>
      <c r="S168" s="20">
        <v>0.95040000000000002</v>
      </c>
      <c r="T168" s="20">
        <v>0.99860000000000004</v>
      </c>
      <c r="U168" s="20">
        <v>1.0474000000000001</v>
      </c>
      <c r="V168" s="20">
        <v>1.0971</v>
      </c>
      <c r="W168"/>
      <c r="X168"/>
      <c r="Y168"/>
      <c r="Z168"/>
    </row>
    <row r="169" spans="1:26" x14ac:dyDescent="0.2">
      <c r="A169" s="19">
        <v>0.16300000000000001</v>
      </c>
      <c r="B169" s="20">
        <v>0</v>
      </c>
      <c r="C169" s="20">
        <v>7.6399999999999996E-2</v>
      </c>
      <c r="D169" s="20">
        <v>0.14899999999999999</v>
      </c>
      <c r="E169" s="20">
        <v>0.218</v>
      </c>
      <c r="F169" s="20">
        <v>0.28360000000000002</v>
      </c>
      <c r="G169" s="20">
        <v>0.34589999999999999</v>
      </c>
      <c r="H169" s="20">
        <v>0.4052</v>
      </c>
      <c r="I169" s="20">
        <v>0.46189999999999998</v>
      </c>
      <c r="J169" s="20">
        <v>0.5161</v>
      </c>
      <c r="K169" s="20">
        <v>0.56820000000000004</v>
      </c>
      <c r="L169" s="20">
        <v>0.61860000000000004</v>
      </c>
      <c r="M169" s="20">
        <v>0.66759999999999997</v>
      </c>
      <c r="N169" s="20">
        <v>0.71550000000000002</v>
      </c>
      <c r="O169" s="20">
        <v>0.76290000000000002</v>
      </c>
      <c r="P169" s="20">
        <v>0.80989999999999995</v>
      </c>
      <c r="Q169" s="20">
        <v>0.85680000000000001</v>
      </c>
      <c r="R169" s="20">
        <v>0.90400000000000003</v>
      </c>
      <c r="S169" s="20">
        <v>0.9516</v>
      </c>
      <c r="T169" s="20">
        <v>0.99980000000000002</v>
      </c>
      <c r="U169" s="20">
        <v>1.0487</v>
      </c>
      <c r="V169" s="20">
        <v>1.0984</v>
      </c>
      <c r="W169"/>
      <c r="X169"/>
      <c r="Y169"/>
      <c r="Z169"/>
    </row>
    <row r="170" spans="1:26" x14ac:dyDescent="0.2">
      <c r="A170" s="19">
        <v>0.16400000000000001</v>
      </c>
      <c r="B170" s="20">
        <v>0</v>
      </c>
      <c r="C170" s="20">
        <v>7.6399999999999996E-2</v>
      </c>
      <c r="D170" s="20">
        <v>0.14899999999999999</v>
      </c>
      <c r="E170" s="20">
        <v>0.218</v>
      </c>
      <c r="F170" s="20">
        <v>0.28360000000000002</v>
      </c>
      <c r="G170" s="20">
        <v>0.34589999999999999</v>
      </c>
      <c r="H170" s="20">
        <v>0.40529999999999999</v>
      </c>
      <c r="I170" s="20">
        <v>0.46200000000000002</v>
      </c>
      <c r="J170" s="20">
        <v>0.51629999999999998</v>
      </c>
      <c r="K170" s="20">
        <v>0.56850000000000001</v>
      </c>
      <c r="L170" s="20">
        <v>0.61899999999999999</v>
      </c>
      <c r="M170" s="20">
        <v>0.66810000000000003</v>
      </c>
      <c r="N170" s="20">
        <v>0.71619999999999995</v>
      </c>
      <c r="O170" s="20">
        <v>0.76370000000000005</v>
      </c>
      <c r="P170" s="20">
        <v>0.81079999999999997</v>
      </c>
      <c r="Q170" s="20">
        <v>0.85780000000000001</v>
      </c>
      <c r="R170" s="20">
        <v>0.90510000000000002</v>
      </c>
      <c r="S170" s="20">
        <v>0.95279999999999998</v>
      </c>
      <c r="T170" s="20">
        <v>1.0011000000000001</v>
      </c>
      <c r="U170" s="20">
        <v>1.05</v>
      </c>
      <c r="V170" s="20">
        <v>1.0996999999999999</v>
      </c>
      <c r="W170"/>
      <c r="X170"/>
      <c r="Y170"/>
      <c r="Z170"/>
    </row>
    <row r="171" spans="1:26" x14ac:dyDescent="0.2">
      <c r="A171" s="19">
        <v>0.16500000000000001</v>
      </c>
      <c r="B171" s="20">
        <v>0</v>
      </c>
      <c r="C171" s="20">
        <v>7.6399999999999996E-2</v>
      </c>
      <c r="D171" s="20">
        <v>0.1489</v>
      </c>
      <c r="E171" s="20">
        <v>0.218</v>
      </c>
      <c r="F171" s="20">
        <v>0.28360000000000002</v>
      </c>
      <c r="G171" s="20">
        <v>0.34599999999999997</v>
      </c>
      <c r="H171" s="20">
        <v>0.40539999999999998</v>
      </c>
      <c r="I171" s="20">
        <v>0.4622</v>
      </c>
      <c r="J171" s="20">
        <v>0.51649999999999996</v>
      </c>
      <c r="K171" s="20">
        <v>0.56889999999999996</v>
      </c>
      <c r="L171" s="20">
        <v>0.61950000000000005</v>
      </c>
      <c r="M171" s="20">
        <v>0.66869999999999996</v>
      </c>
      <c r="N171" s="20">
        <v>0.71689999999999998</v>
      </c>
      <c r="O171" s="20">
        <v>0.76449999999999996</v>
      </c>
      <c r="P171" s="20">
        <v>0.81169999999999998</v>
      </c>
      <c r="Q171" s="20">
        <v>0.8589</v>
      </c>
      <c r="R171" s="20">
        <v>0.90620000000000001</v>
      </c>
      <c r="S171" s="20">
        <v>0.95399999999999996</v>
      </c>
      <c r="T171" s="20">
        <v>1.0023</v>
      </c>
      <c r="U171" s="20">
        <v>1.0512999999999999</v>
      </c>
      <c r="V171" s="20">
        <v>1.1009</v>
      </c>
      <c r="W171"/>
      <c r="X171"/>
      <c r="Y171"/>
      <c r="Z171"/>
    </row>
    <row r="172" spans="1:26" x14ac:dyDescent="0.2">
      <c r="A172" s="19">
        <v>0.16600000000000001</v>
      </c>
      <c r="B172" s="20">
        <v>0</v>
      </c>
      <c r="C172" s="20">
        <v>7.6300000000000007E-2</v>
      </c>
      <c r="D172" s="20">
        <v>0.1489</v>
      </c>
      <c r="E172" s="20">
        <v>0.21790000000000001</v>
      </c>
      <c r="F172" s="20">
        <v>0.28360000000000002</v>
      </c>
      <c r="G172" s="20">
        <v>0.34599999999999997</v>
      </c>
      <c r="H172" s="20">
        <v>0.40550000000000003</v>
      </c>
      <c r="I172" s="20">
        <v>0.46229999999999999</v>
      </c>
      <c r="J172" s="20">
        <v>0.51680000000000004</v>
      </c>
      <c r="K172" s="20">
        <v>0.56920000000000004</v>
      </c>
      <c r="L172" s="20">
        <v>0.61990000000000001</v>
      </c>
      <c r="M172" s="20">
        <v>0.66930000000000001</v>
      </c>
      <c r="N172" s="20">
        <v>0.71760000000000002</v>
      </c>
      <c r="O172" s="20">
        <v>0.76529999999999998</v>
      </c>
      <c r="P172" s="20">
        <v>0.81259999999999999</v>
      </c>
      <c r="Q172" s="20">
        <v>0.8599</v>
      </c>
      <c r="R172" s="20">
        <v>0.9073</v>
      </c>
      <c r="S172" s="20">
        <v>0.95520000000000005</v>
      </c>
      <c r="T172" s="20">
        <v>1.0035000000000001</v>
      </c>
      <c r="U172" s="20">
        <v>1.0525</v>
      </c>
      <c r="V172" s="20">
        <v>1.1022000000000001</v>
      </c>
      <c r="W172"/>
      <c r="X172"/>
      <c r="Y172"/>
      <c r="Z172"/>
    </row>
    <row r="173" spans="1:26" x14ac:dyDescent="0.2">
      <c r="A173" s="19">
        <v>0.16700000000000001</v>
      </c>
      <c r="B173" s="20">
        <v>0</v>
      </c>
      <c r="C173" s="20">
        <v>7.6300000000000007E-2</v>
      </c>
      <c r="D173" s="20">
        <v>0.1489</v>
      </c>
      <c r="E173" s="20">
        <v>0.21790000000000001</v>
      </c>
      <c r="F173" s="20">
        <v>0.28360000000000002</v>
      </c>
      <c r="G173" s="20">
        <v>0.34599999999999997</v>
      </c>
      <c r="H173" s="20">
        <v>0.40560000000000002</v>
      </c>
      <c r="I173" s="20">
        <v>0.46250000000000002</v>
      </c>
      <c r="J173" s="20">
        <v>0.51700000000000002</v>
      </c>
      <c r="K173" s="20">
        <v>0.5696</v>
      </c>
      <c r="L173" s="20">
        <v>0.62039999999999995</v>
      </c>
      <c r="M173" s="20">
        <v>0.66979999999999995</v>
      </c>
      <c r="N173" s="20">
        <v>0.71830000000000005</v>
      </c>
      <c r="O173" s="20">
        <v>0.7661</v>
      </c>
      <c r="P173" s="20">
        <v>0.8135</v>
      </c>
      <c r="Q173" s="20">
        <v>0.8609</v>
      </c>
      <c r="R173" s="20">
        <v>0.90839999999999999</v>
      </c>
      <c r="S173" s="20">
        <v>0.95630000000000004</v>
      </c>
      <c r="T173" s="20">
        <v>1.0047999999999999</v>
      </c>
      <c r="U173" s="20">
        <v>1.0538000000000001</v>
      </c>
      <c r="V173" s="20">
        <v>1.1034999999999999</v>
      </c>
      <c r="W173"/>
      <c r="X173"/>
      <c r="Y173"/>
      <c r="Z173"/>
    </row>
    <row r="174" spans="1:26" x14ac:dyDescent="0.2">
      <c r="A174" s="19">
        <v>0.16800000000000001</v>
      </c>
      <c r="B174" s="20">
        <v>0</v>
      </c>
      <c r="C174" s="20">
        <v>7.6300000000000007E-2</v>
      </c>
      <c r="D174" s="20">
        <v>0.1489</v>
      </c>
      <c r="E174" s="20">
        <v>0.21790000000000001</v>
      </c>
      <c r="F174" s="20">
        <v>0.28360000000000002</v>
      </c>
      <c r="G174" s="20">
        <v>0.34610000000000002</v>
      </c>
      <c r="H174" s="20">
        <v>0.40570000000000001</v>
      </c>
      <c r="I174" s="20">
        <v>0.4627</v>
      </c>
      <c r="J174" s="20">
        <v>0.51729999999999998</v>
      </c>
      <c r="K174" s="20">
        <v>0.56989999999999996</v>
      </c>
      <c r="L174" s="20">
        <v>0.62080000000000002</v>
      </c>
      <c r="M174" s="20">
        <v>0.6704</v>
      </c>
      <c r="N174" s="20">
        <v>0.71899999999999997</v>
      </c>
      <c r="O174" s="20">
        <v>0.76690000000000003</v>
      </c>
      <c r="P174" s="20">
        <v>0.8145</v>
      </c>
      <c r="Q174" s="20">
        <v>0.8619</v>
      </c>
      <c r="R174" s="20">
        <v>0.90949999999999998</v>
      </c>
      <c r="S174" s="20">
        <v>0.95750000000000002</v>
      </c>
      <c r="T174" s="20">
        <v>1.006</v>
      </c>
      <c r="U174" s="20">
        <v>1.0549999999999999</v>
      </c>
      <c r="V174" s="20">
        <v>1.1047</v>
      </c>
      <c r="W174"/>
      <c r="X174"/>
      <c r="Y174"/>
      <c r="Z174"/>
    </row>
    <row r="175" spans="1:26" x14ac:dyDescent="0.2">
      <c r="A175" s="19">
        <v>0.16900000000000001</v>
      </c>
      <c r="B175" s="20">
        <v>0</v>
      </c>
      <c r="C175" s="20">
        <v>7.6300000000000007E-2</v>
      </c>
      <c r="D175" s="20">
        <v>0.1489</v>
      </c>
      <c r="E175" s="20">
        <v>0.21790000000000001</v>
      </c>
      <c r="F175" s="20">
        <v>0.28360000000000002</v>
      </c>
      <c r="G175" s="20">
        <v>0.34620000000000001</v>
      </c>
      <c r="H175" s="20">
        <v>0.40579999999999999</v>
      </c>
      <c r="I175" s="20">
        <v>0.46289999999999998</v>
      </c>
      <c r="J175" s="20">
        <v>0.51759999999999995</v>
      </c>
      <c r="K175" s="20">
        <v>0.57030000000000003</v>
      </c>
      <c r="L175" s="20">
        <v>0.62129999999999996</v>
      </c>
      <c r="M175" s="20">
        <v>0.67100000000000004</v>
      </c>
      <c r="N175" s="20">
        <v>0.71970000000000001</v>
      </c>
      <c r="O175" s="20">
        <v>0.76770000000000005</v>
      </c>
      <c r="P175" s="20">
        <v>0.81540000000000001</v>
      </c>
      <c r="Q175" s="20">
        <v>0.8629</v>
      </c>
      <c r="R175" s="20">
        <v>0.91059999999999997</v>
      </c>
      <c r="S175" s="20">
        <v>0.9587</v>
      </c>
      <c r="T175" s="20">
        <v>1.0072000000000001</v>
      </c>
      <c r="U175" s="20">
        <v>1.0563</v>
      </c>
      <c r="V175" s="20">
        <v>1.1060000000000001</v>
      </c>
      <c r="W175"/>
      <c r="X175"/>
      <c r="Y175"/>
      <c r="Z175"/>
    </row>
    <row r="176" spans="1:26" x14ac:dyDescent="0.2">
      <c r="A176" s="19">
        <v>0.17</v>
      </c>
      <c r="B176" s="20">
        <v>0</v>
      </c>
      <c r="C176" s="20">
        <v>7.6300000000000007E-2</v>
      </c>
      <c r="D176" s="20">
        <v>0.1489</v>
      </c>
      <c r="E176" s="20">
        <v>0.21790000000000001</v>
      </c>
      <c r="F176" s="20">
        <v>0.28360000000000002</v>
      </c>
      <c r="G176" s="20">
        <v>0.34620000000000001</v>
      </c>
      <c r="H176" s="20">
        <v>0.40589999999999998</v>
      </c>
      <c r="I176" s="20">
        <v>0.46300000000000002</v>
      </c>
      <c r="J176" s="20">
        <v>0.51780000000000004</v>
      </c>
      <c r="K176" s="20">
        <v>0.5706</v>
      </c>
      <c r="L176" s="20">
        <v>0.62180000000000002</v>
      </c>
      <c r="M176" s="20">
        <v>0.67159999999999997</v>
      </c>
      <c r="N176" s="20">
        <v>0.72040000000000004</v>
      </c>
      <c r="O176" s="20">
        <v>0.76849999999999996</v>
      </c>
      <c r="P176" s="20">
        <v>0.81630000000000003</v>
      </c>
      <c r="Q176" s="20">
        <v>0.8639</v>
      </c>
      <c r="R176" s="20">
        <v>0.91169999999999995</v>
      </c>
      <c r="S176" s="20">
        <v>0.95979999999999999</v>
      </c>
      <c r="T176" s="20">
        <v>1.0084</v>
      </c>
      <c r="U176" s="20">
        <v>1.0575000000000001</v>
      </c>
      <c r="V176" s="20">
        <v>1.1072</v>
      </c>
      <c r="W176"/>
      <c r="X176"/>
      <c r="Y176"/>
      <c r="Z176"/>
    </row>
    <row r="177" spans="1:26" x14ac:dyDescent="0.2">
      <c r="A177" s="19">
        <v>0.17100000000000001</v>
      </c>
      <c r="B177" s="20">
        <v>0</v>
      </c>
      <c r="C177" s="20">
        <v>7.6300000000000007E-2</v>
      </c>
      <c r="D177" s="20">
        <v>0.1489</v>
      </c>
      <c r="E177" s="20">
        <v>0.218</v>
      </c>
      <c r="F177" s="20">
        <v>0.28370000000000001</v>
      </c>
      <c r="G177" s="20">
        <v>0.3463</v>
      </c>
      <c r="H177" s="20">
        <v>0.40610000000000002</v>
      </c>
      <c r="I177" s="20">
        <v>0.4632</v>
      </c>
      <c r="J177" s="20">
        <v>0.5181</v>
      </c>
      <c r="K177" s="20">
        <v>0.57099999999999995</v>
      </c>
      <c r="L177" s="20">
        <v>0.62229999999999996</v>
      </c>
      <c r="M177" s="20">
        <v>0.67220000000000002</v>
      </c>
      <c r="N177" s="20">
        <v>0.72109999999999996</v>
      </c>
      <c r="O177" s="20">
        <v>0.76929999999999998</v>
      </c>
      <c r="P177" s="20">
        <v>0.81720000000000004</v>
      </c>
      <c r="Q177" s="20">
        <v>0.86499999999999999</v>
      </c>
      <c r="R177" s="20">
        <v>0.91279999999999994</v>
      </c>
      <c r="S177" s="20">
        <v>0.96099999999999997</v>
      </c>
      <c r="T177" s="20">
        <v>1.0096000000000001</v>
      </c>
      <c r="U177" s="20">
        <v>1.0587</v>
      </c>
      <c r="V177" s="20">
        <v>1.1084000000000001</v>
      </c>
      <c r="W177"/>
      <c r="X177"/>
      <c r="Y177"/>
      <c r="Z177"/>
    </row>
    <row r="178" spans="1:26" x14ac:dyDescent="0.2">
      <c r="A178" s="19">
        <v>0.17199999999999999</v>
      </c>
      <c r="B178" s="20">
        <v>0</v>
      </c>
      <c r="C178" s="20">
        <v>7.6300000000000007E-2</v>
      </c>
      <c r="D178" s="20">
        <v>0.1489</v>
      </c>
      <c r="E178" s="20">
        <v>0.218</v>
      </c>
      <c r="F178" s="20">
        <v>0.28370000000000001</v>
      </c>
      <c r="G178" s="20">
        <v>0.34639999999999999</v>
      </c>
      <c r="H178" s="20">
        <v>0.40620000000000001</v>
      </c>
      <c r="I178" s="20">
        <v>0.46339999999999998</v>
      </c>
      <c r="J178" s="20">
        <v>0.51839999999999997</v>
      </c>
      <c r="K178" s="20">
        <v>0.57140000000000002</v>
      </c>
      <c r="L178" s="20">
        <v>0.62270000000000003</v>
      </c>
      <c r="M178" s="20">
        <v>0.67279999999999995</v>
      </c>
      <c r="N178" s="20">
        <v>0.7218</v>
      </c>
      <c r="O178" s="20">
        <v>0.7702</v>
      </c>
      <c r="P178" s="20">
        <v>0.81810000000000005</v>
      </c>
      <c r="Q178" s="20">
        <v>0.86599999999999999</v>
      </c>
      <c r="R178" s="20">
        <v>0.91390000000000005</v>
      </c>
      <c r="S178" s="20">
        <v>0.96209999999999996</v>
      </c>
      <c r="T178" s="20">
        <v>1.0107999999999999</v>
      </c>
      <c r="U178" s="20">
        <v>1.0599000000000001</v>
      </c>
      <c r="V178" s="20">
        <v>1.1096999999999999</v>
      </c>
      <c r="W178"/>
      <c r="X178"/>
      <c r="Y178"/>
      <c r="Z178"/>
    </row>
    <row r="179" spans="1:26" x14ac:dyDescent="0.2">
      <c r="A179" s="19">
        <v>0.17299999999999999</v>
      </c>
      <c r="B179" s="20">
        <v>0</v>
      </c>
      <c r="C179" s="20">
        <v>7.6300000000000007E-2</v>
      </c>
      <c r="D179" s="20">
        <v>0.1489</v>
      </c>
      <c r="E179" s="20">
        <v>0.218</v>
      </c>
      <c r="F179" s="20">
        <v>0.2838</v>
      </c>
      <c r="G179" s="20">
        <v>0.34649999999999997</v>
      </c>
      <c r="H179" s="20">
        <v>0.40639999999999998</v>
      </c>
      <c r="I179" s="20">
        <v>0.4637</v>
      </c>
      <c r="J179" s="20">
        <v>0.51870000000000005</v>
      </c>
      <c r="K179" s="20">
        <v>0.57179999999999997</v>
      </c>
      <c r="L179" s="20">
        <v>0.62319999999999998</v>
      </c>
      <c r="M179" s="20">
        <v>0.6734</v>
      </c>
      <c r="N179" s="20">
        <v>0.72250000000000003</v>
      </c>
      <c r="O179" s="20">
        <v>0.77100000000000002</v>
      </c>
      <c r="P179" s="20">
        <v>0.81899999999999995</v>
      </c>
      <c r="Q179" s="20">
        <v>0.8669</v>
      </c>
      <c r="R179" s="20">
        <v>0.91500000000000004</v>
      </c>
      <c r="S179" s="20">
        <v>0.96330000000000005</v>
      </c>
      <c r="T179" s="20">
        <v>1.0119</v>
      </c>
      <c r="U179" s="20">
        <v>1.0610999999999999</v>
      </c>
      <c r="V179" s="20">
        <v>1.1109</v>
      </c>
      <c r="W179"/>
      <c r="X179"/>
      <c r="Y179"/>
      <c r="Z179"/>
    </row>
    <row r="180" spans="1:26" x14ac:dyDescent="0.2">
      <c r="A180" s="19">
        <v>0.17399999999999999</v>
      </c>
      <c r="B180" s="20">
        <v>0</v>
      </c>
      <c r="C180" s="20">
        <v>7.6300000000000007E-2</v>
      </c>
      <c r="D180" s="20">
        <v>0.1489</v>
      </c>
      <c r="E180" s="20">
        <v>0.218</v>
      </c>
      <c r="F180" s="20">
        <v>0.2838</v>
      </c>
      <c r="G180" s="20">
        <v>0.34660000000000002</v>
      </c>
      <c r="H180" s="20">
        <v>0.40649999999999997</v>
      </c>
      <c r="I180" s="20">
        <v>0.46389999999999998</v>
      </c>
      <c r="J180" s="20">
        <v>0.51900000000000002</v>
      </c>
      <c r="K180" s="20">
        <v>0.57220000000000004</v>
      </c>
      <c r="L180" s="20">
        <v>0.62370000000000003</v>
      </c>
      <c r="M180" s="20">
        <v>0.67400000000000004</v>
      </c>
      <c r="N180" s="20">
        <v>0.72319999999999995</v>
      </c>
      <c r="O180" s="20">
        <v>0.77180000000000004</v>
      </c>
      <c r="P180" s="20">
        <v>0.81989999999999996</v>
      </c>
      <c r="Q180" s="20">
        <v>0.8679</v>
      </c>
      <c r="R180" s="20">
        <v>0.91600000000000004</v>
      </c>
      <c r="S180" s="20">
        <v>0.96440000000000003</v>
      </c>
      <c r="T180" s="20">
        <v>1.0130999999999999</v>
      </c>
      <c r="U180" s="20">
        <v>1.0623</v>
      </c>
      <c r="V180" s="20">
        <v>1.1121000000000001</v>
      </c>
      <c r="W180"/>
      <c r="X180"/>
      <c r="Y180"/>
      <c r="Z180"/>
    </row>
    <row r="181" spans="1:26" x14ac:dyDescent="0.2">
      <c r="A181" s="19">
        <v>0.17499999999999999</v>
      </c>
      <c r="B181" s="20">
        <v>0</v>
      </c>
      <c r="C181" s="20">
        <v>7.6300000000000007E-2</v>
      </c>
      <c r="D181" s="20">
        <v>0.1489</v>
      </c>
      <c r="E181" s="20">
        <v>0.21809999999999999</v>
      </c>
      <c r="F181" s="20">
        <v>0.28389999999999999</v>
      </c>
      <c r="G181" s="20">
        <v>0.34670000000000001</v>
      </c>
      <c r="H181" s="20">
        <v>0.40670000000000001</v>
      </c>
      <c r="I181" s="20">
        <v>0.46410000000000001</v>
      </c>
      <c r="J181" s="20">
        <v>0.51929999999999998</v>
      </c>
      <c r="K181" s="20">
        <v>0.5726</v>
      </c>
      <c r="L181" s="20">
        <v>0.62419999999999998</v>
      </c>
      <c r="M181" s="20">
        <v>0.67459999999999998</v>
      </c>
      <c r="N181" s="20">
        <v>0.72389999999999999</v>
      </c>
      <c r="O181" s="20">
        <v>0.77259999999999995</v>
      </c>
      <c r="P181" s="20">
        <v>0.82079999999999997</v>
      </c>
      <c r="Q181" s="20">
        <v>0.86890000000000001</v>
      </c>
      <c r="R181" s="20">
        <v>0.91710000000000003</v>
      </c>
      <c r="S181" s="20">
        <v>0.96550000000000002</v>
      </c>
      <c r="T181" s="20">
        <v>1.0143</v>
      </c>
      <c r="U181" s="20">
        <v>1.0634999999999999</v>
      </c>
      <c r="V181" s="20">
        <v>1.1133</v>
      </c>
      <c r="W181"/>
      <c r="X181"/>
      <c r="Y181"/>
      <c r="Z181"/>
    </row>
    <row r="182" spans="1:26" x14ac:dyDescent="0.2">
      <c r="A182" s="19">
        <v>0.17599999999999999</v>
      </c>
      <c r="B182" s="20">
        <v>0</v>
      </c>
      <c r="C182" s="20">
        <v>7.6300000000000007E-2</v>
      </c>
      <c r="D182" s="20">
        <v>0.14899999999999999</v>
      </c>
      <c r="E182" s="20">
        <v>0.21809999999999999</v>
      </c>
      <c r="F182" s="20">
        <v>0.28399999999999997</v>
      </c>
      <c r="G182" s="20">
        <v>0.3468</v>
      </c>
      <c r="H182" s="20">
        <v>0.40679999999999999</v>
      </c>
      <c r="I182" s="20">
        <v>0.46429999999999999</v>
      </c>
      <c r="J182" s="20">
        <v>0.51959999999999995</v>
      </c>
      <c r="K182" s="20">
        <v>0.57299999999999995</v>
      </c>
      <c r="L182" s="20">
        <v>0.62470000000000003</v>
      </c>
      <c r="M182" s="20">
        <v>0.67520000000000002</v>
      </c>
      <c r="N182" s="20">
        <v>0.72460000000000002</v>
      </c>
      <c r="O182" s="20">
        <v>0.77339999999999998</v>
      </c>
      <c r="P182" s="20">
        <v>0.82169999999999999</v>
      </c>
      <c r="Q182" s="20">
        <v>0.86990000000000001</v>
      </c>
      <c r="R182" s="20">
        <v>0.91820000000000002</v>
      </c>
      <c r="S182" s="20">
        <v>0.96660000000000001</v>
      </c>
      <c r="T182" s="20">
        <v>1.0155000000000001</v>
      </c>
      <c r="U182" s="20">
        <v>1.0647</v>
      </c>
      <c r="V182" s="20">
        <v>1.1145</v>
      </c>
      <c r="W182"/>
      <c r="X182"/>
      <c r="Y182"/>
      <c r="Z182"/>
    </row>
    <row r="183" spans="1:26" x14ac:dyDescent="0.2">
      <c r="A183" s="19">
        <v>0.17699999999999999</v>
      </c>
      <c r="B183" s="20">
        <v>0</v>
      </c>
      <c r="C183" s="20">
        <v>7.6300000000000007E-2</v>
      </c>
      <c r="D183" s="20">
        <v>0.14899999999999999</v>
      </c>
      <c r="E183" s="20">
        <v>0.21809999999999999</v>
      </c>
      <c r="F183" s="20">
        <v>0.28399999999999997</v>
      </c>
      <c r="G183" s="20">
        <v>0.34689999999999999</v>
      </c>
      <c r="H183" s="20">
        <v>0.40699999999999997</v>
      </c>
      <c r="I183" s="20">
        <v>0.46460000000000001</v>
      </c>
      <c r="J183" s="20">
        <v>0.51990000000000003</v>
      </c>
      <c r="K183" s="20">
        <v>0.57340000000000002</v>
      </c>
      <c r="L183" s="20">
        <v>0.62519999999999998</v>
      </c>
      <c r="M183" s="20">
        <v>0.67579999999999996</v>
      </c>
      <c r="N183" s="20">
        <v>0.72529999999999994</v>
      </c>
      <c r="O183" s="20">
        <v>0.7742</v>
      </c>
      <c r="P183" s="20">
        <v>0.8226</v>
      </c>
      <c r="Q183" s="20">
        <v>0.87090000000000001</v>
      </c>
      <c r="R183" s="20">
        <v>0.91920000000000002</v>
      </c>
      <c r="S183" s="20">
        <v>0.9677</v>
      </c>
      <c r="T183" s="20">
        <v>1.0165999999999999</v>
      </c>
      <c r="U183" s="20">
        <v>1.0659000000000001</v>
      </c>
      <c r="V183" s="20">
        <v>1.1156999999999999</v>
      </c>
      <c r="W183"/>
      <c r="X183"/>
      <c r="Y183"/>
      <c r="Z183"/>
    </row>
    <row r="184" spans="1:26" x14ac:dyDescent="0.2">
      <c r="A184" s="19">
        <v>0.17799999999999999</v>
      </c>
      <c r="B184" s="20">
        <v>0</v>
      </c>
      <c r="C184" s="20">
        <v>7.6399999999999996E-2</v>
      </c>
      <c r="D184" s="20">
        <v>0.14899999999999999</v>
      </c>
      <c r="E184" s="20">
        <v>0.21820000000000001</v>
      </c>
      <c r="F184" s="20">
        <v>0.28410000000000002</v>
      </c>
      <c r="G184" s="20">
        <v>0.34699999999999998</v>
      </c>
      <c r="H184" s="20">
        <v>0.40720000000000001</v>
      </c>
      <c r="I184" s="20">
        <v>0.46479999999999999</v>
      </c>
      <c r="J184" s="20">
        <v>0.52029999999999998</v>
      </c>
      <c r="K184" s="20">
        <v>0.57379999999999998</v>
      </c>
      <c r="L184" s="20">
        <v>0.62570000000000003</v>
      </c>
      <c r="M184" s="20">
        <v>0.6764</v>
      </c>
      <c r="N184" s="20">
        <v>0.72599999999999998</v>
      </c>
      <c r="O184" s="20">
        <v>0.77500000000000002</v>
      </c>
      <c r="P184" s="20">
        <v>0.82350000000000001</v>
      </c>
      <c r="Q184" s="20">
        <v>0.87190000000000001</v>
      </c>
      <c r="R184" s="20">
        <v>0.92030000000000001</v>
      </c>
      <c r="S184" s="20">
        <v>0.96879999999999999</v>
      </c>
      <c r="T184" s="20">
        <v>1.0178</v>
      </c>
      <c r="U184" s="20">
        <v>1.0670999999999999</v>
      </c>
      <c r="V184" s="20">
        <v>1.1169</v>
      </c>
      <c r="W184"/>
      <c r="X184"/>
      <c r="Y184"/>
      <c r="Z184"/>
    </row>
    <row r="185" spans="1:26" x14ac:dyDescent="0.2">
      <c r="A185" s="19">
        <v>0.17899999999999999</v>
      </c>
      <c r="B185" s="20">
        <v>0</v>
      </c>
      <c r="C185" s="20">
        <v>7.6399999999999996E-2</v>
      </c>
      <c r="D185" s="20">
        <v>0.14899999999999999</v>
      </c>
      <c r="E185" s="20">
        <v>0.21820000000000001</v>
      </c>
      <c r="F185" s="20">
        <v>0.28420000000000001</v>
      </c>
      <c r="G185" s="20">
        <v>0.34720000000000001</v>
      </c>
      <c r="H185" s="20">
        <v>0.40739999999999998</v>
      </c>
      <c r="I185" s="20">
        <v>0.46510000000000001</v>
      </c>
      <c r="J185" s="20">
        <v>0.52059999999999995</v>
      </c>
      <c r="K185" s="20">
        <v>0.57420000000000004</v>
      </c>
      <c r="L185" s="20">
        <v>0.62619999999999998</v>
      </c>
      <c r="M185" s="20">
        <v>0.67700000000000005</v>
      </c>
      <c r="N185" s="20">
        <v>0.72670000000000001</v>
      </c>
      <c r="O185" s="20">
        <v>0.77580000000000005</v>
      </c>
      <c r="P185" s="20">
        <v>0.82440000000000002</v>
      </c>
      <c r="Q185" s="20">
        <v>0.87290000000000001</v>
      </c>
      <c r="R185" s="20">
        <v>0.92130000000000001</v>
      </c>
      <c r="S185" s="20">
        <v>0.97</v>
      </c>
      <c r="T185" s="20">
        <v>1.0188999999999999</v>
      </c>
      <c r="U185" s="20">
        <v>1.0683</v>
      </c>
      <c r="V185" s="20">
        <v>1.1180000000000001</v>
      </c>
      <c r="W185"/>
      <c r="X185"/>
      <c r="Y185"/>
      <c r="Z185"/>
    </row>
    <row r="186" spans="1:26" x14ac:dyDescent="0.2">
      <c r="A186" s="19">
        <v>0.18</v>
      </c>
      <c r="B186" s="20">
        <v>0</v>
      </c>
      <c r="C186" s="20">
        <v>7.6399999999999996E-2</v>
      </c>
      <c r="D186" s="20">
        <v>0.14910000000000001</v>
      </c>
      <c r="E186" s="20">
        <v>0.21829999999999999</v>
      </c>
      <c r="F186" s="20">
        <v>0.2843</v>
      </c>
      <c r="G186" s="20">
        <v>0.3473</v>
      </c>
      <c r="H186" s="20">
        <v>0.40749999999999997</v>
      </c>
      <c r="I186" s="20">
        <v>0.46529999999999999</v>
      </c>
      <c r="J186" s="20">
        <v>0.52090000000000003</v>
      </c>
      <c r="K186" s="20">
        <v>0.5746</v>
      </c>
      <c r="L186" s="20">
        <v>0.62680000000000002</v>
      </c>
      <c r="M186" s="20">
        <v>0.67759999999999998</v>
      </c>
      <c r="N186" s="20">
        <v>0.72740000000000005</v>
      </c>
      <c r="O186" s="20">
        <v>0.77659999999999996</v>
      </c>
      <c r="P186" s="20">
        <v>0.82530000000000003</v>
      </c>
      <c r="Q186" s="20">
        <v>0.87380000000000002</v>
      </c>
      <c r="R186" s="20">
        <v>0.9224</v>
      </c>
      <c r="S186" s="20">
        <v>0.97109999999999996</v>
      </c>
      <c r="T186" s="20">
        <v>1.02</v>
      </c>
      <c r="U186" s="20">
        <v>1.0693999999999999</v>
      </c>
      <c r="V186" s="20">
        <v>1.1192</v>
      </c>
      <c r="W186"/>
      <c r="X186"/>
      <c r="Y186"/>
      <c r="Z186"/>
    </row>
    <row r="187" spans="1:26" x14ac:dyDescent="0.2">
      <c r="A187" s="19">
        <v>0.18099999999999999</v>
      </c>
      <c r="B187" s="20">
        <v>0</v>
      </c>
      <c r="C187" s="20">
        <v>7.6399999999999996E-2</v>
      </c>
      <c r="D187" s="20">
        <v>0.14910000000000001</v>
      </c>
      <c r="E187" s="20">
        <v>0.21840000000000001</v>
      </c>
      <c r="F187" s="20">
        <v>0.28439999999999999</v>
      </c>
      <c r="G187" s="20">
        <v>0.34739999999999999</v>
      </c>
      <c r="H187" s="20">
        <v>0.40770000000000001</v>
      </c>
      <c r="I187" s="20">
        <v>0.46560000000000001</v>
      </c>
      <c r="J187" s="20">
        <v>0.52129999999999999</v>
      </c>
      <c r="K187" s="20">
        <v>0.57509999999999994</v>
      </c>
      <c r="L187" s="20">
        <v>0.62729999999999997</v>
      </c>
      <c r="M187" s="20">
        <v>0.67820000000000003</v>
      </c>
      <c r="N187" s="20">
        <v>0.72819999999999996</v>
      </c>
      <c r="O187" s="20">
        <v>0.77739999999999998</v>
      </c>
      <c r="P187" s="20">
        <v>0.82620000000000005</v>
      </c>
      <c r="Q187" s="20">
        <v>0.87480000000000002</v>
      </c>
      <c r="R187" s="20">
        <v>0.9234</v>
      </c>
      <c r="S187" s="20">
        <v>0.97209999999999996</v>
      </c>
      <c r="T187" s="20">
        <v>1.0212000000000001</v>
      </c>
      <c r="U187" s="20">
        <v>1.0706</v>
      </c>
      <c r="V187" s="20">
        <v>1.1204000000000001</v>
      </c>
      <c r="W187"/>
      <c r="X187"/>
      <c r="Y187"/>
      <c r="Z187"/>
    </row>
    <row r="188" spans="1:26" x14ac:dyDescent="0.2">
      <c r="A188" s="19">
        <v>0.182</v>
      </c>
      <c r="B188" s="20">
        <v>0</v>
      </c>
      <c r="C188" s="20">
        <v>7.6399999999999996E-2</v>
      </c>
      <c r="D188" s="20">
        <v>0.14910000000000001</v>
      </c>
      <c r="E188" s="20">
        <v>0.21840000000000001</v>
      </c>
      <c r="F188" s="20">
        <v>0.28449999999999998</v>
      </c>
      <c r="G188" s="20">
        <v>0.34760000000000002</v>
      </c>
      <c r="H188" s="20">
        <v>0.40789999999999998</v>
      </c>
      <c r="I188" s="20">
        <v>0.46589999999999998</v>
      </c>
      <c r="J188" s="20">
        <v>0.52159999999999995</v>
      </c>
      <c r="K188" s="20">
        <v>0.57550000000000001</v>
      </c>
      <c r="L188" s="20">
        <v>0.62780000000000002</v>
      </c>
      <c r="M188" s="20">
        <v>0.67879999999999996</v>
      </c>
      <c r="N188" s="20">
        <v>0.72889999999999999</v>
      </c>
      <c r="O188" s="20">
        <v>0.7782</v>
      </c>
      <c r="P188" s="20">
        <v>0.82709999999999995</v>
      </c>
      <c r="Q188" s="20">
        <v>0.87580000000000002</v>
      </c>
      <c r="R188" s="20">
        <v>0.9244</v>
      </c>
      <c r="S188" s="20">
        <v>0.97319999999999995</v>
      </c>
      <c r="T188" s="20">
        <v>1.0223</v>
      </c>
      <c r="U188" s="20">
        <v>1.0717000000000001</v>
      </c>
      <c r="V188" s="20">
        <v>1.1214999999999999</v>
      </c>
      <c r="W188"/>
      <c r="X188"/>
      <c r="Y188"/>
      <c r="Z188"/>
    </row>
    <row r="189" spans="1:26" x14ac:dyDescent="0.2">
      <c r="A189" s="19">
        <v>0.183</v>
      </c>
      <c r="B189" s="20">
        <v>0</v>
      </c>
      <c r="C189" s="20">
        <v>7.6399999999999996E-2</v>
      </c>
      <c r="D189" s="20">
        <v>0.1492</v>
      </c>
      <c r="E189" s="20">
        <v>0.2185</v>
      </c>
      <c r="F189" s="20">
        <v>0.28460000000000002</v>
      </c>
      <c r="G189" s="20">
        <v>0.34770000000000001</v>
      </c>
      <c r="H189" s="20">
        <v>0.40810000000000002</v>
      </c>
      <c r="I189" s="20">
        <v>0.46610000000000001</v>
      </c>
      <c r="J189" s="20">
        <v>0.52200000000000002</v>
      </c>
      <c r="K189" s="20">
        <v>0.57589999999999997</v>
      </c>
      <c r="L189" s="20">
        <v>0.62829999999999997</v>
      </c>
      <c r="M189" s="20">
        <v>0.6794</v>
      </c>
      <c r="N189" s="20">
        <v>0.72960000000000003</v>
      </c>
      <c r="O189" s="20">
        <v>0.77900000000000003</v>
      </c>
      <c r="P189" s="20">
        <v>0.82799999999999996</v>
      </c>
      <c r="Q189" s="20">
        <v>0.87670000000000003</v>
      </c>
      <c r="R189" s="20">
        <v>0.92549999999999999</v>
      </c>
      <c r="S189" s="20">
        <v>0.97430000000000005</v>
      </c>
      <c r="T189" s="20">
        <v>1.0234000000000001</v>
      </c>
      <c r="U189" s="20">
        <v>1.0729</v>
      </c>
      <c r="V189" s="20">
        <v>1.1227</v>
      </c>
      <c r="W189"/>
      <c r="X189"/>
      <c r="Y189"/>
      <c r="Z189"/>
    </row>
    <row r="190" spans="1:26" x14ac:dyDescent="0.2">
      <c r="A190" s="19">
        <v>0.184</v>
      </c>
      <c r="B190" s="20">
        <v>0</v>
      </c>
      <c r="C190" s="20">
        <v>7.6499999999999999E-2</v>
      </c>
      <c r="D190" s="20">
        <v>0.1492</v>
      </c>
      <c r="E190" s="20">
        <v>0.21859999999999999</v>
      </c>
      <c r="F190" s="20">
        <v>0.28470000000000001</v>
      </c>
      <c r="G190" s="20">
        <v>0.34789999999999999</v>
      </c>
      <c r="H190" s="20">
        <v>0.40839999999999999</v>
      </c>
      <c r="I190" s="20">
        <v>0.46639999999999998</v>
      </c>
      <c r="J190" s="20">
        <v>0.52229999999999999</v>
      </c>
      <c r="K190" s="20">
        <v>0.57640000000000002</v>
      </c>
      <c r="L190" s="20">
        <v>0.62890000000000001</v>
      </c>
      <c r="M190" s="20">
        <v>0.68010000000000004</v>
      </c>
      <c r="N190" s="20">
        <v>0.73029999999999995</v>
      </c>
      <c r="O190" s="20">
        <v>0.77980000000000005</v>
      </c>
      <c r="P190" s="20">
        <v>0.82889999999999997</v>
      </c>
      <c r="Q190" s="20">
        <v>0.87770000000000004</v>
      </c>
      <c r="R190" s="20">
        <v>0.92649999999999999</v>
      </c>
      <c r="S190" s="20">
        <v>0.97540000000000004</v>
      </c>
      <c r="T190" s="20">
        <v>1.0245</v>
      </c>
      <c r="U190" s="20">
        <v>1.0740000000000001</v>
      </c>
      <c r="V190" s="20">
        <v>1.1237999999999999</v>
      </c>
      <c r="W190"/>
      <c r="X190"/>
      <c r="Y190"/>
      <c r="Z190"/>
    </row>
    <row r="191" spans="1:26" x14ac:dyDescent="0.2">
      <c r="A191" s="19">
        <v>0.185</v>
      </c>
      <c r="B191" s="20">
        <v>0</v>
      </c>
      <c r="C191" s="20">
        <v>7.6499999999999999E-2</v>
      </c>
      <c r="D191" s="20">
        <v>0.14929999999999999</v>
      </c>
      <c r="E191" s="20">
        <v>0.21859999999999999</v>
      </c>
      <c r="F191" s="20">
        <v>0.2848</v>
      </c>
      <c r="G191" s="20">
        <v>0.34799999999999998</v>
      </c>
      <c r="H191" s="20">
        <v>0.40860000000000002</v>
      </c>
      <c r="I191" s="20">
        <v>0.4667</v>
      </c>
      <c r="J191" s="20">
        <v>0.52270000000000005</v>
      </c>
      <c r="K191" s="20">
        <v>0.57679999999999998</v>
      </c>
      <c r="L191" s="20">
        <v>0.62939999999999996</v>
      </c>
      <c r="M191" s="20">
        <v>0.68069999999999997</v>
      </c>
      <c r="N191" s="20">
        <v>0.73099999999999998</v>
      </c>
      <c r="O191" s="20">
        <v>0.78059999999999996</v>
      </c>
      <c r="P191" s="20">
        <v>0.82979999999999998</v>
      </c>
      <c r="Q191" s="20">
        <v>0.87870000000000004</v>
      </c>
      <c r="R191" s="20">
        <v>0.92749999999999999</v>
      </c>
      <c r="S191" s="20">
        <v>0.97650000000000003</v>
      </c>
      <c r="T191" s="20">
        <v>1.0257000000000001</v>
      </c>
      <c r="U191" s="20">
        <v>1.0750999999999999</v>
      </c>
      <c r="V191" s="20">
        <v>1.125</v>
      </c>
      <c r="W191"/>
      <c r="X191"/>
      <c r="Y191"/>
      <c r="Z191"/>
    </row>
    <row r="192" spans="1:26" x14ac:dyDescent="0.2">
      <c r="A192" s="19">
        <v>0.186</v>
      </c>
      <c r="B192" s="20">
        <v>0</v>
      </c>
      <c r="C192" s="20">
        <v>7.6499999999999999E-2</v>
      </c>
      <c r="D192" s="20">
        <v>0.14929999999999999</v>
      </c>
      <c r="E192" s="20">
        <v>0.21870000000000001</v>
      </c>
      <c r="F192" s="20">
        <v>0.28489999999999999</v>
      </c>
      <c r="G192" s="20">
        <v>0.34820000000000001</v>
      </c>
      <c r="H192" s="20">
        <v>0.4088</v>
      </c>
      <c r="I192" s="20">
        <v>0.46700000000000003</v>
      </c>
      <c r="J192" s="20">
        <v>0.52300000000000002</v>
      </c>
      <c r="K192" s="20">
        <v>0.57730000000000004</v>
      </c>
      <c r="L192" s="20">
        <v>0.62990000000000002</v>
      </c>
      <c r="M192" s="20">
        <v>0.68130000000000002</v>
      </c>
      <c r="N192" s="20">
        <v>0.73170000000000002</v>
      </c>
      <c r="O192" s="20">
        <v>0.78139999999999998</v>
      </c>
      <c r="P192" s="20">
        <v>0.8306</v>
      </c>
      <c r="Q192" s="20">
        <v>0.87960000000000005</v>
      </c>
      <c r="R192" s="20">
        <v>0.92849999999999999</v>
      </c>
      <c r="S192" s="20">
        <v>0.97750000000000004</v>
      </c>
      <c r="T192" s="20">
        <v>1.0267999999999999</v>
      </c>
      <c r="U192" s="20">
        <v>1.0763</v>
      </c>
      <c r="V192" s="20">
        <v>1.1261000000000001</v>
      </c>
      <c r="W192"/>
      <c r="X192"/>
      <c r="Y192"/>
      <c r="Z192"/>
    </row>
    <row r="193" spans="1:26" x14ac:dyDescent="0.2">
      <c r="A193" s="19">
        <v>0.187</v>
      </c>
      <c r="B193" s="20">
        <v>0</v>
      </c>
      <c r="C193" s="20">
        <v>7.6499999999999999E-2</v>
      </c>
      <c r="D193" s="20">
        <v>0.14940000000000001</v>
      </c>
      <c r="E193" s="20">
        <v>0.21879999999999999</v>
      </c>
      <c r="F193" s="20">
        <v>0.28510000000000002</v>
      </c>
      <c r="G193" s="20">
        <v>0.34839999999999999</v>
      </c>
      <c r="H193" s="20">
        <v>0.40899999999999997</v>
      </c>
      <c r="I193" s="20">
        <v>0.46729999999999999</v>
      </c>
      <c r="J193" s="20">
        <v>0.52339999999999998</v>
      </c>
      <c r="K193" s="20">
        <v>0.57769999999999999</v>
      </c>
      <c r="L193" s="20">
        <v>0.63049999999999995</v>
      </c>
      <c r="M193" s="20">
        <v>0.68189999999999995</v>
      </c>
      <c r="N193" s="20">
        <v>0.73240000000000005</v>
      </c>
      <c r="O193" s="20">
        <v>0.78220000000000001</v>
      </c>
      <c r="P193" s="20">
        <v>0.83150000000000002</v>
      </c>
      <c r="Q193" s="20">
        <v>0.88060000000000005</v>
      </c>
      <c r="R193" s="20">
        <v>0.92949999999999999</v>
      </c>
      <c r="S193" s="20">
        <v>0.97860000000000003</v>
      </c>
      <c r="T193" s="20">
        <v>1.0279</v>
      </c>
      <c r="U193" s="20">
        <v>1.0773999999999999</v>
      </c>
      <c r="V193" s="20">
        <v>1.1272</v>
      </c>
      <c r="W193"/>
      <c r="X193"/>
      <c r="Y193"/>
      <c r="Z193"/>
    </row>
    <row r="194" spans="1:26" x14ac:dyDescent="0.2">
      <c r="A194" s="19">
        <v>0.188</v>
      </c>
      <c r="B194" s="20">
        <v>0</v>
      </c>
      <c r="C194" s="20">
        <v>7.6499999999999999E-2</v>
      </c>
      <c r="D194" s="20">
        <v>0.14940000000000001</v>
      </c>
      <c r="E194" s="20">
        <v>0.21890000000000001</v>
      </c>
      <c r="F194" s="20">
        <v>0.28520000000000001</v>
      </c>
      <c r="G194" s="20">
        <v>0.34849999999999998</v>
      </c>
      <c r="H194" s="20">
        <v>0.4093</v>
      </c>
      <c r="I194" s="20">
        <v>0.46760000000000002</v>
      </c>
      <c r="J194" s="20">
        <v>0.52380000000000004</v>
      </c>
      <c r="K194" s="20">
        <v>0.57820000000000005</v>
      </c>
      <c r="L194" s="20">
        <v>0.63100000000000001</v>
      </c>
      <c r="M194" s="20">
        <v>0.68259999999999998</v>
      </c>
      <c r="N194" s="20">
        <v>0.73319999999999996</v>
      </c>
      <c r="O194" s="20">
        <v>0.78300000000000003</v>
      </c>
      <c r="P194" s="20">
        <v>0.83240000000000003</v>
      </c>
      <c r="Q194" s="20">
        <v>0.88149999999999995</v>
      </c>
      <c r="R194" s="20">
        <v>0.93059999999999998</v>
      </c>
      <c r="S194" s="20">
        <v>0.97970000000000002</v>
      </c>
      <c r="T194" s="20">
        <v>1.0289999999999999</v>
      </c>
      <c r="U194" s="20">
        <v>1.0785</v>
      </c>
      <c r="V194" s="20">
        <v>1.1284000000000001</v>
      </c>
      <c r="W194"/>
      <c r="X194"/>
      <c r="Y194"/>
      <c r="Z194"/>
    </row>
    <row r="195" spans="1:26" x14ac:dyDescent="0.2">
      <c r="A195" s="19">
        <v>0.189</v>
      </c>
      <c r="B195" s="20">
        <v>0</v>
      </c>
      <c r="C195" s="20">
        <v>7.6600000000000001E-2</v>
      </c>
      <c r="D195" s="20">
        <v>0.14949999999999999</v>
      </c>
      <c r="E195" s="20">
        <v>0.219</v>
      </c>
      <c r="F195" s="20">
        <v>0.2853</v>
      </c>
      <c r="G195" s="20">
        <v>0.34870000000000001</v>
      </c>
      <c r="H195" s="20">
        <v>0.40949999999999998</v>
      </c>
      <c r="I195" s="20">
        <v>0.46789999999999998</v>
      </c>
      <c r="J195" s="20">
        <v>0.5242</v>
      </c>
      <c r="K195" s="20">
        <v>0.5786</v>
      </c>
      <c r="L195" s="20">
        <v>0.63149999999999995</v>
      </c>
      <c r="M195" s="20">
        <v>0.68320000000000003</v>
      </c>
      <c r="N195" s="20">
        <v>0.7339</v>
      </c>
      <c r="O195" s="20">
        <v>0.78380000000000005</v>
      </c>
      <c r="P195" s="20">
        <v>0.83330000000000004</v>
      </c>
      <c r="Q195" s="20">
        <v>0.88249999999999995</v>
      </c>
      <c r="R195" s="20">
        <v>0.93159999999999998</v>
      </c>
      <c r="S195" s="20">
        <v>0.98070000000000002</v>
      </c>
      <c r="T195" s="20">
        <v>1.03</v>
      </c>
      <c r="U195" s="20">
        <v>1.0795999999999999</v>
      </c>
      <c r="V195" s="20">
        <v>1.1294999999999999</v>
      </c>
      <c r="W195"/>
      <c r="X195"/>
      <c r="Y195"/>
      <c r="Z195"/>
    </row>
    <row r="196" spans="1:26" x14ac:dyDescent="0.2">
      <c r="A196" s="19">
        <v>0.19</v>
      </c>
      <c r="B196" s="20">
        <v>0</v>
      </c>
      <c r="C196" s="20">
        <v>7.6600000000000001E-2</v>
      </c>
      <c r="D196" s="20">
        <v>0.14949999999999999</v>
      </c>
      <c r="E196" s="20">
        <v>0.21909999999999999</v>
      </c>
      <c r="F196" s="20">
        <v>0.28539999999999999</v>
      </c>
      <c r="G196" s="20">
        <v>0.34889999999999999</v>
      </c>
      <c r="H196" s="20">
        <v>0.40970000000000001</v>
      </c>
      <c r="I196" s="20">
        <v>0.46820000000000001</v>
      </c>
      <c r="J196" s="20">
        <v>0.52449999999999997</v>
      </c>
      <c r="K196" s="20">
        <v>0.57909999999999995</v>
      </c>
      <c r="L196" s="20">
        <v>0.6321</v>
      </c>
      <c r="M196" s="20">
        <v>0.68379999999999996</v>
      </c>
      <c r="N196" s="20">
        <v>0.73460000000000003</v>
      </c>
      <c r="O196" s="20">
        <v>0.78459999999999996</v>
      </c>
      <c r="P196" s="20">
        <v>0.83420000000000005</v>
      </c>
      <c r="Q196" s="20">
        <v>0.88339999999999996</v>
      </c>
      <c r="R196" s="20">
        <v>0.93259999999999998</v>
      </c>
      <c r="S196" s="20">
        <v>0.98180000000000001</v>
      </c>
      <c r="T196" s="20">
        <v>1.0310999999999999</v>
      </c>
      <c r="U196" s="20">
        <v>1.0807</v>
      </c>
      <c r="V196" s="20">
        <v>1.1306</v>
      </c>
      <c r="W196"/>
      <c r="X196"/>
      <c r="Y196"/>
      <c r="Z196"/>
    </row>
    <row r="197" spans="1:26" x14ac:dyDescent="0.2">
      <c r="A197" s="19">
        <v>0.191</v>
      </c>
      <c r="B197" s="20">
        <v>0</v>
      </c>
      <c r="C197" s="20">
        <v>7.6600000000000001E-2</v>
      </c>
      <c r="D197" s="20">
        <v>0.14960000000000001</v>
      </c>
      <c r="E197" s="20">
        <v>0.21920000000000001</v>
      </c>
      <c r="F197" s="20">
        <v>0.28560000000000002</v>
      </c>
      <c r="G197" s="20">
        <v>0.34910000000000002</v>
      </c>
      <c r="H197" s="20">
        <v>0.41</v>
      </c>
      <c r="I197" s="20">
        <v>0.46850000000000003</v>
      </c>
      <c r="J197" s="20">
        <v>0.52490000000000003</v>
      </c>
      <c r="K197" s="20">
        <v>0.57950000000000002</v>
      </c>
      <c r="L197" s="20">
        <v>0.63260000000000005</v>
      </c>
      <c r="M197" s="20">
        <v>0.6845</v>
      </c>
      <c r="N197" s="20">
        <v>0.73529999999999995</v>
      </c>
      <c r="O197" s="20">
        <v>0.78539999999999999</v>
      </c>
      <c r="P197" s="20">
        <v>0.83499999999999996</v>
      </c>
      <c r="Q197" s="20">
        <v>0.88439999999999996</v>
      </c>
      <c r="R197" s="20">
        <v>0.93359999999999999</v>
      </c>
      <c r="S197" s="20">
        <v>0.98280000000000001</v>
      </c>
      <c r="T197" s="20">
        <v>1.0322</v>
      </c>
      <c r="U197" s="20">
        <v>1.0818000000000001</v>
      </c>
      <c r="V197" s="20">
        <v>1.1316999999999999</v>
      </c>
      <c r="W197"/>
      <c r="X197"/>
      <c r="Y197"/>
      <c r="Z197"/>
    </row>
    <row r="198" spans="1:26" x14ac:dyDescent="0.2">
      <c r="A198" s="19">
        <v>0.192</v>
      </c>
      <c r="B198" s="20">
        <v>0</v>
      </c>
      <c r="C198" s="20">
        <v>7.6700000000000004E-2</v>
      </c>
      <c r="D198" s="20">
        <v>0.1497</v>
      </c>
      <c r="E198" s="20">
        <v>0.21929999999999999</v>
      </c>
      <c r="F198" s="20">
        <v>0.28570000000000001</v>
      </c>
      <c r="G198" s="20">
        <v>0.3493</v>
      </c>
      <c r="H198" s="20">
        <v>0.41020000000000001</v>
      </c>
      <c r="I198" s="20">
        <v>0.46879999999999999</v>
      </c>
      <c r="J198" s="20">
        <v>0.52529999999999999</v>
      </c>
      <c r="K198" s="20">
        <v>0.57999999999999996</v>
      </c>
      <c r="L198" s="20">
        <v>0.63319999999999999</v>
      </c>
      <c r="M198" s="20">
        <v>0.68510000000000004</v>
      </c>
      <c r="N198" s="20">
        <v>0.73599999999999999</v>
      </c>
      <c r="O198" s="20">
        <v>0.78620000000000001</v>
      </c>
      <c r="P198" s="20">
        <v>0.83589999999999998</v>
      </c>
      <c r="Q198" s="20">
        <v>0.88529999999999998</v>
      </c>
      <c r="R198" s="20">
        <v>0.93459999999999999</v>
      </c>
      <c r="S198" s="20">
        <v>0.9839</v>
      </c>
      <c r="T198" s="20">
        <v>1.0333000000000001</v>
      </c>
      <c r="U198" s="20">
        <v>1.0829</v>
      </c>
      <c r="V198" s="20">
        <v>1.1328</v>
      </c>
      <c r="W198"/>
      <c r="X198"/>
      <c r="Y198"/>
      <c r="Z198"/>
    </row>
    <row r="199" spans="1:26" x14ac:dyDescent="0.2">
      <c r="A199" s="19">
        <v>0.193</v>
      </c>
      <c r="B199" s="20">
        <v>0</v>
      </c>
      <c r="C199" s="20">
        <v>7.6700000000000004E-2</v>
      </c>
      <c r="D199" s="20">
        <v>0.1497</v>
      </c>
      <c r="E199" s="20">
        <v>0.21940000000000001</v>
      </c>
      <c r="F199" s="20">
        <v>0.28589999999999999</v>
      </c>
      <c r="G199" s="20">
        <v>0.34949999999999998</v>
      </c>
      <c r="H199" s="20">
        <v>0.41049999999999998</v>
      </c>
      <c r="I199" s="20">
        <v>0.46910000000000002</v>
      </c>
      <c r="J199" s="20">
        <v>0.52569999999999995</v>
      </c>
      <c r="K199" s="20">
        <v>0.58050000000000002</v>
      </c>
      <c r="L199" s="20">
        <v>0.63370000000000004</v>
      </c>
      <c r="M199" s="20">
        <v>0.68569999999999998</v>
      </c>
      <c r="N199" s="20">
        <v>0.73670000000000002</v>
      </c>
      <c r="O199" s="20">
        <v>0.78700000000000003</v>
      </c>
      <c r="P199" s="20">
        <v>0.83679999999999999</v>
      </c>
      <c r="Q199" s="20">
        <v>0.88619999999999999</v>
      </c>
      <c r="R199" s="20">
        <v>0.93559999999999999</v>
      </c>
      <c r="S199" s="20">
        <v>0.9849</v>
      </c>
      <c r="T199" s="20">
        <v>1.0344</v>
      </c>
      <c r="U199" s="20">
        <v>1.0840000000000001</v>
      </c>
      <c r="V199" s="20">
        <v>1.1338999999999999</v>
      </c>
      <c r="W199"/>
      <c r="X199"/>
      <c r="Y199"/>
      <c r="Z199"/>
    </row>
    <row r="200" spans="1:26" x14ac:dyDescent="0.2">
      <c r="A200" s="19">
        <v>0.19400000000000001</v>
      </c>
      <c r="B200" s="20">
        <v>0</v>
      </c>
      <c r="C200" s="20">
        <v>7.6700000000000004E-2</v>
      </c>
      <c r="D200" s="20">
        <v>0.14979999999999999</v>
      </c>
      <c r="E200" s="20">
        <v>0.2195</v>
      </c>
      <c r="F200" s="20">
        <v>0.28599999999999998</v>
      </c>
      <c r="G200" s="20">
        <v>0.34970000000000001</v>
      </c>
      <c r="H200" s="20">
        <v>0.41070000000000001</v>
      </c>
      <c r="I200" s="20">
        <v>0.46949999999999997</v>
      </c>
      <c r="J200" s="20">
        <v>0.52610000000000001</v>
      </c>
      <c r="K200" s="20">
        <v>0.58089999999999997</v>
      </c>
      <c r="L200" s="20">
        <v>0.63429999999999997</v>
      </c>
      <c r="M200" s="20">
        <v>0.68640000000000001</v>
      </c>
      <c r="N200" s="20">
        <v>0.73750000000000004</v>
      </c>
      <c r="O200" s="20">
        <v>0.78779999999999994</v>
      </c>
      <c r="P200" s="20">
        <v>0.83760000000000001</v>
      </c>
      <c r="Q200" s="20">
        <v>0.88719999999999999</v>
      </c>
      <c r="R200" s="20">
        <v>0.9365</v>
      </c>
      <c r="S200" s="20">
        <v>0.9859</v>
      </c>
      <c r="T200" s="20">
        <v>1.0354000000000001</v>
      </c>
      <c r="U200" s="20">
        <v>1.0851</v>
      </c>
      <c r="V200" s="20">
        <v>1.135</v>
      </c>
      <c r="W200"/>
      <c r="X200"/>
      <c r="Y200"/>
      <c r="Z200"/>
    </row>
    <row r="201" spans="1:26" x14ac:dyDescent="0.2">
      <c r="A201" s="19">
        <v>0.19500000000000001</v>
      </c>
      <c r="B201" s="20">
        <v>0</v>
      </c>
      <c r="C201" s="20">
        <v>7.6799999999999993E-2</v>
      </c>
      <c r="D201" s="20">
        <v>0.14990000000000001</v>
      </c>
      <c r="E201" s="20">
        <v>0.21959999999999999</v>
      </c>
      <c r="F201" s="20">
        <v>0.28620000000000001</v>
      </c>
      <c r="G201" s="20">
        <v>0.34989999999999999</v>
      </c>
      <c r="H201" s="20">
        <v>0.41099999999999998</v>
      </c>
      <c r="I201" s="20">
        <v>0.4698</v>
      </c>
      <c r="J201" s="20">
        <v>0.52649999999999997</v>
      </c>
      <c r="K201" s="20">
        <v>0.58140000000000003</v>
      </c>
      <c r="L201" s="20">
        <v>0.63480000000000003</v>
      </c>
      <c r="M201" s="20">
        <v>0.68700000000000006</v>
      </c>
      <c r="N201" s="20">
        <v>0.73819999999999997</v>
      </c>
      <c r="O201" s="20">
        <v>0.78859999999999997</v>
      </c>
      <c r="P201" s="20">
        <v>0.83850000000000002</v>
      </c>
      <c r="Q201" s="20">
        <v>0.8881</v>
      </c>
      <c r="R201" s="20">
        <v>0.9375</v>
      </c>
      <c r="S201" s="20">
        <v>0.98699999999999999</v>
      </c>
      <c r="T201" s="20">
        <v>1.0365</v>
      </c>
      <c r="U201" s="20">
        <v>1.0862000000000001</v>
      </c>
      <c r="V201" s="20">
        <v>1.1361000000000001</v>
      </c>
      <c r="W201"/>
      <c r="X201"/>
      <c r="Y201"/>
      <c r="Z201"/>
    </row>
    <row r="202" spans="1:26" x14ac:dyDescent="0.2">
      <c r="A202" s="19">
        <v>0.19600000000000001</v>
      </c>
      <c r="B202" s="20">
        <v>0</v>
      </c>
      <c r="C202" s="20">
        <v>7.6799999999999993E-2</v>
      </c>
      <c r="D202" s="20">
        <v>0.14990000000000001</v>
      </c>
      <c r="E202" s="20">
        <v>0.21970000000000001</v>
      </c>
      <c r="F202" s="20">
        <v>0.2863</v>
      </c>
      <c r="G202" s="20">
        <v>0.35010000000000002</v>
      </c>
      <c r="H202" s="20">
        <v>0.4113</v>
      </c>
      <c r="I202" s="20">
        <v>0.47010000000000002</v>
      </c>
      <c r="J202" s="20">
        <v>0.52690000000000003</v>
      </c>
      <c r="K202" s="20">
        <v>0.58189999999999997</v>
      </c>
      <c r="L202" s="20">
        <v>0.63539999999999996</v>
      </c>
      <c r="M202" s="20">
        <v>0.68759999999999999</v>
      </c>
      <c r="N202" s="20">
        <v>0.7389</v>
      </c>
      <c r="O202" s="20">
        <v>0.78939999999999999</v>
      </c>
      <c r="P202" s="20">
        <v>0.83940000000000003</v>
      </c>
      <c r="Q202" s="20">
        <v>0.88900000000000001</v>
      </c>
      <c r="R202" s="20">
        <v>0.9385</v>
      </c>
      <c r="S202" s="20">
        <v>0.98799999999999999</v>
      </c>
      <c r="T202" s="20">
        <v>1.0375000000000001</v>
      </c>
      <c r="U202" s="20">
        <v>1.0871999999999999</v>
      </c>
      <c r="V202" s="20">
        <v>1.1371</v>
      </c>
      <c r="W202"/>
      <c r="X202"/>
      <c r="Y202"/>
      <c r="Z202"/>
    </row>
    <row r="203" spans="1:26" x14ac:dyDescent="0.2">
      <c r="A203" s="19">
        <v>0.19700000000000001</v>
      </c>
      <c r="B203" s="20">
        <v>0</v>
      </c>
      <c r="C203" s="20">
        <v>7.6799999999999993E-2</v>
      </c>
      <c r="D203" s="20">
        <v>0.15</v>
      </c>
      <c r="E203" s="20">
        <v>0.2198</v>
      </c>
      <c r="F203" s="20">
        <v>0.28649999999999998</v>
      </c>
      <c r="G203" s="20">
        <v>0.3503</v>
      </c>
      <c r="H203" s="20">
        <v>0.41149999999999998</v>
      </c>
      <c r="I203" s="20">
        <v>0.47039999999999998</v>
      </c>
      <c r="J203" s="20">
        <v>0.52729999999999999</v>
      </c>
      <c r="K203" s="20">
        <v>0.58240000000000003</v>
      </c>
      <c r="L203" s="20">
        <v>0.63590000000000002</v>
      </c>
      <c r="M203" s="20">
        <v>0.68830000000000002</v>
      </c>
      <c r="N203" s="20">
        <v>0.73960000000000004</v>
      </c>
      <c r="O203" s="20">
        <v>0.79020000000000001</v>
      </c>
      <c r="P203" s="20">
        <v>0.84019999999999995</v>
      </c>
      <c r="Q203" s="20">
        <v>0.89</v>
      </c>
      <c r="R203" s="20">
        <v>0.9395</v>
      </c>
      <c r="S203" s="20">
        <v>0.98899999999999999</v>
      </c>
      <c r="T203" s="20">
        <v>1.0386</v>
      </c>
      <c r="U203" s="20">
        <v>1.0883</v>
      </c>
      <c r="V203" s="20">
        <v>1.1382000000000001</v>
      </c>
      <c r="W203"/>
      <c r="X203"/>
      <c r="Y203"/>
      <c r="Z203"/>
    </row>
    <row r="204" spans="1:26" x14ac:dyDescent="0.2">
      <c r="A204" s="19">
        <v>0.19800000000000001</v>
      </c>
      <c r="B204" s="20">
        <v>0</v>
      </c>
      <c r="C204" s="20">
        <v>7.6899999999999996E-2</v>
      </c>
      <c r="D204" s="20">
        <v>0.15010000000000001</v>
      </c>
      <c r="E204" s="20">
        <v>0.21990000000000001</v>
      </c>
      <c r="F204" s="20">
        <v>0.28670000000000001</v>
      </c>
      <c r="G204" s="20">
        <v>0.35049999999999998</v>
      </c>
      <c r="H204" s="20">
        <v>0.4118</v>
      </c>
      <c r="I204" s="20">
        <v>0.4708</v>
      </c>
      <c r="J204" s="20">
        <v>0.52769999999999995</v>
      </c>
      <c r="K204" s="20">
        <v>0.58289999999999997</v>
      </c>
      <c r="L204" s="20">
        <v>0.63649999999999995</v>
      </c>
      <c r="M204" s="20">
        <v>0.68889999999999996</v>
      </c>
      <c r="N204" s="20">
        <v>0.74029999999999996</v>
      </c>
      <c r="O204" s="20">
        <v>0.79100000000000004</v>
      </c>
      <c r="P204" s="20">
        <v>0.84109999999999996</v>
      </c>
      <c r="Q204" s="20">
        <v>0.89090000000000003</v>
      </c>
      <c r="R204" s="20">
        <v>0.9405</v>
      </c>
      <c r="S204" s="20">
        <v>0.99</v>
      </c>
      <c r="T204" s="20">
        <v>1.0396000000000001</v>
      </c>
      <c r="U204" s="20">
        <v>1.0893999999999999</v>
      </c>
      <c r="V204" s="20">
        <v>1.1393</v>
      </c>
      <c r="W204"/>
      <c r="X204"/>
      <c r="Y204"/>
      <c r="Z204"/>
    </row>
    <row r="205" spans="1:26" x14ac:dyDescent="0.2">
      <c r="A205" s="19">
        <v>0.19900000000000001</v>
      </c>
      <c r="B205" s="20">
        <v>0</v>
      </c>
      <c r="C205" s="20">
        <v>7.6899999999999996E-2</v>
      </c>
      <c r="D205" s="20">
        <v>0.1502</v>
      </c>
      <c r="E205" s="20">
        <v>0.22009999999999999</v>
      </c>
      <c r="F205" s="20">
        <v>0.2868</v>
      </c>
      <c r="G205" s="20">
        <v>0.35070000000000001</v>
      </c>
      <c r="H205" s="20">
        <v>0.41210000000000002</v>
      </c>
      <c r="I205" s="20">
        <v>0.47110000000000002</v>
      </c>
      <c r="J205" s="20">
        <v>0.52810000000000001</v>
      </c>
      <c r="K205" s="20">
        <v>0.58340000000000003</v>
      </c>
      <c r="L205" s="20">
        <v>0.6371</v>
      </c>
      <c r="M205" s="20">
        <v>0.68959999999999999</v>
      </c>
      <c r="N205" s="20">
        <v>0.74099999999999999</v>
      </c>
      <c r="O205" s="20">
        <v>0.79179999999999995</v>
      </c>
      <c r="P205" s="20">
        <v>0.84199999999999997</v>
      </c>
      <c r="Q205" s="20">
        <v>0.89180000000000004</v>
      </c>
      <c r="R205" s="20">
        <v>0.94140000000000001</v>
      </c>
      <c r="S205" s="20">
        <v>0.99099999999999999</v>
      </c>
      <c r="T205" s="20">
        <v>1.0407</v>
      </c>
      <c r="U205" s="20">
        <v>1.0904</v>
      </c>
      <c r="V205" s="20">
        <v>1.1404000000000001</v>
      </c>
      <c r="W205"/>
      <c r="X205"/>
      <c r="Y205"/>
      <c r="Z205"/>
    </row>
    <row r="206" spans="1:26" x14ac:dyDescent="0.2">
      <c r="A206" s="19">
        <v>0.2</v>
      </c>
      <c r="B206" s="20">
        <v>0</v>
      </c>
      <c r="C206" s="20">
        <v>7.6999999999999999E-2</v>
      </c>
      <c r="D206" s="20">
        <v>0.15029999999999999</v>
      </c>
      <c r="E206" s="20">
        <v>0.22020000000000001</v>
      </c>
      <c r="F206" s="20">
        <v>0.28699999999999998</v>
      </c>
      <c r="G206" s="20">
        <v>0.35099999999999998</v>
      </c>
      <c r="H206" s="20">
        <v>0.41239999999999999</v>
      </c>
      <c r="I206" s="20">
        <v>0.47149999999999997</v>
      </c>
      <c r="J206" s="20">
        <v>0.52849999999999997</v>
      </c>
      <c r="K206" s="20">
        <v>0.58379999999999999</v>
      </c>
      <c r="L206" s="20">
        <v>0.63759999999999994</v>
      </c>
      <c r="M206" s="20">
        <v>0.69020000000000004</v>
      </c>
      <c r="N206" s="20">
        <v>0.74180000000000001</v>
      </c>
      <c r="O206" s="20">
        <v>0.79259999999999997</v>
      </c>
      <c r="P206" s="20">
        <v>0.84279999999999999</v>
      </c>
      <c r="Q206" s="20">
        <v>0.89270000000000005</v>
      </c>
      <c r="R206" s="20">
        <v>0.94240000000000002</v>
      </c>
      <c r="S206" s="20">
        <v>0.99199999999999999</v>
      </c>
      <c r="T206" s="20">
        <v>1.0417000000000001</v>
      </c>
      <c r="U206" s="20">
        <v>1.0914999999999999</v>
      </c>
      <c r="V206" s="20">
        <v>1.1414</v>
      </c>
      <c r="W206"/>
      <c r="X206"/>
      <c r="Y206"/>
      <c r="Z206"/>
    </row>
    <row r="207" spans="1:26" x14ac:dyDescent="0.2">
      <c r="A207" s="19">
        <v>0.20100000000000001</v>
      </c>
      <c r="B207" s="20">
        <v>0</v>
      </c>
      <c r="C207" s="20">
        <v>7.6999999999999999E-2</v>
      </c>
      <c r="D207" s="20">
        <v>0.15029999999999999</v>
      </c>
      <c r="E207" s="20">
        <v>0.2203</v>
      </c>
      <c r="F207" s="20">
        <v>0.28720000000000001</v>
      </c>
      <c r="G207" s="20">
        <v>0.35120000000000001</v>
      </c>
      <c r="H207" s="20">
        <v>0.41270000000000001</v>
      </c>
      <c r="I207" s="20">
        <v>0.4718</v>
      </c>
      <c r="J207" s="20">
        <v>0.52900000000000003</v>
      </c>
      <c r="K207" s="20">
        <v>0.58430000000000004</v>
      </c>
      <c r="L207" s="20">
        <v>0.63819999999999999</v>
      </c>
      <c r="M207" s="20">
        <v>0.69079999999999997</v>
      </c>
      <c r="N207" s="20">
        <v>0.74250000000000005</v>
      </c>
      <c r="O207" s="20">
        <v>0.79339999999999999</v>
      </c>
      <c r="P207" s="20">
        <v>0.84370000000000001</v>
      </c>
      <c r="Q207" s="20">
        <v>0.89359999999999995</v>
      </c>
      <c r="R207" s="20">
        <v>0.94340000000000002</v>
      </c>
      <c r="S207" s="20">
        <v>0.99309999999999998</v>
      </c>
      <c r="T207" s="20">
        <v>1.0427999999999999</v>
      </c>
      <c r="U207" s="20">
        <v>1.0926</v>
      </c>
      <c r="V207" s="20">
        <v>1.1425000000000001</v>
      </c>
      <c r="W207"/>
      <c r="X207"/>
      <c r="Y207"/>
      <c r="Z207"/>
    </row>
    <row r="208" spans="1:26" x14ac:dyDescent="0.2">
      <c r="A208" s="19">
        <v>0.20200000000000001</v>
      </c>
      <c r="B208" s="20">
        <v>0</v>
      </c>
      <c r="C208" s="20">
        <v>7.6999999999999999E-2</v>
      </c>
      <c r="D208" s="20">
        <v>0.15040000000000001</v>
      </c>
      <c r="E208" s="20">
        <v>0.22040000000000001</v>
      </c>
      <c r="F208" s="20">
        <v>0.2873</v>
      </c>
      <c r="G208" s="20">
        <v>0.35139999999999999</v>
      </c>
      <c r="H208" s="20">
        <v>0.41289999999999999</v>
      </c>
      <c r="I208" s="20">
        <v>0.47220000000000001</v>
      </c>
      <c r="J208" s="20">
        <v>0.52939999999999998</v>
      </c>
      <c r="K208" s="20">
        <v>0.58479999999999999</v>
      </c>
      <c r="L208" s="20">
        <v>0.63880000000000003</v>
      </c>
      <c r="M208" s="20">
        <v>0.6915</v>
      </c>
      <c r="N208" s="20">
        <v>0.74319999999999997</v>
      </c>
      <c r="O208" s="20">
        <v>0.79410000000000003</v>
      </c>
      <c r="P208" s="20">
        <v>0.84450000000000003</v>
      </c>
      <c r="Q208" s="20">
        <v>0.89449999999999996</v>
      </c>
      <c r="R208" s="20">
        <v>0.94430000000000003</v>
      </c>
      <c r="S208" s="20">
        <v>0.99409999999999998</v>
      </c>
      <c r="T208" s="20">
        <v>1.0438000000000001</v>
      </c>
      <c r="U208" s="20">
        <v>1.0935999999999999</v>
      </c>
      <c r="V208" s="20">
        <v>1.1435</v>
      </c>
      <c r="W208"/>
      <c r="X208"/>
      <c r="Y208"/>
      <c r="Z208"/>
    </row>
    <row r="209" spans="1:26" x14ac:dyDescent="0.2">
      <c r="A209" s="19">
        <v>0.20300000000000001</v>
      </c>
      <c r="B209" s="20">
        <v>0</v>
      </c>
      <c r="C209" s="20">
        <v>7.7100000000000002E-2</v>
      </c>
      <c r="D209" s="20">
        <v>0.15049999999999999</v>
      </c>
      <c r="E209" s="20">
        <v>0.22059999999999999</v>
      </c>
      <c r="F209" s="20">
        <v>0.28749999999999998</v>
      </c>
      <c r="G209" s="20">
        <v>0.35170000000000001</v>
      </c>
      <c r="H209" s="20">
        <v>0.41320000000000001</v>
      </c>
      <c r="I209" s="20">
        <v>0.47249999999999998</v>
      </c>
      <c r="J209" s="20">
        <v>0.52980000000000005</v>
      </c>
      <c r="K209" s="20">
        <v>0.58530000000000004</v>
      </c>
      <c r="L209" s="20">
        <v>0.63929999999999998</v>
      </c>
      <c r="M209" s="20">
        <v>0.69210000000000005</v>
      </c>
      <c r="N209" s="20">
        <v>0.74390000000000001</v>
      </c>
      <c r="O209" s="20">
        <v>0.79490000000000005</v>
      </c>
      <c r="P209" s="20">
        <v>0.84540000000000004</v>
      </c>
      <c r="Q209" s="20">
        <v>0.89549999999999996</v>
      </c>
      <c r="R209" s="20">
        <v>0.94530000000000003</v>
      </c>
      <c r="S209" s="20">
        <v>0.99509999999999998</v>
      </c>
      <c r="T209" s="20">
        <v>1.0448</v>
      </c>
      <c r="U209" s="20">
        <v>1.0946</v>
      </c>
      <c r="V209" s="20">
        <v>1.1446000000000001</v>
      </c>
      <c r="W209"/>
      <c r="X209"/>
      <c r="Y209"/>
      <c r="Z209"/>
    </row>
    <row r="210" spans="1:26" x14ac:dyDescent="0.2">
      <c r="A210" s="19">
        <v>0.20399999999999999</v>
      </c>
      <c r="B210" s="20">
        <v>0</v>
      </c>
      <c r="C210" s="20">
        <v>7.7100000000000002E-2</v>
      </c>
      <c r="D210" s="20">
        <v>0.15060000000000001</v>
      </c>
      <c r="E210" s="20">
        <v>0.22070000000000001</v>
      </c>
      <c r="F210" s="20">
        <v>0.28770000000000001</v>
      </c>
      <c r="G210" s="20">
        <v>0.35189999999999999</v>
      </c>
      <c r="H210" s="20">
        <v>0.41349999999999998</v>
      </c>
      <c r="I210" s="20">
        <v>0.47289999999999999</v>
      </c>
      <c r="J210" s="20">
        <v>0.5302</v>
      </c>
      <c r="K210" s="20">
        <v>0.58579999999999999</v>
      </c>
      <c r="L210" s="20">
        <v>0.63990000000000002</v>
      </c>
      <c r="M210" s="20">
        <v>0.69279999999999997</v>
      </c>
      <c r="N210" s="20">
        <v>0.74460000000000004</v>
      </c>
      <c r="O210" s="20">
        <v>0.79569999999999996</v>
      </c>
      <c r="P210" s="20">
        <v>0.84619999999999995</v>
      </c>
      <c r="Q210" s="20">
        <v>0.89639999999999997</v>
      </c>
      <c r="R210" s="20">
        <v>0.94630000000000003</v>
      </c>
      <c r="S210" s="20">
        <v>0.99609999999999999</v>
      </c>
      <c r="T210" s="20">
        <v>1.0458000000000001</v>
      </c>
      <c r="U210" s="20">
        <v>1.0956999999999999</v>
      </c>
      <c r="V210" s="20">
        <v>1.1456</v>
      </c>
      <c r="W210"/>
      <c r="X210"/>
      <c r="Y210"/>
      <c r="Z210"/>
    </row>
    <row r="211" spans="1:26" x14ac:dyDescent="0.2">
      <c r="A211" s="19">
        <v>0.20499999999999999</v>
      </c>
      <c r="B211" s="20">
        <v>0</v>
      </c>
      <c r="C211" s="20">
        <v>7.7200000000000005E-2</v>
      </c>
      <c r="D211" s="20">
        <v>0.1507</v>
      </c>
      <c r="E211" s="20">
        <v>0.2208</v>
      </c>
      <c r="F211" s="20">
        <v>0.28789999999999999</v>
      </c>
      <c r="G211" s="20">
        <v>0.35210000000000002</v>
      </c>
      <c r="H211" s="20">
        <v>0.4138</v>
      </c>
      <c r="I211" s="20">
        <v>0.4733</v>
      </c>
      <c r="J211" s="20">
        <v>0.53069999999999995</v>
      </c>
      <c r="K211" s="20">
        <v>0.58630000000000004</v>
      </c>
      <c r="L211" s="20">
        <v>0.64049999999999996</v>
      </c>
      <c r="M211" s="20">
        <v>0.69340000000000002</v>
      </c>
      <c r="N211" s="20">
        <v>0.74539999999999995</v>
      </c>
      <c r="O211" s="20">
        <v>0.79649999999999999</v>
      </c>
      <c r="P211" s="20">
        <v>0.84709999999999996</v>
      </c>
      <c r="Q211" s="20">
        <v>0.89729999999999999</v>
      </c>
      <c r="R211" s="20">
        <v>0.94720000000000004</v>
      </c>
      <c r="S211" s="20">
        <v>0.997</v>
      </c>
      <c r="T211" s="20">
        <v>1.0468999999999999</v>
      </c>
      <c r="U211" s="20">
        <v>1.0967</v>
      </c>
      <c r="V211" s="20">
        <v>1.1467000000000001</v>
      </c>
      <c r="W211"/>
      <c r="X211"/>
      <c r="Y211"/>
      <c r="Z211"/>
    </row>
    <row r="212" spans="1:26" x14ac:dyDescent="0.2">
      <c r="A212" s="19">
        <v>0.20599999999999999</v>
      </c>
      <c r="B212" s="20">
        <v>0</v>
      </c>
      <c r="C212" s="20">
        <v>7.7200000000000005E-2</v>
      </c>
      <c r="D212" s="20">
        <v>0.15079999999999999</v>
      </c>
      <c r="E212" s="20">
        <v>0.221</v>
      </c>
      <c r="F212" s="20">
        <v>0.28810000000000002</v>
      </c>
      <c r="G212" s="20">
        <v>0.35239999999999999</v>
      </c>
      <c r="H212" s="20">
        <v>0.41410000000000002</v>
      </c>
      <c r="I212" s="20">
        <v>0.47360000000000002</v>
      </c>
      <c r="J212" s="20">
        <v>0.53110000000000002</v>
      </c>
      <c r="K212" s="20">
        <v>0.58679999999999999</v>
      </c>
      <c r="L212" s="20">
        <v>0.6411</v>
      </c>
      <c r="M212" s="20">
        <v>0.69410000000000005</v>
      </c>
      <c r="N212" s="20">
        <v>0.74609999999999999</v>
      </c>
      <c r="O212" s="20">
        <v>0.79730000000000001</v>
      </c>
      <c r="P212" s="20">
        <v>0.84789999999999999</v>
      </c>
      <c r="Q212" s="20">
        <v>0.8982</v>
      </c>
      <c r="R212" s="20">
        <v>0.94820000000000004</v>
      </c>
      <c r="S212" s="20">
        <v>0.998</v>
      </c>
      <c r="T212" s="20">
        <v>1.0479000000000001</v>
      </c>
      <c r="U212" s="20">
        <v>1.0978000000000001</v>
      </c>
      <c r="V212" s="20">
        <v>1.1476999999999999</v>
      </c>
      <c r="W212"/>
      <c r="X212"/>
      <c r="Y212"/>
      <c r="Z212"/>
    </row>
    <row r="213" spans="1:26" x14ac:dyDescent="0.2">
      <c r="A213" s="19">
        <v>0.20699999999999999</v>
      </c>
      <c r="B213" s="20">
        <v>0</v>
      </c>
      <c r="C213" s="20">
        <v>7.7299999999999994E-2</v>
      </c>
      <c r="D213" s="20">
        <v>0.15090000000000001</v>
      </c>
      <c r="E213" s="20">
        <v>0.22109999999999999</v>
      </c>
      <c r="F213" s="20">
        <v>0.2883</v>
      </c>
      <c r="G213" s="20">
        <v>0.35260000000000002</v>
      </c>
      <c r="H213" s="20">
        <v>0.41439999999999999</v>
      </c>
      <c r="I213" s="20">
        <v>0.47399999999999998</v>
      </c>
      <c r="J213" s="20">
        <v>0.53149999999999997</v>
      </c>
      <c r="K213" s="20">
        <v>0.58730000000000004</v>
      </c>
      <c r="L213" s="20">
        <v>0.64170000000000005</v>
      </c>
      <c r="M213" s="20">
        <v>0.69469999999999998</v>
      </c>
      <c r="N213" s="20">
        <v>0.74680000000000002</v>
      </c>
      <c r="O213" s="20">
        <v>0.79810000000000003</v>
      </c>
      <c r="P213" s="20">
        <v>0.8488</v>
      </c>
      <c r="Q213" s="20">
        <v>0.89910000000000001</v>
      </c>
      <c r="R213" s="20">
        <v>0.94910000000000005</v>
      </c>
      <c r="S213" s="20">
        <v>0.999</v>
      </c>
      <c r="T213" s="20">
        <v>1.0488999999999999</v>
      </c>
      <c r="U213" s="20">
        <v>1.0988</v>
      </c>
      <c r="V213" s="20">
        <v>1.1487000000000001</v>
      </c>
      <c r="W213"/>
      <c r="X213"/>
      <c r="Y213"/>
      <c r="Z213"/>
    </row>
    <row r="214" spans="1:26" x14ac:dyDescent="0.2">
      <c r="A214" s="19">
        <v>0.20799999999999999</v>
      </c>
      <c r="B214" s="20">
        <v>0</v>
      </c>
      <c r="C214" s="20">
        <v>7.7299999999999994E-2</v>
      </c>
      <c r="D214" s="20">
        <v>0.151</v>
      </c>
      <c r="E214" s="20">
        <v>0.2213</v>
      </c>
      <c r="F214" s="20">
        <v>0.28849999999999998</v>
      </c>
      <c r="G214" s="20">
        <v>0.35289999999999999</v>
      </c>
      <c r="H214" s="20">
        <v>0.41470000000000001</v>
      </c>
      <c r="I214" s="20">
        <v>0.47439999999999999</v>
      </c>
      <c r="J214" s="20">
        <v>0.53200000000000003</v>
      </c>
      <c r="K214" s="20">
        <v>0.58779999999999999</v>
      </c>
      <c r="L214" s="20">
        <v>0.64219999999999999</v>
      </c>
      <c r="M214" s="20">
        <v>0.69540000000000002</v>
      </c>
      <c r="N214" s="20">
        <v>0.74750000000000005</v>
      </c>
      <c r="O214" s="20">
        <v>0.79890000000000005</v>
      </c>
      <c r="P214" s="20">
        <v>0.84960000000000002</v>
      </c>
      <c r="Q214" s="20">
        <v>0.9</v>
      </c>
      <c r="R214" s="20">
        <v>0.95009999999999994</v>
      </c>
      <c r="S214" s="20">
        <v>1</v>
      </c>
      <c r="T214" s="20">
        <v>1.0499000000000001</v>
      </c>
      <c r="U214" s="20">
        <v>1.0998000000000001</v>
      </c>
      <c r="V214" s="20">
        <v>1.1497999999999999</v>
      </c>
      <c r="W214"/>
      <c r="X214"/>
      <c r="Y214"/>
      <c r="Z214"/>
    </row>
    <row r="215" spans="1:26" x14ac:dyDescent="0.2">
      <c r="A215" s="19">
        <v>0.20899999999999999</v>
      </c>
      <c r="B215" s="20">
        <v>0</v>
      </c>
      <c r="C215" s="20">
        <v>7.7399999999999997E-2</v>
      </c>
      <c r="D215" s="20">
        <v>0.15110000000000001</v>
      </c>
      <c r="E215" s="20">
        <v>0.22140000000000001</v>
      </c>
      <c r="F215" s="20">
        <v>0.28870000000000001</v>
      </c>
      <c r="G215" s="20">
        <v>0.35310000000000002</v>
      </c>
      <c r="H215" s="20">
        <v>0.41510000000000002</v>
      </c>
      <c r="I215" s="20">
        <v>0.47470000000000001</v>
      </c>
      <c r="J215" s="20">
        <v>0.53239999999999998</v>
      </c>
      <c r="K215" s="20">
        <v>0.58840000000000003</v>
      </c>
      <c r="L215" s="20">
        <v>0.64280000000000004</v>
      </c>
      <c r="M215" s="20">
        <v>0.69599999999999995</v>
      </c>
      <c r="N215" s="20">
        <v>0.74819999999999998</v>
      </c>
      <c r="O215" s="20">
        <v>0.79969999999999997</v>
      </c>
      <c r="P215" s="20">
        <v>0.85050000000000003</v>
      </c>
      <c r="Q215" s="20">
        <v>0.90090000000000003</v>
      </c>
      <c r="R215" s="20">
        <v>0.95099999999999996</v>
      </c>
      <c r="S215" s="20">
        <v>1.0009999999999999</v>
      </c>
      <c r="T215" s="20">
        <v>1.0508999999999999</v>
      </c>
      <c r="U215" s="20">
        <v>1.1008</v>
      </c>
      <c r="V215" s="20">
        <v>1.1508</v>
      </c>
      <c r="W215"/>
      <c r="X215"/>
      <c r="Y215"/>
      <c r="Z215"/>
    </row>
    <row r="216" spans="1:26" x14ac:dyDescent="0.2">
      <c r="A216" s="19">
        <v>0.21</v>
      </c>
      <c r="B216" s="20">
        <v>0</v>
      </c>
      <c r="C216" s="20">
        <v>7.7399999999999997E-2</v>
      </c>
      <c r="D216" s="20">
        <v>0.1512</v>
      </c>
      <c r="E216" s="20">
        <v>0.2215</v>
      </c>
      <c r="F216" s="20">
        <v>0.28889999999999999</v>
      </c>
      <c r="G216" s="20">
        <v>0.35339999999999999</v>
      </c>
      <c r="H216" s="20">
        <v>0.41539999999999999</v>
      </c>
      <c r="I216" s="20">
        <v>0.47510000000000002</v>
      </c>
      <c r="J216" s="20">
        <v>0.53290000000000004</v>
      </c>
      <c r="K216" s="20">
        <v>0.58889999999999998</v>
      </c>
      <c r="L216" s="20">
        <v>0.64339999999999997</v>
      </c>
      <c r="M216" s="20">
        <v>0.69669999999999999</v>
      </c>
      <c r="N216" s="20">
        <v>0.749</v>
      </c>
      <c r="O216" s="20">
        <v>0.8004</v>
      </c>
      <c r="P216" s="20">
        <v>0.85129999999999995</v>
      </c>
      <c r="Q216" s="20">
        <v>0.90180000000000005</v>
      </c>
      <c r="R216" s="20">
        <v>0.95189999999999997</v>
      </c>
      <c r="S216" s="20">
        <v>1.0019</v>
      </c>
      <c r="T216" s="20">
        <v>1.0519000000000001</v>
      </c>
      <c r="U216" s="20">
        <v>1.1017999999999999</v>
      </c>
      <c r="V216" s="20">
        <v>1.1517999999999999</v>
      </c>
      <c r="W216"/>
      <c r="X216"/>
      <c r="Y216"/>
      <c r="Z216"/>
    </row>
    <row r="217" spans="1:26" x14ac:dyDescent="0.2">
      <c r="A217" s="19">
        <v>0.21099999999999999</v>
      </c>
      <c r="B217" s="20">
        <v>0</v>
      </c>
      <c r="C217" s="20">
        <v>7.7499999999999999E-2</v>
      </c>
      <c r="D217" s="20">
        <v>0.15129999999999999</v>
      </c>
      <c r="E217" s="20">
        <v>0.22170000000000001</v>
      </c>
      <c r="F217" s="20">
        <v>0.28910000000000002</v>
      </c>
      <c r="G217" s="20">
        <v>0.35360000000000003</v>
      </c>
      <c r="H217" s="20">
        <v>0.41570000000000001</v>
      </c>
      <c r="I217" s="20">
        <v>0.47549999999999998</v>
      </c>
      <c r="J217" s="20">
        <v>0.5333</v>
      </c>
      <c r="K217" s="20">
        <v>0.58940000000000003</v>
      </c>
      <c r="L217" s="20">
        <v>0.64400000000000002</v>
      </c>
      <c r="M217" s="20">
        <v>0.69730000000000003</v>
      </c>
      <c r="N217" s="20">
        <v>0.74970000000000003</v>
      </c>
      <c r="O217" s="20">
        <v>0.80120000000000002</v>
      </c>
      <c r="P217" s="20">
        <v>0.85219999999999996</v>
      </c>
      <c r="Q217" s="20">
        <v>0.90269999999999995</v>
      </c>
      <c r="R217" s="20">
        <v>0.95289999999999997</v>
      </c>
      <c r="S217" s="20">
        <v>1.0028999999999999</v>
      </c>
      <c r="T217" s="20">
        <v>1.0528999999999999</v>
      </c>
      <c r="U217" s="20">
        <v>1.1028</v>
      </c>
      <c r="V217" s="20">
        <v>1.1528</v>
      </c>
      <c r="W217"/>
      <c r="X217"/>
      <c r="Y217"/>
      <c r="Z217"/>
    </row>
    <row r="218" spans="1:26" x14ac:dyDescent="0.2">
      <c r="A218" s="19">
        <v>0.21199999999999999</v>
      </c>
      <c r="B218" s="20">
        <v>0</v>
      </c>
      <c r="C218" s="20">
        <v>7.7499999999999999E-2</v>
      </c>
      <c r="D218" s="20">
        <v>0.15140000000000001</v>
      </c>
      <c r="E218" s="20">
        <v>0.2218</v>
      </c>
      <c r="F218" s="20">
        <v>0.2893</v>
      </c>
      <c r="G218" s="20">
        <v>0.35389999999999999</v>
      </c>
      <c r="H218" s="20">
        <v>0.41599999999999998</v>
      </c>
      <c r="I218" s="20">
        <v>0.47589999999999999</v>
      </c>
      <c r="J218" s="20">
        <v>0.53369999999999995</v>
      </c>
      <c r="K218" s="20">
        <v>0.58989999999999998</v>
      </c>
      <c r="L218" s="20">
        <v>0.64459999999999995</v>
      </c>
      <c r="M218" s="20">
        <v>0.69799999999999995</v>
      </c>
      <c r="N218" s="20">
        <v>0.75039999999999996</v>
      </c>
      <c r="O218" s="20">
        <v>0.80200000000000005</v>
      </c>
      <c r="P218" s="20">
        <v>0.85299999999999998</v>
      </c>
      <c r="Q218" s="20">
        <v>0.90359999999999996</v>
      </c>
      <c r="R218" s="20">
        <v>0.95379999999999998</v>
      </c>
      <c r="S218" s="20">
        <v>1.0039</v>
      </c>
      <c r="T218" s="20">
        <v>1.0539000000000001</v>
      </c>
      <c r="U218" s="20">
        <v>1.1039000000000001</v>
      </c>
      <c r="V218" s="20">
        <v>1.1537999999999999</v>
      </c>
      <c r="W218"/>
      <c r="X218"/>
      <c r="Y218"/>
      <c r="Z218"/>
    </row>
    <row r="219" spans="1:26" x14ac:dyDescent="0.2">
      <c r="A219" s="19">
        <v>0.21299999999999999</v>
      </c>
      <c r="B219" s="20">
        <v>0</v>
      </c>
      <c r="C219" s="20">
        <v>7.7600000000000002E-2</v>
      </c>
      <c r="D219" s="20">
        <v>0.1515</v>
      </c>
      <c r="E219" s="20">
        <v>0.222</v>
      </c>
      <c r="F219" s="20">
        <v>0.28949999999999998</v>
      </c>
      <c r="G219" s="20">
        <v>0.35420000000000001</v>
      </c>
      <c r="H219" s="20">
        <v>0.4163</v>
      </c>
      <c r="I219" s="20">
        <v>0.4763</v>
      </c>
      <c r="J219" s="20">
        <v>0.53420000000000001</v>
      </c>
      <c r="K219" s="20">
        <v>0.59040000000000004</v>
      </c>
      <c r="L219" s="20">
        <v>0.64510000000000001</v>
      </c>
      <c r="M219" s="20">
        <v>0.6986</v>
      </c>
      <c r="N219" s="20">
        <v>0.75109999999999999</v>
      </c>
      <c r="O219" s="20">
        <v>0.80279999999999996</v>
      </c>
      <c r="P219" s="20">
        <v>0.8538</v>
      </c>
      <c r="Q219" s="20">
        <v>0.90439999999999998</v>
      </c>
      <c r="R219" s="20">
        <v>0.95469999999999999</v>
      </c>
      <c r="S219" s="20">
        <v>1.0048999999999999</v>
      </c>
      <c r="T219" s="20">
        <v>1.0548999999999999</v>
      </c>
      <c r="U219" s="20">
        <v>1.1049</v>
      </c>
      <c r="V219" s="20">
        <v>1.1549</v>
      </c>
      <c r="W219"/>
      <c r="X219"/>
      <c r="Y219"/>
      <c r="Z219"/>
    </row>
    <row r="220" spans="1:26" x14ac:dyDescent="0.2">
      <c r="A220" s="19">
        <v>0.214</v>
      </c>
      <c r="B220" s="20">
        <v>0</v>
      </c>
      <c r="C220" s="20">
        <v>7.7600000000000002E-2</v>
      </c>
      <c r="D220" s="20">
        <v>0.15160000000000001</v>
      </c>
      <c r="E220" s="20">
        <v>0.22209999999999999</v>
      </c>
      <c r="F220" s="20">
        <v>0.28970000000000001</v>
      </c>
      <c r="G220" s="20">
        <v>0.35439999999999999</v>
      </c>
      <c r="H220" s="20">
        <v>0.41670000000000001</v>
      </c>
      <c r="I220" s="20">
        <v>0.47660000000000002</v>
      </c>
      <c r="J220" s="20">
        <v>0.53459999999999996</v>
      </c>
      <c r="K220" s="20">
        <v>0.59089999999999998</v>
      </c>
      <c r="L220" s="20">
        <v>0.64570000000000005</v>
      </c>
      <c r="M220" s="20">
        <v>0.69930000000000003</v>
      </c>
      <c r="N220" s="20">
        <v>0.75180000000000002</v>
      </c>
      <c r="O220" s="20">
        <v>0.80359999999999998</v>
      </c>
      <c r="P220" s="20">
        <v>0.85470000000000002</v>
      </c>
      <c r="Q220" s="20">
        <v>0.90529999999999999</v>
      </c>
      <c r="R220" s="20">
        <v>0.95569999999999999</v>
      </c>
      <c r="S220" s="20">
        <v>1.0058</v>
      </c>
      <c r="T220" s="20">
        <v>1.0559000000000001</v>
      </c>
      <c r="U220" s="20">
        <v>1.1059000000000001</v>
      </c>
      <c r="V220" s="20">
        <v>1.1558999999999999</v>
      </c>
      <c r="W220"/>
      <c r="X220"/>
      <c r="Y220"/>
      <c r="Z220"/>
    </row>
    <row r="221" spans="1:26" x14ac:dyDescent="0.2">
      <c r="A221" s="19">
        <v>0.215</v>
      </c>
      <c r="B221" s="20">
        <v>0</v>
      </c>
      <c r="C221" s="20">
        <v>7.7700000000000005E-2</v>
      </c>
      <c r="D221" s="20">
        <v>0.1517</v>
      </c>
      <c r="E221" s="20">
        <v>0.2223</v>
      </c>
      <c r="F221" s="20">
        <v>0.28989999999999999</v>
      </c>
      <c r="G221" s="20">
        <v>0.35470000000000002</v>
      </c>
      <c r="H221" s="20">
        <v>0.41699999999999998</v>
      </c>
      <c r="I221" s="20">
        <v>0.47699999999999998</v>
      </c>
      <c r="J221" s="20">
        <v>0.53510000000000002</v>
      </c>
      <c r="K221" s="20">
        <v>0.59140000000000004</v>
      </c>
      <c r="L221" s="20">
        <v>0.64629999999999999</v>
      </c>
      <c r="M221" s="20">
        <v>0.69989999999999997</v>
      </c>
      <c r="N221" s="20">
        <v>0.75249999999999995</v>
      </c>
      <c r="O221" s="20">
        <v>0.80430000000000001</v>
      </c>
      <c r="P221" s="20">
        <v>0.85550000000000004</v>
      </c>
      <c r="Q221" s="20">
        <v>0.90620000000000001</v>
      </c>
      <c r="R221" s="20">
        <v>0.95660000000000001</v>
      </c>
      <c r="S221" s="20">
        <v>1.0067999999999999</v>
      </c>
      <c r="T221" s="20">
        <v>1.0568</v>
      </c>
      <c r="U221" s="20">
        <v>1.1069</v>
      </c>
      <c r="V221" s="20">
        <v>1.1569</v>
      </c>
      <c r="W221"/>
      <c r="X221"/>
      <c r="Y221"/>
      <c r="Z221"/>
    </row>
    <row r="222" spans="1:26" x14ac:dyDescent="0.2">
      <c r="A222" s="19">
        <v>0.216</v>
      </c>
      <c r="B222" s="20">
        <v>0</v>
      </c>
      <c r="C222" s="20">
        <v>7.7700000000000005E-2</v>
      </c>
      <c r="D222" s="20">
        <v>0.15179999999999999</v>
      </c>
      <c r="E222" s="20">
        <v>0.2225</v>
      </c>
      <c r="F222" s="20">
        <v>0.29010000000000002</v>
      </c>
      <c r="G222" s="20">
        <v>0.35499999999999998</v>
      </c>
      <c r="H222" s="20">
        <v>0.4173</v>
      </c>
      <c r="I222" s="20">
        <v>0.47739999999999999</v>
      </c>
      <c r="J222" s="20">
        <v>0.53559999999999997</v>
      </c>
      <c r="K222" s="20">
        <v>0.59199999999999997</v>
      </c>
      <c r="L222" s="20">
        <v>0.64690000000000003</v>
      </c>
      <c r="M222" s="20">
        <v>0.7006</v>
      </c>
      <c r="N222" s="20">
        <v>0.75329999999999997</v>
      </c>
      <c r="O222" s="20">
        <v>0.80510000000000004</v>
      </c>
      <c r="P222" s="20">
        <v>0.85629999999999995</v>
      </c>
      <c r="Q222" s="20">
        <v>0.90710000000000002</v>
      </c>
      <c r="R222" s="20">
        <v>0.95750000000000002</v>
      </c>
      <c r="S222" s="20">
        <v>1.0077</v>
      </c>
      <c r="T222" s="20">
        <v>1.0578000000000001</v>
      </c>
      <c r="U222" s="20">
        <v>1.1077999999999999</v>
      </c>
      <c r="V222" s="20">
        <v>1.1578999999999999</v>
      </c>
      <c r="W222"/>
      <c r="X222"/>
      <c r="Y222"/>
      <c r="Z222"/>
    </row>
    <row r="223" spans="1:26" x14ac:dyDescent="0.2">
      <c r="A223" s="19">
        <v>0.217</v>
      </c>
      <c r="B223" s="20">
        <v>0</v>
      </c>
      <c r="C223" s="20">
        <v>7.7799999999999994E-2</v>
      </c>
      <c r="D223" s="20">
        <v>0.15190000000000001</v>
      </c>
      <c r="E223" s="20">
        <v>0.22259999999999999</v>
      </c>
      <c r="F223" s="20">
        <v>0.2903</v>
      </c>
      <c r="G223" s="20">
        <v>0.35520000000000002</v>
      </c>
      <c r="H223" s="20">
        <v>0.41760000000000003</v>
      </c>
      <c r="I223" s="20">
        <v>0.4778</v>
      </c>
      <c r="J223" s="20">
        <v>0.53600000000000003</v>
      </c>
      <c r="K223" s="20">
        <v>0.59250000000000003</v>
      </c>
      <c r="L223" s="20">
        <v>0.64749999999999996</v>
      </c>
      <c r="M223" s="20">
        <v>0.70130000000000003</v>
      </c>
      <c r="N223" s="20">
        <v>0.754</v>
      </c>
      <c r="O223" s="20">
        <v>0.80589999999999995</v>
      </c>
      <c r="P223" s="20">
        <v>0.85719999999999996</v>
      </c>
      <c r="Q223" s="20">
        <v>0.90800000000000003</v>
      </c>
      <c r="R223" s="20">
        <v>0.95840000000000003</v>
      </c>
      <c r="S223" s="20">
        <v>1.0086999999999999</v>
      </c>
      <c r="T223" s="20">
        <v>1.0588</v>
      </c>
      <c r="U223" s="20">
        <v>1.1088</v>
      </c>
      <c r="V223" s="20">
        <v>1.1588000000000001</v>
      </c>
      <c r="W223"/>
      <c r="X223"/>
      <c r="Y223"/>
      <c r="Z223"/>
    </row>
    <row r="224" spans="1:26" x14ac:dyDescent="0.2">
      <c r="A224" s="19">
        <v>0.218</v>
      </c>
      <c r="B224" s="20">
        <v>0</v>
      </c>
      <c r="C224" s="20">
        <v>7.7799999999999994E-2</v>
      </c>
      <c r="D224" s="20">
        <v>0.152</v>
      </c>
      <c r="E224" s="20">
        <v>0.2228</v>
      </c>
      <c r="F224" s="20">
        <v>0.29049999999999998</v>
      </c>
      <c r="G224" s="20">
        <v>0.35549999999999998</v>
      </c>
      <c r="H224" s="20">
        <v>0.41799999999999998</v>
      </c>
      <c r="I224" s="20">
        <v>0.47820000000000001</v>
      </c>
      <c r="J224" s="20">
        <v>0.53649999999999998</v>
      </c>
      <c r="K224" s="20">
        <v>0.59299999999999997</v>
      </c>
      <c r="L224" s="20">
        <v>0.64810000000000001</v>
      </c>
      <c r="M224" s="20">
        <v>0.70189999999999997</v>
      </c>
      <c r="N224" s="20">
        <v>0.75470000000000004</v>
      </c>
      <c r="O224" s="20">
        <v>0.80669999999999997</v>
      </c>
      <c r="P224" s="20">
        <v>0.85799999999999998</v>
      </c>
      <c r="Q224" s="20">
        <v>0.90880000000000005</v>
      </c>
      <c r="R224" s="20">
        <v>0.95940000000000003</v>
      </c>
      <c r="S224" s="20">
        <v>1.0096000000000001</v>
      </c>
      <c r="T224" s="20">
        <v>1.0598000000000001</v>
      </c>
      <c r="U224" s="20">
        <v>1.1097999999999999</v>
      </c>
      <c r="V224" s="20">
        <v>1.1597999999999999</v>
      </c>
      <c r="W224"/>
      <c r="X224"/>
      <c r="Y224"/>
      <c r="Z224"/>
    </row>
    <row r="225" spans="1:26" x14ac:dyDescent="0.2">
      <c r="A225" s="19">
        <v>0.219</v>
      </c>
      <c r="B225" s="20">
        <v>0</v>
      </c>
      <c r="C225" s="20">
        <v>7.7899999999999997E-2</v>
      </c>
      <c r="D225" s="20">
        <v>0.15210000000000001</v>
      </c>
      <c r="E225" s="20">
        <v>0.22289999999999999</v>
      </c>
      <c r="F225" s="20">
        <v>0.29070000000000001</v>
      </c>
      <c r="G225" s="20">
        <v>0.35580000000000001</v>
      </c>
      <c r="H225" s="20">
        <v>0.41830000000000001</v>
      </c>
      <c r="I225" s="20">
        <v>0.47860000000000003</v>
      </c>
      <c r="J225" s="20">
        <v>0.53690000000000004</v>
      </c>
      <c r="K225" s="20">
        <v>0.59350000000000003</v>
      </c>
      <c r="L225" s="20">
        <v>0.64870000000000005</v>
      </c>
      <c r="M225" s="20">
        <v>0.7026</v>
      </c>
      <c r="N225" s="20">
        <v>0.75539999999999996</v>
      </c>
      <c r="O225" s="20">
        <v>0.80740000000000001</v>
      </c>
      <c r="P225" s="20">
        <v>0.85880000000000001</v>
      </c>
      <c r="Q225" s="20">
        <v>0.90969999999999995</v>
      </c>
      <c r="R225" s="20">
        <v>0.96030000000000004</v>
      </c>
      <c r="S225" s="20">
        <v>1.0105999999999999</v>
      </c>
      <c r="T225" s="20">
        <v>1.0607</v>
      </c>
      <c r="U225" s="20">
        <v>1.1108</v>
      </c>
      <c r="V225" s="20">
        <v>1.1608000000000001</v>
      </c>
      <c r="W225"/>
      <c r="X225"/>
      <c r="Y225"/>
      <c r="Z225"/>
    </row>
    <row r="226" spans="1:26" x14ac:dyDescent="0.2">
      <c r="A226" s="19">
        <v>0.22</v>
      </c>
      <c r="B226" s="20">
        <v>0</v>
      </c>
      <c r="C226" s="20">
        <v>7.7899999999999997E-2</v>
      </c>
      <c r="D226" s="20">
        <v>0.1522</v>
      </c>
      <c r="E226" s="20">
        <v>0.22309999999999999</v>
      </c>
      <c r="F226" s="20">
        <v>0.29099999999999998</v>
      </c>
      <c r="G226" s="20">
        <v>0.35610000000000003</v>
      </c>
      <c r="H226" s="20">
        <v>0.41860000000000003</v>
      </c>
      <c r="I226" s="20">
        <v>0.47899999999999998</v>
      </c>
      <c r="J226" s="20">
        <v>0.53739999999999999</v>
      </c>
      <c r="K226" s="20">
        <v>0.59409999999999996</v>
      </c>
      <c r="L226" s="20">
        <v>0.64929999999999999</v>
      </c>
      <c r="M226" s="20">
        <v>0.70320000000000005</v>
      </c>
      <c r="N226" s="20">
        <v>0.75609999999999999</v>
      </c>
      <c r="O226" s="20">
        <v>0.80820000000000003</v>
      </c>
      <c r="P226" s="20">
        <v>0.85970000000000002</v>
      </c>
      <c r="Q226" s="20">
        <v>0.91059999999999997</v>
      </c>
      <c r="R226" s="20">
        <v>0.96120000000000005</v>
      </c>
      <c r="S226" s="20">
        <v>1.0115000000000001</v>
      </c>
      <c r="T226" s="20">
        <v>1.0617000000000001</v>
      </c>
      <c r="U226" s="20">
        <v>1.1117999999999999</v>
      </c>
      <c r="V226" s="20">
        <v>1.1617999999999999</v>
      </c>
      <c r="W226"/>
      <c r="X226"/>
      <c r="Y226"/>
      <c r="Z226"/>
    </row>
    <row r="227" spans="1:26" x14ac:dyDescent="0.2">
      <c r="A227" s="19">
        <v>0.221</v>
      </c>
      <c r="B227" s="20">
        <v>0</v>
      </c>
      <c r="C227" s="20">
        <v>7.8E-2</v>
      </c>
      <c r="D227" s="20">
        <v>0.15229999999999999</v>
      </c>
      <c r="E227" s="20">
        <v>0.2233</v>
      </c>
      <c r="F227" s="20">
        <v>0.29120000000000001</v>
      </c>
      <c r="G227" s="20">
        <v>0.35630000000000001</v>
      </c>
      <c r="H227" s="20">
        <v>0.41899999999999998</v>
      </c>
      <c r="I227" s="20">
        <v>0.47939999999999999</v>
      </c>
      <c r="J227" s="20">
        <v>0.53790000000000004</v>
      </c>
      <c r="K227" s="20">
        <v>0.59460000000000002</v>
      </c>
      <c r="L227" s="20">
        <v>0.64990000000000003</v>
      </c>
      <c r="M227" s="20">
        <v>0.70389999999999997</v>
      </c>
      <c r="N227" s="20">
        <v>0.75690000000000002</v>
      </c>
      <c r="O227" s="20">
        <v>0.80900000000000005</v>
      </c>
      <c r="P227" s="20">
        <v>0.86050000000000004</v>
      </c>
      <c r="Q227" s="20">
        <v>0.91149999999999998</v>
      </c>
      <c r="R227" s="20">
        <v>0.96209999999999996</v>
      </c>
      <c r="S227" s="20">
        <v>1.0125</v>
      </c>
      <c r="T227" s="20">
        <v>1.0627</v>
      </c>
      <c r="U227" s="20">
        <v>1.1128</v>
      </c>
      <c r="V227" s="20">
        <v>1.1628000000000001</v>
      </c>
      <c r="W227"/>
      <c r="X227"/>
      <c r="Y227"/>
      <c r="Z227"/>
    </row>
    <row r="228" spans="1:26" x14ac:dyDescent="0.2">
      <c r="A228" s="19">
        <v>0.222</v>
      </c>
      <c r="B228" s="20">
        <v>0</v>
      </c>
      <c r="C228" s="20">
        <v>7.8E-2</v>
      </c>
      <c r="D228" s="20">
        <v>0.15240000000000001</v>
      </c>
      <c r="E228" s="20">
        <v>0.22339999999999999</v>
      </c>
      <c r="F228" s="20">
        <v>0.29139999999999999</v>
      </c>
      <c r="G228" s="20">
        <v>0.35659999999999997</v>
      </c>
      <c r="H228" s="20">
        <v>0.41930000000000001</v>
      </c>
      <c r="I228" s="20">
        <v>0.4798</v>
      </c>
      <c r="J228" s="20">
        <v>0.5383</v>
      </c>
      <c r="K228" s="20">
        <v>0.59509999999999996</v>
      </c>
      <c r="L228" s="20">
        <v>0.65049999999999997</v>
      </c>
      <c r="M228" s="20">
        <v>0.70450000000000002</v>
      </c>
      <c r="N228" s="20">
        <v>0.75760000000000005</v>
      </c>
      <c r="O228" s="20">
        <v>0.80979999999999996</v>
      </c>
      <c r="P228" s="20">
        <v>0.86129999999999995</v>
      </c>
      <c r="Q228" s="20">
        <v>0.9123</v>
      </c>
      <c r="R228" s="20">
        <v>0.96299999999999997</v>
      </c>
      <c r="S228" s="20">
        <v>1.0134000000000001</v>
      </c>
      <c r="T228" s="20">
        <v>1.0636000000000001</v>
      </c>
      <c r="U228" s="20">
        <v>1.1136999999999999</v>
      </c>
      <c r="V228" s="20">
        <v>1.1637999999999999</v>
      </c>
      <c r="W228"/>
      <c r="X228"/>
      <c r="Y228"/>
      <c r="Z228"/>
    </row>
    <row r="229" spans="1:26" x14ac:dyDescent="0.2">
      <c r="A229" s="19">
        <v>0.223</v>
      </c>
      <c r="B229" s="20">
        <v>0</v>
      </c>
      <c r="C229" s="20">
        <v>7.8100000000000003E-2</v>
      </c>
      <c r="D229" s="20">
        <v>0.1525</v>
      </c>
      <c r="E229" s="20">
        <v>0.22359999999999999</v>
      </c>
      <c r="F229" s="20">
        <v>0.29160000000000003</v>
      </c>
      <c r="G229" s="20">
        <v>0.3569</v>
      </c>
      <c r="H229" s="20">
        <v>0.41970000000000002</v>
      </c>
      <c r="I229" s="20">
        <v>0.48020000000000002</v>
      </c>
      <c r="J229" s="20">
        <v>0.53879999999999995</v>
      </c>
      <c r="K229" s="20">
        <v>0.59570000000000001</v>
      </c>
      <c r="L229" s="20">
        <v>0.65100000000000002</v>
      </c>
      <c r="M229" s="20">
        <v>0.70520000000000005</v>
      </c>
      <c r="N229" s="20">
        <v>0.75829999999999997</v>
      </c>
      <c r="O229" s="20">
        <v>0.8105</v>
      </c>
      <c r="P229" s="20">
        <v>0.86209999999999998</v>
      </c>
      <c r="Q229" s="20">
        <v>0.91320000000000001</v>
      </c>
      <c r="R229" s="20">
        <v>0.96389999999999998</v>
      </c>
      <c r="S229" s="20">
        <v>1.0143</v>
      </c>
      <c r="T229" s="20">
        <v>1.0646</v>
      </c>
      <c r="U229" s="20">
        <v>1.1147</v>
      </c>
      <c r="V229" s="20">
        <v>1.1647000000000001</v>
      </c>
      <c r="W229"/>
      <c r="X229"/>
      <c r="Y229"/>
      <c r="Z229"/>
    </row>
    <row r="230" spans="1:26" x14ac:dyDescent="0.2">
      <c r="A230" s="19">
        <v>0.224</v>
      </c>
      <c r="B230" s="20">
        <v>0</v>
      </c>
      <c r="C230" s="20">
        <v>7.8200000000000006E-2</v>
      </c>
      <c r="D230" s="20">
        <v>0.15260000000000001</v>
      </c>
      <c r="E230" s="20">
        <v>0.2238</v>
      </c>
      <c r="F230" s="20">
        <v>0.29189999999999999</v>
      </c>
      <c r="G230" s="20">
        <v>0.35720000000000002</v>
      </c>
      <c r="H230" s="20">
        <v>0.42</v>
      </c>
      <c r="I230" s="20">
        <v>0.48060000000000003</v>
      </c>
      <c r="J230" s="20">
        <v>0.5393</v>
      </c>
      <c r="K230" s="20">
        <v>0.59619999999999995</v>
      </c>
      <c r="L230" s="20">
        <v>0.65159999999999996</v>
      </c>
      <c r="M230" s="20">
        <v>0.70579999999999998</v>
      </c>
      <c r="N230" s="20">
        <v>0.75900000000000001</v>
      </c>
      <c r="O230" s="20">
        <v>0.81130000000000002</v>
      </c>
      <c r="P230" s="20">
        <v>0.86299999999999999</v>
      </c>
      <c r="Q230" s="20">
        <v>0.91410000000000002</v>
      </c>
      <c r="R230" s="20">
        <v>0.96479999999999999</v>
      </c>
      <c r="S230" s="20">
        <v>1.0153000000000001</v>
      </c>
      <c r="T230" s="20">
        <v>1.0654999999999999</v>
      </c>
      <c r="U230" s="20">
        <v>1.1156999999999999</v>
      </c>
      <c r="V230" s="20">
        <v>1.1657</v>
      </c>
      <c r="W230"/>
      <c r="X230"/>
      <c r="Y230"/>
      <c r="Z230"/>
    </row>
    <row r="231" spans="1:26" x14ac:dyDescent="0.2">
      <c r="A231" s="19">
        <v>0.22500000000000001</v>
      </c>
      <c r="B231" s="20">
        <v>0</v>
      </c>
      <c r="C231" s="20">
        <v>7.8200000000000006E-2</v>
      </c>
      <c r="D231" s="20">
        <v>0.15279999999999999</v>
      </c>
      <c r="E231" s="20">
        <v>0.224</v>
      </c>
      <c r="F231" s="20">
        <v>0.29210000000000003</v>
      </c>
      <c r="G231" s="20">
        <v>0.35749999999999998</v>
      </c>
      <c r="H231" s="20">
        <v>0.4204</v>
      </c>
      <c r="I231" s="20">
        <v>0.48099999999999998</v>
      </c>
      <c r="J231" s="20">
        <v>0.53969999999999996</v>
      </c>
      <c r="K231" s="20">
        <v>0.59670000000000001</v>
      </c>
      <c r="L231" s="20">
        <v>0.6522</v>
      </c>
      <c r="M231" s="20">
        <v>0.70650000000000002</v>
      </c>
      <c r="N231" s="20">
        <v>0.75970000000000004</v>
      </c>
      <c r="O231" s="20">
        <v>0.81210000000000004</v>
      </c>
      <c r="P231" s="20">
        <v>0.86380000000000001</v>
      </c>
      <c r="Q231" s="20">
        <v>0.91490000000000005</v>
      </c>
      <c r="R231" s="20">
        <v>0.9657</v>
      </c>
      <c r="S231" s="20">
        <v>1.0162</v>
      </c>
      <c r="T231" s="20">
        <v>1.0665</v>
      </c>
      <c r="U231" s="20">
        <v>1.1166</v>
      </c>
      <c r="V231" s="20">
        <v>1.1667000000000001</v>
      </c>
      <c r="W231"/>
      <c r="X231"/>
      <c r="Y231"/>
      <c r="Z231"/>
    </row>
    <row r="232" spans="1:26" x14ac:dyDescent="0.2">
      <c r="A232" s="19">
        <v>0.22600000000000001</v>
      </c>
      <c r="B232" s="20">
        <v>0</v>
      </c>
      <c r="C232" s="20">
        <v>7.8299999999999995E-2</v>
      </c>
      <c r="D232" s="20">
        <v>0.15290000000000001</v>
      </c>
      <c r="E232" s="20">
        <v>0.22409999999999999</v>
      </c>
      <c r="F232" s="20">
        <v>0.2923</v>
      </c>
      <c r="G232" s="20">
        <v>0.35780000000000001</v>
      </c>
      <c r="H232" s="20">
        <v>0.42070000000000002</v>
      </c>
      <c r="I232" s="20">
        <v>0.48139999999999999</v>
      </c>
      <c r="J232" s="20">
        <v>0.54020000000000001</v>
      </c>
      <c r="K232" s="20">
        <v>0.59730000000000005</v>
      </c>
      <c r="L232" s="20">
        <v>0.65280000000000005</v>
      </c>
      <c r="M232" s="20">
        <v>0.70720000000000005</v>
      </c>
      <c r="N232" s="20">
        <v>0.76039999999999996</v>
      </c>
      <c r="O232" s="20">
        <v>0.81289999999999996</v>
      </c>
      <c r="P232" s="20">
        <v>0.86460000000000004</v>
      </c>
      <c r="Q232" s="20">
        <v>0.91579999999999995</v>
      </c>
      <c r="R232" s="20">
        <v>0.96660000000000001</v>
      </c>
      <c r="S232" s="20">
        <v>1.0170999999999999</v>
      </c>
      <c r="T232" s="20">
        <v>1.0673999999999999</v>
      </c>
      <c r="U232" s="20">
        <v>1.1175999999999999</v>
      </c>
      <c r="V232" s="20">
        <v>1.1676</v>
      </c>
      <c r="W232"/>
      <c r="X232"/>
      <c r="Y232"/>
      <c r="Z232"/>
    </row>
    <row r="233" spans="1:26" x14ac:dyDescent="0.2">
      <c r="A233" s="19">
        <v>0.22700000000000001</v>
      </c>
      <c r="B233" s="20">
        <v>0</v>
      </c>
      <c r="C233" s="20">
        <v>7.8299999999999995E-2</v>
      </c>
      <c r="D233" s="20">
        <v>0.153</v>
      </c>
      <c r="E233" s="20">
        <v>0.2243</v>
      </c>
      <c r="F233" s="20">
        <v>0.29260000000000003</v>
      </c>
      <c r="G233" s="20">
        <v>0.35799999999999998</v>
      </c>
      <c r="H233" s="20">
        <v>0.42109999999999997</v>
      </c>
      <c r="I233" s="20">
        <v>0.48180000000000001</v>
      </c>
      <c r="J233" s="20">
        <v>0.54069999999999996</v>
      </c>
      <c r="K233" s="20">
        <v>0.5978</v>
      </c>
      <c r="L233" s="20">
        <v>0.65339999999999998</v>
      </c>
      <c r="M233" s="20">
        <v>0.70779999999999998</v>
      </c>
      <c r="N233" s="20">
        <v>0.7611</v>
      </c>
      <c r="O233" s="20">
        <v>0.81359999999999999</v>
      </c>
      <c r="P233" s="20">
        <v>0.86539999999999995</v>
      </c>
      <c r="Q233" s="20">
        <v>0.91669999999999996</v>
      </c>
      <c r="R233" s="20">
        <v>0.96750000000000003</v>
      </c>
      <c r="S233" s="20">
        <v>1.018</v>
      </c>
      <c r="T233" s="20">
        <v>1.0684</v>
      </c>
      <c r="U233" s="20">
        <v>1.1185</v>
      </c>
      <c r="V233" s="20">
        <v>1.1686000000000001</v>
      </c>
      <c r="W233"/>
      <c r="X233"/>
      <c r="Y233"/>
      <c r="Z233"/>
    </row>
    <row r="234" spans="1:26" x14ac:dyDescent="0.2">
      <c r="A234" s="19">
        <v>0.22800000000000001</v>
      </c>
      <c r="B234" s="20">
        <v>0</v>
      </c>
      <c r="C234" s="20">
        <v>7.8399999999999997E-2</v>
      </c>
      <c r="D234" s="20">
        <v>0.15310000000000001</v>
      </c>
      <c r="E234" s="20">
        <v>0.22450000000000001</v>
      </c>
      <c r="F234" s="20">
        <v>0.2928</v>
      </c>
      <c r="G234" s="20">
        <v>0.35830000000000001</v>
      </c>
      <c r="H234" s="20">
        <v>0.4214</v>
      </c>
      <c r="I234" s="20">
        <v>0.48230000000000001</v>
      </c>
      <c r="J234" s="20">
        <v>0.54120000000000001</v>
      </c>
      <c r="K234" s="20">
        <v>0.59830000000000005</v>
      </c>
      <c r="L234" s="20">
        <v>0.65400000000000003</v>
      </c>
      <c r="M234" s="20">
        <v>0.70850000000000002</v>
      </c>
      <c r="N234" s="20">
        <v>0.76190000000000002</v>
      </c>
      <c r="O234" s="20">
        <v>0.81440000000000001</v>
      </c>
      <c r="P234" s="20">
        <v>0.86619999999999997</v>
      </c>
      <c r="Q234" s="20">
        <v>0.91749999999999998</v>
      </c>
      <c r="R234" s="20">
        <v>0.96840000000000004</v>
      </c>
      <c r="S234" s="20">
        <v>1.0189999999999999</v>
      </c>
      <c r="T234" s="20">
        <v>1.0692999999999999</v>
      </c>
      <c r="U234" s="20">
        <v>1.1194999999999999</v>
      </c>
      <c r="V234" s="20">
        <v>1.1696</v>
      </c>
      <c r="W234"/>
      <c r="X234"/>
      <c r="Y234"/>
      <c r="Z234"/>
    </row>
    <row r="235" spans="1:26" x14ac:dyDescent="0.2">
      <c r="A235" s="19">
        <v>0.22900000000000001</v>
      </c>
      <c r="B235" s="20">
        <v>0</v>
      </c>
      <c r="C235" s="20">
        <v>7.85E-2</v>
      </c>
      <c r="D235" s="20">
        <v>0.1532</v>
      </c>
      <c r="E235" s="20">
        <v>0.22470000000000001</v>
      </c>
      <c r="F235" s="20">
        <v>0.29299999999999998</v>
      </c>
      <c r="G235" s="20">
        <v>0.35859999999999997</v>
      </c>
      <c r="H235" s="20">
        <v>0.42180000000000001</v>
      </c>
      <c r="I235" s="20">
        <v>0.48270000000000002</v>
      </c>
      <c r="J235" s="20">
        <v>0.54159999999999997</v>
      </c>
      <c r="K235" s="20">
        <v>0.59889999999999999</v>
      </c>
      <c r="L235" s="20">
        <v>0.65459999999999996</v>
      </c>
      <c r="M235" s="20">
        <v>0.70909999999999995</v>
      </c>
      <c r="N235" s="20">
        <v>0.76259999999999994</v>
      </c>
      <c r="O235" s="20">
        <v>0.81520000000000004</v>
      </c>
      <c r="P235" s="20">
        <v>0.86699999999999999</v>
      </c>
      <c r="Q235" s="20">
        <v>0.91839999999999999</v>
      </c>
      <c r="R235" s="20">
        <v>0.96930000000000005</v>
      </c>
      <c r="S235" s="20">
        <v>1.0199</v>
      </c>
      <c r="T235" s="20">
        <v>1.0703</v>
      </c>
      <c r="U235" s="20">
        <v>1.1204000000000001</v>
      </c>
      <c r="V235" s="20">
        <v>1.1705000000000001</v>
      </c>
      <c r="W235"/>
      <c r="X235"/>
      <c r="Y235"/>
      <c r="Z235"/>
    </row>
    <row r="236" spans="1:26" x14ac:dyDescent="0.2">
      <c r="A236" s="19">
        <v>0.23</v>
      </c>
      <c r="B236" s="20">
        <v>0</v>
      </c>
      <c r="C236" s="20">
        <v>7.85E-2</v>
      </c>
      <c r="D236" s="20">
        <v>0.15340000000000001</v>
      </c>
      <c r="E236" s="20">
        <v>0.2248</v>
      </c>
      <c r="F236" s="20">
        <v>0.29330000000000001</v>
      </c>
      <c r="G236" s="20">
        <v>0.3589</v>
      </c>
      <c r="H236" s="20">
        <v>0.42209999999999998</v>
      </c>
      <c r="I236" s="20">
        <v>0.48309999999999997</v>
      </c>
      <c r="J236" s="20">
        <v>0.54210000000000003</v>
      </c>
      <c r="K236" s="20">
        <v>0.59940000000000004</v>
      </c>
      <c r="L236" s="20">
        <v>0.6552</v>
      </c>
      <c r="M236" s="20">
        <v>0.70979999999999999</v>
      </c>
      <c r="N236" s="20">
        <v>0.76329999999999998</v>
      </c>
      <c r="O236" s="20">
        <v>0.81589999999999996</v>
      </c>
      <c r="P236" s="20">
        <v>0.86780000000000002</v>
      </c>
      <c r="Q236" s="20">
        <v>0.91920000000000002</v>
      </c>
      <c r="R236" s="20">
        <v>0.97019999999999995</v>
      </c>
      <c r="S236" s="20">
        <v>1.0207999999999999</v>
      </c>
      <c r="T236" s="20">
        <v>1.0711999999999999</v>
      </c>
      <c r="U236" s="20">
        <v>1.1214</v>
      </c>
      <c r="V236" s="20">
        <v>1.1715</v>
      </c>
      <c r="W236"/>
      <c r="X236"/>
      <c r="Y236"/>
      <c r="Z236"/>
    </row>
    <row r="237" spans="1:26" x14ac:dyDescent="0.2">
      <c r="A237" s="19">
        <v>0.23100000000000001</v>
      </c>
      <c r="B237" s="20">
        <v>0</v>
      </c>
      <c r="C237" s="20">
        <v>7.8600000000000003E-2</v>
      </c>
      <c r="D237" s="20">
        <v>0.1535</v>
      </c>
      <c r="E237" s="20">
        <v>0.22500000000000001</v>
      </c>
      <c r="F237" s="20">
        <v>0.29349999999999998</v>
      </c>
      <c r="G237" s="20">
        <v>0.35920000000000002</v>
      </c>
      <c r="H237" s="20">
        <v>0.42249999999999999</v>
      </c>
      <c r="I237" s="20">
        <v>0.48349999999999999</v>
      </c>
      <c r="J237" s="20">
        <v>0.54259999999999997</v>
      </c>
      <c r="K237" s="20">
        <v>0.59989999999999999</v>
      </c>
      <c r="L237" s="20">
        <v>0.65580000000000005</v>
      </c>
      <c r="M237" s="20">
        <v>0.71040000000000003</v>
      </c>
      <c r="N237" s="20">
        <v>0.76400000000000001</v>
      </c>
      <c r="O237" s="20">
        <v>0.81669999999999998</v>
      </c>
      <c r="P237" s="20">
        <v>0.86870000000000003</v>
      </c>
      <c r="Q237" s="20">
        <v>0.92010000000000003</v>
      </c>
      <c r="R237" s="20">
        <v>0.97109999999999996</v>
      </c>
      <c r="S237" s="20">
        <v>1.0217000000000001</v>
      </c>
      <c r="T237" s="20">
        <v>1.0721000000000001</v>
      </c>
      <c r="U237" s="20">
        <v>1.1223000000000001</v>
      </c>
      <c r="V237" s="20">
        <v>1.1724000000000001</v>
      </c>
      <c r="W237"/>
      <c r="X237"/>
      <c r="Y237"/>
      <c r="Z237"/>
    </row>
    <row r="238" spans="1:26" x14ac:dyDescent="0.2">
      <c r="A238" s="19">
        <v>0.23200000000000001</v>
      </c>
      <c r="B238" s="20">
        <v>0</v>
      </c>
      <c r="C238" s="20">
        <v>7.8600000000000003E-2</v>
      </c>
      <c r="D238" s="20">
        <v>0.15359999999999999</v>
      </c>
      <c r="E238" s="20">
        <v>0.22520000000000001</v>
      </c>
      <c r="F238" s="20">
        <v>0.29370000000000002</v>
      </c>
      <c r="G238" s="20">
        <v>0.35949999999999999</v>
      </c>
      <c r="H238" s="20">
        <v>0.42280000000000001</v>
      </c>
      <c r="I238" s="20">
        <v>0.4839</v>
      </c>
      <c r="J238" s="20">
        <v>0.54310000000000003</v>
      </c>
      <c r="K238" s="20">
        <v>0.60050000000000003</v>
      </c>
      <c r="L238" s="20">
        <v>0.65639999999999998</v>
      </c>
      <c r="M238" s="20">
        <v>0.71109999999999995</v>
      </c>
      <c r="N238" s="20">
        <v>0.76470000000000005</v>
      </c>
      <c r="O238" s="20">
        <v>0.81740000000000002</v>
      </c>
      <c r="P238" s="20">
        <v>0.86950000000000005</v>
      </c>
      <c r="Q238" s="20">
        <v>0.92090000000000005</v>
      </c>
      <c r="R238" s="20">
        <v>0.97189999999999999</v>
      </c>
      <c r="S238" s="20">
        <v>1.0226</v>
      </c>
      <c r="T238" s="20">
        <v>1.073</v>
      </c>
      <c r="U238" s="20">
        <v>1.1233</v>
      </c>
      <c r="V238" s="20">
        <v>1.1733</v>
      </c>
      <c r="W238"/>
      <c r="X238"/>
      <c r="Y238"/>
      <c r="Z238"/>
    </row>
    <row r="239" spans="1:26" x14ac:dyDescent="0.2">
      <c r="A239" s="19">
        <v>0.23300000000000001</v>
      </c>
      <c r="B239" s="20">
        <v>0</v>
      </c>
      <c r="C239" s="20">
        <v>7.8700000000000006E-2</v>
      </c>
      <c r="D239" s="20">
        <v>0.1537</v>
      </c>
      <c r="E239" s="20">
        <v>0.22539999999999999</v>
      </c>
      <c r="F239" s="20">
        <v>0.29399999999999998</v>
      </c>
      <c r="G239" s="20">
        <v>0.35980000000000001</v>
      </c>
      <c r="H239" s="20">
        <v>0.42320000000000002</v>
      </c>
      <c r="I239" s="20">
        <v>0.48430000000000001</v>
      </c>
      <c r="J239" s="20">
        <v>0.54349999999999998</v>
      </c>
      <c r="K239" s="20">
        <v>0.60099999999999998</v>
      </c>
      <c r="L239" s="20">
        <v>0.65700000000000003</v>
      </c>
      <c r="M239" s="20">
        <v>0.71179999999999999</v>
      </c>
      <c r="N239" s="20">
        <v>0.76539999999999997</v>
      </c>
      <c r="O239" s="20">
        <v>0.81820000000000004</v>
      </c>
      <c r="P239" s="20">
        <v>0.87029999999999996</v>
      </c>
      <c r="Q239" s="20">
        <v>0.92179999999999995</v>
      </c>
      <c r="R239" s="20">
        <v>0.9728</v>
      </c>
      <c r="S239" s="20">
        <v>1.0235000000000001</v>
      </c>
      <c r="T239" s="20">
        <v>1.0740000000000001</v>
      </c>
      <c r="U239" s="20">
        <v>1.1242000000000001</v>
      </c>
      <c r="V239" s="20">
        <v>1.1742999999999999</v>
      </c>
      <c r="W239"/>
      <c r="X239"/>
      <c r="Y239"/>
      <c r="Z239"/>
    </row>
    <row r="240" spans="1:26" x14ac:dyDescent="0.2">
      <c r="A240" s="19">
        <v>0.23400000000000001</v>
      </c>
      <c r="B240" s="20">
        <v>0</v>
      </c>
      <c r="C240" s="20">
        <v>7.8799999999999995E-2</v>
      </c>
      <c r="D240" s="20">
        <v>0.15379999999999999</v>
      </c>
      <c r="E240" s="20">
        <v>0.22559999999999999</v>
      </c>
      <c r="F240" s="20">
        <v>0.29420000000000002</v>
      </c>
      <c r="G240" s="20">
        <v>0.36009999999999998</v>
      </c>
      <c r="H240" s="20">
        <v>0.42359999999999998</v>
      </c>
      <c r="I240" s="20">
        <v>0.48480000000000001</v>
      </c>
      <c r="J240" s="20">
        <v>0.54400000000000004</v>
      </c>
      <c r="K240" s="20">
        <v>0.60160000000000002</v>
      </c>
      <c r="L240" s="20">
        <v>0.65759999999999996</v>
      </c>
      <c r="M240" s="20">
        <v>0.71240000000000003</v>
      </c>
      <c r="N240" s="20">
        <v>0.7661</v>
      </c>
      <c r="O240" s="20">
        <v>0.81899999999999995</v>
      </c>
      <c r="P240" s="20">
        <v>0.87109999999999999</v>
      </c>
      <c r="Q240" s="20">
        <v>0.92259999999999998</v>
      </c>
      <c r="R240" s="20">
        <v>0.97370000000000001</v>
      </c>
      <c r="S240" s="20">
        <v>1.0244</v>
      </c>
      <c r="T240" s="20">
        <v>1.0749</v>
      </c>
      <c r="U240" s="20">
        <v>1.1252</v>
      </c>
      <c r="V240" s="20">
        <v>1.1752</v>
      </c>
      <c r="W240"/>
      <c r="X240"/>
      <c r="Y240"/>
      <c r="Z240"/>
    </row>
    <row r="241" spans="1:26" x14ac:dyDescent="0.2">
      <c r="A241" s="19">
        <v>0.23499999999999999</v>
      </c>
      <c r="B241" s="20">
        <v>0</v>
      </c>
      <c r="C241" s="20">
        <v>7.8799999999999995E-2</v>
      </c>
      <c r="D241" s="20">
        <v>0.154</v>
      </c>
      <c r="E241" s="20">
        <v>0.22570000000000001</v>
      </c>
      <c r="F241" s="20">
        <v>0.29449999999999998</v>
      </c>
      <c r="G241" s="20">
        <v>0.3604</v>
      </c>
      <c r="H241" s="20">
        <v>0.4239</v>
      </c>
      <c r="I241" s="20">
        <v>0.48520000000000002</v>
      </c>
      <c r="J241" s="20">
        <v>0.54449999999999998</v>
      </c>
      <c r="K241" s="20">
        <v>0.60209999999999997</v>
      </c>
      <c r="L241" s="20">
        <v>0.65820000000000001</v>
      </c>
      <c r="M241" s="20">
        <v>0.71309999999999996</v>
      </c>
      <c r="N241" s="20">
        <v>0.76680000000000004</v>
      </c>
      <c r="O241" s="20">
        <v>0.81969999999999998</v>
      </c>
      <c r="P241" s="20">
        <v>0.87190000000000001</v>
      </c>
      <c r="Q241" s="20">
        <v>0.92349999999999999</v>
      </c>
      <c r="R241" s="20">
        <v>0.97460000000000002</v>
      </c>
      <c r="S241" s="20">
        <v>1.0253000000000001</v>
      </c>
      <c r="T241" s="20">
        <v>1.0758000000000001</v>
      </c>
      <c r="U241" s="20">
        <v>1.1261000000000001</v>
      </c>
      <c r="V241" s="20">
        <v>1.1761999999999999</v>
      </c>
      <c r="W241"/>
      <c r="X241"/>
      <c r="Y241"/>
      <c r="Z241"/>
    </row>
    <row r="242" spans="1:26" x14ac:dyDescent="0.2">
      <c r="A242" s="19">
        <v>0.23599999999999999</v>
      </c>
      <c r="B242" s="20">
        <v>0</v>
      </c>
      <c r="C242" s="20">
        <v>7.8899999999999998E-2</v>
      </c>
      <c r="D242" s="20">
        <v>0.15409999999999999</v>
      </c>
      <c r="E242" s="20">
        <v>0.22589999999999999</v>
      </c>
      <c r="F242" s="20">
        <v>0.29470000000000002</v>
      </c>
      <c r="G242" s="20">
        <v>0.36070000000000002</v>
      </c>
      <c r="H242" s="20">
        <v>0.42430000000000001</v>
      </c>
      <c r="I242" s="20">
        <v>0.48559999999999998</v>
      </c>
      <c r="J242" s="20">
        <v>0.54500000000000004</v>
      </c>
      <c r="K242" s="20">
        <v>0.60270000000000001</v>
      </c>
      <c r="L242" s="20">
        <v>0.65880000000000005</v>
      </c>
      <c r="M242" s="20">
        <v>0.7137</v>
      </c>
      <c r="N242" s="20">
        <v>0.76759999999999995</v>
      </c>
      <c r="O242" s="20">
        <v>0.82050000000000001</v>
      </c>
      <c r="P242" s="20">
        <v>0.87270000000000003</v>
      </c>
      <c r="Q242" s="20">
        <v>0.92430000000000001</v>
      </c>
      <c r="R242" s="20">
        <v>0.97550000000000003</v>
      </c>
      <c r="S242" s="20">
        <v>1.0262</v>
      </c>
      <c r="T242" s="20">
        <v>1.0767</v>
      </c>
      <c r="U242" s="20">
        <v>1.127</v>
      </c>
      <c r="V242" s="20">
        <v>1.1771</v>
      </c>
      <c r="W242"/>
      <c r="X242"/>
      <c r="Y242"/>
      <c r="Z242"/>
    </row>
    <row r="243" spans="1:26" x14ac:dyDescent="0.2">
      <c r="A243" s="19">
        <v>0.23699999999999999</v>
      </c>
      <c r="B243" s="20">
        <v>0</v>
      </c>
      <c r="C243" s="20">
        <v>7.9000000000000001E-2</v>
      </c>
      <c r="D243" s="20">
        <v>0.1542</v>
      </c>
      <c r="E243" s="20">
        <v>0.2261</v>
      </c>
      <c r="F243" s="20">
        <v>0.29499999999999998</v>
      </c>
      <c r="G243" s="20">
        <v>0.36099999999999999</v>
      </c>
      <c r="H243" s="20">
        <v>0.42459999999999998</v>
      </c>
      <c r="I243" s="20">
        <v>0.48599999999999999</v>
      </c>
      <c r="J243" s="20">
        <v>0.54549999999999998</v>
      </c>
      <c r="K243" s="20">
        <v>0.60319999999999996</v>
      </c>
      <c r="L243" s="20">
        <v>0.65939999999999999</v>
      </c>
      <c r="M243" s="20">
        <v>0.71440000000000003</v>
      </c>
      <c r="N243" s="20">
        <v>0.76829999999999998</v>
      </c>
      <c r="O243" s="20">
        <v>0.82120000000000004</v>
      </c>
      <c r="P243" s="20">
        <v>0.87350000000000005</v>
      </c>
      <c r="Q243" s="20">
        <v>0.92510000000000003</v>
      </c>
      <c r="R243" s="20">
        <v>0.97629999999999995</v>
      </c>
      <c r="S243" s="20">
        <v>1.0270999999999999</v>
      </c>
      <c r="T243" s="20">
        <v>1.0777000000000001</v>
      </c>
      <c r="U243" s="20">
        <v>1.1278999999999999</v>
      </c>
      <c r="V243" s="20">
        <v>1.1779999999999999</v>
      </c>
      <c r="W243"/>
      <c r="X243"/>
      <c r="Y243"/>
      <c r="Z243"/>
    </row>
    <row r="244" spans="1:26" x14ac:dyDescent="0.2">
      <c r="A244" s="19">
        <v>0.23799999999999999</v>
      </c>
      <c r="B244" s="20">
        <v>0</v>
      </c>
      <c r="C244" s="20">
        <v>7.9000000000000001E-2</v>
      </c>
      <c r="D244" s="20">
        <v>0.15429999999999999</v>
      </c>
      <c r="E244" s="20">
        <v>0.2263</v>
      </c>
      <c r="F244" s="20">
        <v>0.29520000000000002</v>
      </c>
      <c r="G244" s="20">
        <v>0.36130000000000001</v>
      </c>
      <c r="H244" s="20">
        <v>0.42499999999999999</v>
      </c>
      <c r="I244" s="20">
        <v>0.48649999999999999</v>
      </c>
      <c r="J244" s="20">
        <v>0.54600000000000004</v>
      </c>
      <c r="K244" s="20">
        <v>0.60370000000000001</v>
      </c>
      <c r="L244" s="20">
        <v>0.66</v>
      </c>
      <c r="M244" s="20">
        <v>0.71499999999999997</v>
      </c>
      <c r="N244" s="20">
        <v>0.76900000000000002</v>
      </c>
      <c r="O244" s="20">
        <v>0.82199999999999995</v>
      </c>
      <c r="P244" s="20">
        <v>0.87429999999999997</v>
      </c>
      <c r="Q244" s="20">
        <v>0.92600000000000005</v>
      </c>
      <c r="R244" s="20">
        <v>0.97719999999999996</v>
      </c>
      <c r="S244" s="20">
        <v>1.028</v>
      </c>
      <c r="T244" s="20">
        <v>1.0786</v>
      </c>
      <c r="U244" s="20">
        <v>1.1289</v>
      </c>
      <c r="V244" s="20">
        <v>1.179</v>
      </c>
      <c r="W244"/>
      <c r="X244"/>
      <c r="Y244"/>
      <c r="Z244"/>
    </row>
    <row r="245" spans="1:26" x14ac:dyDescent="0.2">
      <c r="A245" s="19">
        <v>0.23899999999999999</v>
      </c>
      <c r="B245" s="20">
        <v>0</v>
      </c>
      <c r="C245" s="20">
        <v>7.9100000000000004E-2</v>
      </c>
      <c r="D245" s="20">
        <v>0.1545</v>
      </c>
      <c r="E245" s="20">
        <v>0.22650000000000001</v>
      </c>
      <c r="F245" s="20">
        <v>0.2954</v>
      </c>
      <c r="G245" s="20">
        <v>0.36170000000000002</v>
      </c>
      <c r="H245" s="20">
        <v>0.4254</v>
      </c>
      <c r="I245" s="20">
        <v>0.4869</v>
      </c>
      <c r="J245" s="20">
        <v>0.5464</v>
      </c>
      <c r="K245" s="20">
        <v>0.60429999999999995</v>
      </c>
      <c r="L245" s="20">
        <v>0.66059999999999997</v>
      </c>
      <c r="M245" s="20">
        <v>0.7157</v>
      </c>
      <c r="N245" s="20">
        <v>0.76970000000000005</v>
      </c>
      <c r="O245" s="20">
        <v>0.82279999999999998</v>
      </c>
      <c r="P245" s="20">
        <v>0.87509999999999999</v>
      </c>
      <c r="Q245" s="20">
        <v>0.92679999999999996</v>
      </c>
      <c r="R245" s="20">
        <v>0.97809999999999997</v>
      </c>
      <c r="S245" s="20">
        <v>1.0288999999999999</v>
      </c>
      <c r="T245" s="20">
        <v>1.0794999999999999</v>
      </c>
      <c r="U245" s="20">
        <v>1.1297999999999999</v>
      </c>
      <c r="V245" s="20">
        <v>1.1798999999999999</v>
      </c>
      <c r="W245"/>
      <c r="X245"/>
      <c r="Y245"/>
      <c r="Z245"/>
    </row>
    <row r="246" spans="1:26" x14ac:dyDescent="0.2">
      <c r="A246" s="19">
        <v>0.24</v>
      </c>
      <c r="B246" s="20">
        <v>0</v>
      </c>
      <c r="C246" s="20">
        <v>7.9100000000000004E-2</v>
      </c>
      <c r="D246" s="20">
        <v>0.15459999999999999</v>
      </c>
      <c r="E246" s="20">
        <v>0.22670000000000001</v>
      </c>
      <c r="F246" s="20">
        <v>0.29570000000000002</v>
      </c>
      <c r="G246" s="20">
        <v>0.36199999999999999</v>
      </c>
      <c r="H246" s="20">
        <v>0.42570000000000002</v>
      </c>
      <c r="I246" s="20">
        <v>0.48730000000000001</v>
      </c>
      <c r="J246" s="20">
        <v>0.54690000000000005</v>
      </c>
      <c r="K246" s="20">
        <v>0.6048</v>
      </c>
      <c r="L246" s="20">
        <v>0.66120000000000001</v>
      </c>
      <c r="M246" s="20">
        <v>0.71640000000000004</v>
      </c>
      <c r="N246" s="20">
        <v>0.77039999999999997</v>
      </c>
      <c r="O246" s="20">
        <v>0.82350000000000001</v>
      </c>
      <c r="P246" s="20">
        <v>0.87590000000000001</v>
      </c>
      <c r="Q246" s="20">
        <v>0.92769999999999997</v>
      </c>
      <c r="R246" s="20">
        <v>0.97889999999999999</v>
      </c>
      <c r="S246" s="20">
        <v>1.0298</v>
      </c>
      <c r="T246" s="20">
        <v>1.0804</v>
      </c>
      <c r="U246" s="20">
        <v>1.1307</v>
      </c>
      <c r="V246" s="20">
        <v>1.1808000000000001</v>
      </c>
      <c r="W246"/>
      <c r="X246"/>
      <c r="Y246"/>
      <c r="Z246"/>
    </row>
    <row r="247" spans="1:26" x14ac:dyDescent="0.2">
      <c r="A247" s="19">
        <v>0.24099999999999999</v>
      </c>
      <c r="B247" s="20">
        <v>0</v>
      </c>
      <c r="C247" s="20">
        <v>7.9200000000000007E-2</v>
      </c>
      <c r="D247" s="20">
        <v>0.1547</v>
      </c>
      <c r="E247" s="20">
        <v>0.22689999999999999</v>
      </c>
      <c r="F247" s="20">
        <v>0.2959</v>
      </c>
      <c r="G247" s="20">
        <v>0.36230000000000001</v>
      </c>
      <c r="H247" s="20">
        <v>0.42609999999999998</v>
      </c>
      <c r="I247" s="20">
        <v>0.48770000000000002</v>
      </c>
      <c r="J247" s="20">
        <v>0.5474</v>
      </c>
      <c r="K247" s="20">
        <v>0.60540000000000005</v>
      </c>
      <c r="L247" s="20">
        <v>0.66180000000000005</v>
      </c>
      <c r="M247" s="20">
        <v>0.71699999999999997</v>
      </c>
      <c r="N247" s="20">
        <v>0.77110000000000001</v>
      </c>
      <c r="O247" s="20">
        <v>0.82430000000000003</v>
      </c>
      <c r="P247" s="20">
        <v>0.87670000000000003</v>
      </c>
      <c r="Q247" s="20">
        <v>0.92849999999999999</v>
      </c>
      <c r="R247" s="20">
        <v>0.9798</v>
      </c>
      <c r="S247" s="20">
        <v>1.0306999999999999</v>
      </c>
      <c r="T247" s="20">
        <v>1.0812999999999999</v>
      </c>
      <c r="U247" s="20">
        <v>1.1315999999999999</v>
      </c>
      <c r="V247" s="20">
        <v>1.1817</v>
      </c>
      <c r="W247"/>
      <c r="X247"/>
      <c r="Y247"/>
      <c r="Z247"/>
    </row>
    <row r="248" spans="1:26" x14ac:dyDescent="0.2">
      <c r="A248" s="19">
        <v>0.24199999999999999</v>
      </c>
      <c r="B248" s="20">
        <v>0</v>
      </c>
      <c r="C248" s="20">
        <v>7.9299999999999995E-2</v>
      </c>
      <c r="D248" s="20">
        <v>0.15490000000000001</v>
      </c>
      <c r="E248" s="20">
        <v>0.2271</v>
      </c>
      <c r="F248" s="20">
        <v>0.29620000000000002</v>
      </c>
      <c r="G248" s="20">
        <v>0.36259999999999998</v>
      </c>
      <c r="H248" s="20">
        <v>0.42649999999999999</v>
      </c>
      <c r="I248" s="20">
        <v>0.48820000000000002</v>
      </c>
      <c r="J248" s="20">
        <v>0.54790000000000005</v>
      </c>
      <c r="K248" s="20">
        <v>0.60589999999999999</v>
      </c>
      <c r="L248" s="20">
        <v>0.66239999999999999</v>
      </c>
      <c r="M248" s="20">
        <v>0.7177</v>
      </c>
      <c r="N248" s="20">
        <v>0.77180000000000004</v>
      </c>
      <c r="O248" s="20">
        <v>0.82499999999999996</v>
      </c>
      <c r="P248" s="20">
        <v>0.87749999999999995</v>
      </c>
      <c r="Q248" s="20">
        <v>0.92930000000000001</v>
      </c>
      <c r="R248" s="20">
        <v>0.98070000000000002</v>
      </c>
      <c r="S248" s="20">
        <v>1.0316000000000001</v>
      </c>
      <c r="T248" s="20">
        <v>1.0822000000000001</v>
      </c>
      <c r="U248" s="20">
        <v>1.1325000000000001</v>
      </c>
      <c r="V248" s="20">
        <v>1.1826000000000001</v>
      </c>
      <c r="W248"/>
      <c r="X248"/>
      <c r="Y248"/>
      <c r="Z248"/>
    </row>
    <row r="249" spans="1:26" x14ac:dyDescent="0.2">
      <c r="A249" s="19">
        <v>0.24299999999999999</v>
      </c>
      <c r="B249" s="20">
        <v>0</v>
      </c>
      <c r="C249" s="20">
        <v>7.9299999999999995E-2</v>
      </c>
      <c r="D249" s="20">
        <v>0.155</v>
      </c>
      <c r="E249" s="20">
        <v>0.22720000000000001</v>
      </c>
      <c r="F249" s="20">
        <v>0.2964</v>
      </c>
      <c r="G249" s="20">
        <v>0.3629</v>
      </c>
      <c r="H249" s="20">
        <v>0.4269</v>
      </c>
      <c r="I249" s="20">
        <v>0.48859999999999998</v>
      </c>
      <c r="J249" s="20">
        <v>0.5484</v>
      </c>
      <c r="K249" s="20">
        <v>0.60650000000000004</v>
      </c>
      <c r="L249" s="20">
        <v>0.66300000000000003</v>
      </c>
      <c r="M249" s="20">
        <v>0.71830000000000005</v>
      </c>
      <c r="N249" s="20">
        <v>0.77249999999999996</v>
      </c>
      <c r="O249" s="20">
        <v>0.82579999999999998</v>
      </c>
      <c r="P249" s="20">
        <v>0.87829999999999997</v>
      </c>
      <c r="Q249" s="20">
        <v>0.93020000000000003</v>
      </c>
      <c r="R249" s="20">
        <v>0.98150000000000004</v>
      </c>
      <c r="S249" s="20">
        <v>1.0325</v>
      </c>
      <c r="T249" s="20">
        <v>1.0831</v>
      </c>
      <c r="U249" s="20">
        <v>1.1334</v>
      </c>
      <c r="V249" s="20">
        <v>1.1836</v>
      </c>
      <c r="W249"/>
      <c r="X249"/>
      <c r="Y249"/>
      <c r="Z249"/>
    </row>
    <row r="250" spans="1:26" x14ac:dyDescent="0.2">
      <c r="A250" s="19">
        <v>0.24399999999999999</v>
      </c>
      <c r="B250" s="20">
        <v>0</v>
      </c>
      <c r="C250" s="20">
        <v>7.9399999999999998E-2</v>
      </c>
      <c r="D250" s="20">
        <v>0.15509999999999999</v>
      </c>
      <c r="E250" s="20">
        <v>0.22739999999999999</v>
      </c>
      <c r="F250" s="20">
        <v>0.29670000000000002</v>
      </c>
      <c r="G250" s="20">
        <v>0.36320000000000002</v>
      </c>
      <c r="H250" s="20">
        <v>0.42720000000000002</v>
      </c>
      <c r="I250" s="20">
        <v>0.48899999999999999</v>
      </c>
      <c r="J250" s="20">
        <v>0.54890000000000005</v>
      </c>
      <c r="K250" s="20">
        <v>0.60699999999999998</v>
      </c>
      <c r="L250" s="20">
        <v>0.66359999999999997</v>
      </c>
      <c r="M250" s="20">
        <v>0.71899999999999997</v>
      </c>
      <c r="N250" s="20">
        <v>0.7732</v>
      </c>
      <c r="O250" s="20">
        <v>0.82650000000000001</v>
      </c>
      <c r="P250" s="20">
        <v>0.87909999999999999</v>
      </c>
      <c r="Q250" s="20">
        <v>0.93100000000000005</v>
      </c>
      <c r="R250" s="20">
        <v>0.98240000000000005</v>
      </c>
      <c r="S250" s="20">
        <v>1.0334000000000001</v>
      </c>
      <c r="T250" s="20">
        <v>1.0840000000000001</v>
      </c>
      <c r="U250" s="20">
        <v>1.1344000000000001</v>
      </c>
      <c r="V250" s="20">
        <v>1.1845000000000001</v>
      </c>
      <c r="W250"/>
      <c r="X250"/>
      <c r="Y250"/>
      <c r="Z250"/>
    </row>
    <row r="251" spans="1:26" x14ac:dyDescent="0.2">
      <c r="A251" s="19">
        <v>0.245</v>
      </c>
      <c r="B251" s="20">
        <v>0</v>
      </c>
      <c r="C251" s="20">
        <v>7.9500000000000001E-2</v>
      </c>
      <c r="D251" s="20">
        <v>0.1552</v>
      </c>
      <c r="E251" s="20">
        <v>0.2276</v>
      </c>
      <c r="F251" s="20">
        <v>0.29699999999999999</v>
      </c>
      <c r="G251" s="20">
        <v>0.36349999999999999</v>
      </c>
      <c r="H251" s="20">
        <v>0.42759999999999998</v>
      </c>
      <c r="I251" s="20">
        <v>0.48949999999999999</v>
      </c>
      <c r="J251" s="20">
        <v>0.5494</v>
      </c>
      <c r="K251" s="20">
        <v>0.60760000000000003</v>
      </c>
      <c r="L251" s="20">
        <v>0.6643</v>
      </c>
      <c r="M251" s="20">
        <v>0.71960000000000002</v>
      </c>
      <c r="N251" s="20">
        <v>0.77390000000000003</v>
      </c>
      <c r="O251" s="20">
        <v>0.82730000000000004</v>
      </c>
      <c r="P251" s="20">
        <v>0.87990000000000002</v>
      </c>
      <c r="Q251" s="20">
        <v>0.93179999999999996</v>
      </c>
      <c r="R251" s="20">
        <v>0.98319999999999996</v>
      </c>
      <c r="S251" s="20">
        <v>1.0342</v>
      </c>
      <c r="T251" s="20">
        <v>1.0849</v>
      </c>
      <c r="U251" s="20">
        <v>1.1353</v>
      </c>
      <c r="V251" s="20">
        <v>1.1854</v>
      </c>
      <c r="W251"/>
      <c r="X251"/>
      <c r="Y251"/>
      <c r="Z251"/>
    </row>
    <row r="252" spans="1:26" x14ac:dyDescent="0.2">
      <c r="A252" s="19">
        <v>0.246</v>
      </c>
      <c r="B252" s="20">
        <v>0</v>
      </c>
      <c r="C252" s="20">
        <v>7.9500000000000001E-2</v>
      </c>
      <c r="D252" s="20">
        <v>0.15540000000000001</v>
      </c>
      <c r="E252" s="20">
        <v>0.2278</v>
      </c>
      <c r="F252" s="20">
        <v>0.29720000000000002</v>
      </c>
      <c r="G252" s="20">
        <v>0.36380000000000001</v>
      </c>
      <c r="H252" s="20">
        <v>0.42799999999999999</v>
      </c>
      <c r="I252" s="20">
        <v>0.4899</v>
      </c>
      <c r="J252" s="20">
        <v>0.54990000000000006</v>
      </c>
      <c r="K252" s="20">
        <v>0.60809999999999997</v>
      </c>
      <c r="L252" s="20">
        <v>0.66490000000000005</v>
      </c>
      <c r="M252" s="20">
        <v>0.72030000000000005</v>
      </c>
      <c r="N252" s="20">
        <v>0.77459999999999996</v>
      </c>
      <c r="O252" s="20">
        <v>0.82799999999999996</v>
      </c>
      <c r="P252" s="20">
        <v>0.88070000000000004</v>
      </c>
      <c r="Q252" s="20">
        <v>0.93259999999999998</v>
      </c>
      <c r="R252" s="20">
        <v>0.98409999999999997</v>
      </c>
      <c r="S252" s="20">
        <v>1.0350999999999999</v>
      </c>
      <c r="T252" s="20">
        <v>1.0858000000000001</v>
      </c>
      <c r="U252" s="20">
        <v>1.1362000000000001</v>
      </c>
      <c r="V252" s="20">
        <v>1.1862999999999999</v>
      </c>
      <c r="W252"/>
      <c r="X252"/>
      <c r="Y252"/>
      <c r="Z252"/>
    </row>
    <row r="253" spans="1:26" x14ac:dyDescent="0.2">
      <c r="A253" s="19">
        <v>0.247</v>
      </c>
      <c r="B253" s="20">
        <v>0</v>
      </c>
      <c r="C253" s="20">
        <v>7.9600000000000004E-2</v>
      </c>
      <c r="D253" s="20">
        <v>0.1555</v>
      </c>
      <c r="E253" s="20">
        <v>0.22800000000000001</v>
      </c>
      <c r="F253" s="20">
        <v>0.29749999999999999</v>
      </c>
      <c r="G253" s="20">
        <v>0.36420000000000002</v>
      </c>
      <c r="H253" s="20">
        <v>0.4284</v>
      </c>
      <c r="I253" s="20">
        <v>0.49030000000000001</v>
      </c>
      <c r="J253" s="20">
        <v>0.5504</v>
      </c>
      <c r="K253" s="20">
        <v>0.60870000000000002</v>
      </c>
      <c r="L253" s="20">
        <v>0.66549999999999998</v>
      </c>
      <c r="M253" s="20">
        <v>0.72089999999999999</v>
      </c>
      <c r="N253" s="20">
        <v>0.77529999999999999</v>
      </c>
      <c r="O253" s="20">
        <v>0.82879999999999998</v>
      </c>
      <c r="P253" s="20">
        <v>0.88139999999999996</v>
      </c>
      <c r="Q253" s="20">
        <v>0.9335</v>
      </c>
      <c r="R253" s="20">
        <v>0.9849</v>
      </c>
      <c r="S253" s="20">
        <v>1.036</v>
      </c>
      <c r="T253" s="20">
        <v>1.0867</v>
      </c>
      <c r="U253" s="20">
        <v>1.1371</v>
      </c>
      <c r="V253" s="20">
        <v>1.1872</v>
      </c>
      <c r="W253"/>
      <c r="X253"/>
      <c r="Y253"/>
      <c r="Z253"/>
    </row>
    <row r="254" spans="1:26" x14ac:dyDescent="0.2">
      <c r="A254" s="19">
        <v>0.248</v>
      </c>
      <c r="B254" s="20">
        <v>0</v>
      </c>
      <c r="C254" s="20">
        <v>7.9699999999999993E-2</v>
      </c>
      <c r="D254" s="20">
        <v>0.15559999999999999</v>
      </c>
      <c r="E254" s="20">
        <v>0.22819999999999999</v>
      </c>
      <c r="F254" s="20">
        <v>0.29770000000000002</v>
      </c>
      <c r="G254" s="20">
        <v>0.36449999999999999</v>
      </c>
      <c r="H254" s="20">
        <v>0.42870000000000003</v>
      </c>
      <c r="I254" s="20">
        <v>0.49080000000000001</v>
      </c>
      <c r="J254" s="20">
        <v>0.55089999999999995</v>
      </c>
      <c r="K254" s="20">
        <v>0.60919999999999996</v>
      </c>
      <c r="L254" s="20">
        <v>0.66610000000000003</v>
      </c>
      <c r="M254" s="20">
        <v>0.72160000000000002</v>
      </c>
      <c r="N254" s="20">
        <v>0.77600000000000002</v>
      </c>
      <c r="O254" s="20">
        <v>0.82950000000000002</v>
      </c>
      <c r="P254" s="20">
        <v>0.88219999999999998</v>
      </c>
      <c r="Q254" s="20">
        <v>0.93430000000000002</v>
      </c>
      <c r="R254" s="20">
        <v>0.98580000000000001</v>
      </c>
      <c r="S254" s="20">
        <v>1.0368999999999999</v>
      </c>
      <c r="T254" s="20">
        <v>1.0875999999999999</v>
      </c>
      <c r="U254" s="20">
        <v>1.1379999999999999</v>
      </c>
      <c r="V254" s="20">
        <v>1.1880999999999999</v>
      </c>
      <c r="W254"/>
      <c r="X254"/>
      <c r="Y254"/>
      <c r="Z254"/>
    </row>
    <row r="255" spans="1:26" x14ac:dyDescent="0.2">
      <c r="A255" s="19">
        <v>0.249</v>
      </c>
      <c r="B255" s="20">
        <v>0</v>
      </c>
      <c r="C255" s="20">
        <v>7.9699999999999993E-2</v>
      </c>
      <c r="D255" s="20">
        <v>0.15579999999999999</v>
      </c>
      <c r="E255" s="20">
        <v>0.22839999999999999</v>
      </c>
      <c r="F255" s="20">
        <v>0.29799999999999999</v>
      </c>
      <c r="G255" s="20">
        <v>0.36480000000000001</v>
      </c>
      <c r="H255" s="20">
        <v>0.42909999999999998</v>
      </c>
      <c r="I255" s="20">
        <v>0.49120000000000003</v>
      </c>
      <c r="J255" s="20">
        <v>0.5514</v>
      </c>
      <c r="K255" s="20">
        <v>0.60980000000000001</v>
      </c>
      <c r="L255" s="20">
        <v>0.66669999999999996</v>
      </c>
      <c r="M255" s="20">
        <v>0.72230000000000005</v>
      </c>
      <c r="N255" s="20">
        <v>0.77669999999999995</v>
      </c>
      <c r="O255" s="20">
        <v>0.83030000000000004</v>
      </c>
      <c r="P255" s="20">
        <v>0.88300000000000001</v>
      </c>
      <c r="Q255" s="20">
        <v>0.93510000000000004</v>
      </c>
      <c r="R255" s="20">
        <v>0.98660000000000003</v>
      </c>
      <c r="S255" s="20">
        <v>1.0377000000000001</v>
      </c>
      <c r="T255" s="20">
        <v>1.0884</v>
      </c>
      <c r="U255" s="20">
        <v>1.1389</v>
      </c>
      <c r="V255" s="20">
        <v>1.1890000000000001</v>
      </c>
      <c r="W255"/>
      <c r="X255"/>
      <c r="Y255"/>
      <c r="Z255"/>
    </row>
    <row r="256" spans="1:26" x14ac:dyDescent="0.2">
      <c r="A256" s="19">
        <v>0.25</v>
      </c>
      <c r="B256" s="20">
        <v>0</v>
      </c>
      <c r="C256" s="20">
        <v>7.9799999999999996E-2</v>
      </c>
      <c r="D256" s="20">
        <v>0.15590000000000001</v>
      </c>
      <c r="E256" s="20">
        <v>0.2286</v>
      </c>
      <c r="F256" s="20">
        <v>0.29820000000000002</v>
      </c>
      <c r="G256" s="20">
        <v>0.36509999999999998</v>
      </c>
      <c r="H256" s="20">
        <v>0.42949999999999999</v>
      </c>
      <c r="I256" s="20">
        <v>0.49159999999999998</v>
      </c>
      <c r="J256" s="20">
        <v>0.55179999999999996</v>
      </c>
      <c r="K256" s="20">
        <v>0.61029999999999995</v>
      </c>
      <c r="L256" s="20">
        <v>0.6673</v>
      </c>
      <c r="M256" s="20">
        <v>0.72289999999999999</v>
      </c>
      <c r="N256" s="20">
        <v>0.77739999999999998</v>
      </c>
      <c r="O256" s="20">
        <v>0.83099999999999996</v>
      </c>
      <c r="P256" s="20">
        <v>0.88380000000000003</v>
      </c>
      <c r="Q256" s="20">
        <v>0.93589999999999995</v>
      </c>
      <c r="R256" s="20">
        <v>0.98750000000000004</v>
      </c>
      <c r="S256" s="20">
        <v>1.0386</v>
      </c>
      <c r="T256" s="20">
        <v>1.0892999999999999</v>
      </c>
      <c r="U256" s="20">
        <v>1.1396999999999999</v>
      </c>
      <c r="V256" s="20">
        <v>1.1899</v>
      </c>
      <c r="W256"/>
      <c r="X256"/>
      <c r="Y256"/>
      <c r="Z256"/>
    </row>
    <row r="257" spans="1:26" x14ac:dyDescent="0.2">
      <c r="A257" s="19">
        <v>0.251</v>
      </c>
      <c r="B257" s="20">
        <v>0</v>
      </c>
      <c r="C257" s="20">
        <v>7.9899999999999999E-2</v>
      </c>
      <c r="D257" s="20">
        <v>0.156</v>
      </c>
      <c r="E257" s="20">
        <v>0.2288</v>
      </c>
      <c r="F257" s="20">
        <v>0.29849999999999999</v>
      </c>
      <c r="G257" s="20">
        <v>0.3654</v>
      </c>
      <c r="H257" s="20">
        <v>0.4299</v>
      </c>
      <c r="I257" s="20">
        <v>0.49209999999999998</v>
      </c>
      <c r="J257" s="20">
        <v>0.55230000000000001</v>
      </c>
      <c r="K257" s="20">
        <v>0.6109</v>
      </c>
      <c r="L257" s="20">
        <v>0.66790000000000005</v>
      </c>
      <c r="M257" s="20">
        <v>0.72360000000000002</v>
      </c>
      <c r="N257" s="20">
        <v>0.77810000000000001</v>
      </c>
      <c r="O257" s="20">
        <v>0.83179999999999998</v>
      </c>
      <c r="P257" s="20">
        <v>0.88460000000000005</v>
      </c>
      <c r="Q257" s="20">
        <v>0.93669999999999998</v>
      </c>
      <c r="R257" s="20">
        <v>0.98829999999999996</v>
      </c>
      <c r="S257" s="20">
        <v>1.0395000000000001</v>
      </c>
      <c r="T257" s="20">
        <v>1.0902000000000001</v>
      </c>
      <c r="U257" s="20">
        <v>1.1406000000000001</v>
      </c>
      <c r="V257" s="20">
        <v>1.1908000000000001</v>
      </c>
      <c r="W257"/>
      <c r="X257"/>
      <c r="Y257"/>
      <c r="Z257"/>
    </row>
    <row r="258" spans="1:26" x14ac:dyDescent="0.2">
      <c r="A258" s="19">
        <v>0.252</v>
      </c>
      <c r="B258" s="20">
        <v>0</v>
      </c>
      <c r="C258" s="20">
        <v>0.08</v>
      </c>
      <c r="D258" s="20">
        <v>0.15620000000000001</v>
      </c>
      <c r="E258" s="20">
        <v>0.22900000000000001</v>
      </c>
      <c r="F258" s="20">
        <v>0.29880000000000001</v>
      </c>
      <c r="G258" s="20">
        <v>0.36570000000000003</v>
      </c>
      <c r="H258" s="20">
        <v>0.43020000000000003</v>
      </c>
      <c r="I258" s="20">
        <v>0.49249999999999999</v>
      </c>
      <c r="J258" s="20">
        <v>0.55279999999999996</v>
      </c>
      <c r="K258" s="20">
        <v>0.61140000000000005</v>
      </c>
      <c r="L258" s="20">
        <v>0.66849999999999998</v>
      </c>
      <c r="M258" s="20">
        <v>0.72419999999999995</v>
      </c>
      <c r="N258" s="20">
        <v>0.77880000000000005</v>
      </c>
      <c r="O258" s="20">
        <v>0.83250000000000002</v>
      </c>
      <c r="P258" s="20">
        <v>0.88539999999999996</v>
      </c>
      <c r="Q258" s="20">
        <v>0.9375</v>
      </c>
      <c r="R258" s="20">
        <v>0.98919999999999997</v>
      </c>
      <c r="S258" s="20">
        <v>1.0403</v>
      </c>
      <c r="T258" s="20">
        <v>1.0911</v>
      </c>
      <c r="U258" s="20">
        <v>1.1415</v>
      </c>
      <c r="V258" s="20">
        <v>1.1917</v>
      </c>
      <c r="W258"/>
      <c r="X258"/>
      <c r="Y258"/>
      <c r="Z258"/>
    </row>
    <row r="259" spans="1:26" x14ac:dyDescent="0.2">
      <c r="A259" s="19">
        <v>0.253</v>
      </c>
      <c r="B259" s="20">
        <v>0</v>
      </c>
      <c r="C259" s="20">
        <v>0.08</v>
      </c>
      <c r="D259" s="20">
        <v>0.15629999999999999</v>
      </c>
      <c r="E259" s="20">
        <v>0.22919999999999999</v>
      </c>
      <c r="F259" s="20">
        <v>0.29899999999999999</v>
      </c>
      <c r="G259" s="20">
        <v>0.36609999999999998</v>
      </c>
      <c r="H259" s="20">
        <v>0.43059999999999998</v>
      </c>
      <c r="I259" s="20">
        <v>0.49299999999999999</v>
      </c>
      <c r="J259" s="20">
        <v>0.55330000000000001</v>
      </c>
      <c r="K259" s="20">
        <v>0.61199999999999999</v>
      </c>
      <c r="L259" s="20">
        <v>0.66910000000000003</v>
      </c>
      <c r="M259" s="20">
        <v>0.72489999999999999</v>
      </c>
      <c r="N259" s="20">
        <v>0.77949999999999997</v>
      </c>
      <c r="O259" s="20">
        <v>0.83320000000000005</v>
      </c>
      <c r="P259" s="20">
        <v>0.8861</v>
      </c>
      <c r="Q259" s="20">
        <v>0.93840000000000001</v>
      </c>
      <c r="R259" s="20">
        <v>0.99</v>
      </c>
      <c r="S259" s="20">
        <v>1.0411999999999999</v>
      </c>
      <c r="T259" s="20">
        <v>1.0920000000000001</v>
      </c>
      <c r="U259" s="20">
        <v>1.1424000000000001</v>
      </c>
      <c r="V259" s="20">
        <v>1.1926000000000001</v>
      </c>
      <c r="W259"/>
      <c r="X259"/>
      <c r="Y259"/>
      <c r="Z259"/>
    </row>
    <row r="260" spans="1:26" x14ac:dyDescent="0.2">
      <c r="A260" s="19">
        <v>0.254</v>
      </c>
      <c r="B260" s="20">
        <v>0</v>
      </c>
      <c r="C260" s="20">
        <v>8.0100000000000005E-2</v>
      </c>
      <c r="D260" s="20">
        <v>0.15640000000000001</v>
      </c>
      <c r="E260" s="20">
        <v>0.22939999999999999</v>
      </c>
      <c r="F260" s="20">
        <v>0.29930000000000001</v>
      </c>
      <c r="G260" s="20">
        <v>0.3664</v>
      </c>
      <c r="H260" s="20">
        <v>0.43099999999999999</v>
      </c>
      <c r="I260" s="20">
        <v>0.49340000000000001</v>
      </c>
      <c r="J260" s="20">
        <v>0.55379999999999996</v>
      </c>
      <c r="K260" s="20">
        <v>0.61250000000000004</v>
      </c>
      <c r="L260" s="20">
        <v>0.66969999999999996</v>
      </c>
      <c r="M260" s="20">
        <v>0.72550000000000003</v>
      </c>
      <c r="N260" s="20">
        <v>0.7802</v>
      </c>
      <c r="O260" s="20">
        <v>0.83399999999999996</v>
      </c>
      <c r="P260" s="20">
        <v>0.88690000000000002</v>
      </c>
      <c r="Q260" s="20">
        <v>0.93920000000000003</v>
      </c>
      <c r="R260" s="20">
        <v>0.99080000000000001</v>
      </c>
      <c r="S260" s="20">
        <v>1.042</v>
      </c>
      <c r="T260" s="20">
        <v>1.0928</v>
      </c>
      <c r="U260" s="20">
        <v>1.1433</v>
      </c>
      <c r="V260" s="20">
        <v>1.1934</v>
      </c>
      <c r="W260"/>
      <c r="X260"/>
      <c r="Y260"/>
      <c r="Z260"/>
    </row>
    <row r="261" spans="1:26" x14ac:dyDescent="0.2">
      <c r="A261" s="19">
        <v>0.255</v>
      </c>
      <c r="B261" s="20">
        <v>0</v>
      </c>
      <c r="C261" s="20">
        <v>8.0199999999999994E-2</v>
      </c>
      <c r="D261" s="20">
        <v>0.15659999999999999</v>
      </c>
      <c r="E261" s="20">
        <v>0.2296</v>
      </c>
      <c r="F261" s="20">
        <v>0.29949999999999999</v>
      </c>
      <c r="G261" s="20">
        <v>0.36670000000000003</v>
      </c>
      <c r="H261" s="20">
        <v>0.43140000000000001</v>
      </c>
      <c r="I261" s="20">
        <v>0.49380000000000002</v>
      </c>
      <c r="J261" s="20">
        <v>0.55430000000000001</v>
      </c>
      <c r="K261" s="20">
        <v>0.61309999999999998</v>
      </c>
      <c r="L261" s="20">
        <v>0.67030000000000001</v>
      </c>
      <c r="M261" s="20">
        <v>0.72619999999999996</v>
      </c>
      <c r="N261" s="20">
        <v>0.78090000000000004</v>
      </c>
      <c r="O261" s="20">
        <v>0.8347</v>
      </c>
      <c r="P261" s="20">
        <v>0.88770000000000004</v>
      </c>
      <c r="Q261" s="20">
        <v>0.94</v>
      </c>
      <c r="R261" s="20">
        <v>0.99170000000000003</v>
      </c>
      <c r="S261" s="20">
        <v>1.0428999999999999</v>
      </c>
      <c r="T261" s="20">
        <v>1.0936999999999999</v>
      </c>
      <c r="U261" s="20">
        <v>1.1442000000000001</v>
      </c>
      <c r="V261" s="20">
        <v>1.1942999999999999</v>
      </c>
      <c r="W261"/>
      <c r="X261"/>
      <c r="Y261"/>
      <c r="Z261"/>
    </row>
    <row r="262" spans="1:26" x14ac:dyDescent="0.2">
      <c r="A262" s="19">
        <v>0.25600000000000001</v>
      </c>
      <c r="B262" s="20">
        <v>0</v>
      </c>
      <c r="C262" s="20">
        <v>8.0199999999999994E-2</v>
      </c>
      <c r="D262" s="20">
        <v>0.15670000000000001</v>
      </c>
      <c r="E262" s="20">
        <v>0.2298</v>
      </c>
      <c r="F262" s="20">
        <v>0.29980000000000001</v>
      </c>
      <c r="G262" s="20">
        <v>0.36699999999999999</v>
      </c>
      <c r="H262" s="20">
        <v>0.43180000000000002</v>
      </c>
      <c r="I262" s="20">
        <v>0.49430000000000002</v>
      </c>
      <c r="J262" s="20">
        <v>0.55479999999999996</v>
      </c>
      <c r="K262" s="20">
        <v>0.61360000000000003</v>
      </c>
      <c r="L262" s="20">
        <v>0.67090000000000005</v>
      </c>
      <c r="M262" s="20">
        <v>0.7268</v>
      </c>
      <c r="N262" s="20">
        <v>0.78159999999999996</v>
      </c>
      <c r="O262" s="20">
        <v>0.83550000000000002</v>
      </c>
      <c r="P262" s="20">
        <v>0.88849999999999996</v>
      </c>
      <c r="Q262" s="20">
        <v>0.94079999999999997</v>
      </c>
      <c r="R262" s="20">
        <v>0.99250000000000005</v>
      </c>
      <c r="S262" s="20">
        <v>1.0438000000000001</v>
      </c>
      <c r="T262" s="20">
        <v>1.0946</v>
      </c>
      <c r="U262" s="20">
        <v>1.1451</v>
      </c>
      <c r="V262" s="20">
        <v>1.1952</v>
      </c>
      <c r="W262"/>
      <c r="X262"/>
      <c r="Y262"/>
      <c r="Z262"/>
    </row>
    <row r="263" spans="1:26" x14ac:dyDescent="0.2">
      <c r="A263" s="19">
        <v>0.25700000000000001</v>
      </c>
      <c r="B263" s="20">
        <v>0</v>
      </c>
      <c r="C263" s="20">
        <v>8.0299999999999996E-2</v>
      </c>
      <c r="D263" s="20">
        <v>0.15679999999999999</v>
      </c>
      <c r="E263" s="20">
        <v>0.23</v>
      </c>
      <c r="F263" s="20">
        <v>0.30009999999999998</v>
      </c>
      <c r="G263" s="20">
        <v>0.3674</v>
      </c>
      <c r="H263" s="20">
        <v>0.43219999999999997</v>
      </c>
      <c r="I263" s="20">
        <v>0.49469999999999997</v>
      </c>
      <c r="J263" s="20">
        <v>0.55530000000000002</v>
      </c>
      <c r="K263" s="20">
        <v>0.61419999999999997</v>
      </c>
      <c r="L263" s="20">
        <v>0.67149999999999999</v>
      </c>
      <c r="M263" s="20">
        <v>0.72750000000000004</v>
      </c>
      <c r="N263" s="20">
        <v>0.7823</v>
      </c>
      <c r="O263" s="20">
        <v>0.83620000000000005</v>
      </c>
      <c r="P263" s="20">
        <v>0.88929999999999998</v>
      </c>
      <c r="Q263" s="20">
        <v>0.94159999999999999</v>
      </c>
      <c r="R263" s="20">
        <v>0.99339999999999995</v>
      </c>
      <c r="S263" s="20">
        <v>1.0446</v>
      </c>
      <c r="T263" s="20">
        <v>1.0954999999999999</v>
      </c>
      <c r="U263" s="20">
        <v>1.1458999999999999</v>
      </c>
      <c r="V263" s="20">
        <v>1.1960999999999999</v>
      </c>
      <c r="W263"/>
      <c r="X263"/>
      <c r="Y263"/>
      <c r="Z263"/>
    </row>
    <row r="264" spans="1:26" x14ac:dyDescent="0.2">
      <c r="A264" s="19">
        <v>0.25800000000000001</v>
      </c>
      <c r="B264" s="20">
        <v>0</v>
      </c>
      <c r="C264" s="20">
        <v>8.0399999999999999E-2</v>
      </c>
      <c r="D264" s="20">
        <v>0.157</v>
      </c>
      <c r="E264" s="20">
        <v>0.23019999999999999</v>
      </c>
      <c r="F264" s="20">
        <v>0.30030000000000001</v>
      </c>
      <c r="G264" s="20">
        <v>0.36770000000000003</v>
      </c>
      <c r="H264" s="20">
        <v>0.4325</v>
      </c>
      <c r="I264" s="20">
        <v>0.49519999999999997</v>
      </c>
      <c r="J264" s="20">
        <v>0.55579999999999996</v>
      </c>
      <c r="K264" s="20">
        <v>0.61470000000000002</v>
      </c>
      <c r="L264" s="20">
        <v>0.67210000000000003</v>
      </c>
      <c r="M264" s="20">
        <v>0.72809999999999997</v>
      </c>
      <c r="N264" s="20">
        <v>0.78300000000000003</v>
      </c>
      <c r="O264" s="20">
        <v>0.83689999999999998</v>
      </c>
      <c r="P264" s="20">
        <v>0.89</v>
      </c>
      <c r="Q264" s="20">
        <v>0.94240000000000002</v>
      </c>
      <c r="R264" s="20">
        <v>0.99419999999999997</v>
      </c>
      <c r="S264" s="20">
        <v>1.0455000000000001</v>
      </c>
      <c r="T264" s="20">
        <v>1.0963000000000001</v>
      </c>
      <c r="U264" s="20">
        <v>1.1468</v>
      </c>
      <c r="V264" s="20">
        <v>1.1970000000000001</v>
      </c>
      <c r="W264"/>
      <c r="X264"/>
      <c r="Y264"/>
      <c r="Z264"/>
    </row>
    <row r="265" spans="1:26" x14ac:dyDescent="0.2">
      <c r="A265" s="19">
        <v>0.25900000000000001</v>
      </c>
      <c r="B265" s="20">
        <v>0</v>
      </c>
      <c r="C265" s="20">
        <v>8.0399999999999999E-2</v>
      </c>
      <c r="D265" s="20">
        <v>0.15709999999999999</v>
      </c>
      <c r="E265" s="20">
        <v>0.23039999999999999</v>
      </c>
      <c r="F265" s="20">
        <v>0.30059999999999998</v>
      </c>
      <c r="G265" s="20">
        <v>0.36799999999999999</v>
      </c>
      <c r="H265" s="20">
        <v>0.43290000000000001</v>
      </c>
      <c r="I265" s="20">
        <v>0.49559999999999998</v>
      </c>
      <c r="J265" s="20">
        <v>0.55630000000000002</v>
      </c>
      <c r="K265" s="20">
        <v>0.61529999999999996</v>
      </c>
      <c r="L265" s="20">
        <v>0.67269999999999996</v>
      </c>
      <c r="M265" s="20">
        <v>0.7288</v>
      </c>
      <c r="N265" s="20">
        <v>0.78369999999999995</v>
      </c>
      <c r="O265" s="20">
        <v>0.8377</v>
      </c>
      <c r="P265" s="20">
        <v>0.89080000000000004</v>
      </c>
      <c r="Q265" s="20">
        <v>0.94320000000000004</v>
      </c>
      <c r="R265" s="20">
        <v>0.995</v>
      </c>
      <c r="S265" s="20">
        <v>1.0463</v>
      </c>
      <c r="T265" s="20">
        <v>1.0972</v>
      </c>
      <c r="U265" s="20">
        <v>1.1476999999999999</v>
      </c>
      <c r="V265" s="20">
        <v>1.1978</v>
      </c>
      <c r="W265"/>
      <c r="X265"/>
      <c r="Y265"/>
      <c r="Z265"/>
    </row>
    <row r="266" spans="1:26" x14ac:dyDescent="0.2">
      <c r="A266" s="19">
        <v>0.26</v>
      </c>
      <c r="B266" s="20">
        <v>0</v>
      </c>
      <c r="C266" s="20">
        <v>8.0500000000000002E-2</v>
      </c>
      <c r="D266" s="20">
        <v>0.1573</v>
      </c>
      <c r="E266" s="20">
        <v>0.2306</v>
      </c>
      <c r="F266" s="20">
        <v>0.3009</v>
      </c>
      <c r="G266" s="20">
        <v>0.36830000000000002</v>
      </c>
      <c r="H266" s="20">
        <v>0.43330000000000002</v>
      </c>
      <c r="I266" s="20">
        <v>0.496</v>
      </c>
      <c r="J266" s="20">
        <v>0.55679999999999996</v>
      </c>
      <c r="K266" s="20">
        <v>0.61580000000000001</v>
      </c>
      <c r="L266" s="20">
        <v>0.67330000000000001</v>
      </c>
      <c r="M266" s="20">
        <v>0.72940000000000005</v>
      </c>
      <c r="N266" s="20">
        <v>0.78439999999999999</v>
      </c>
      <c r="O266" s="20">
        <v>0.83840000000000003</v>
      </c>
      <c r="P266" s="20">
        <v>0.89159999999999995</v>
      </c>
      <c r="Q266" s="20">
        <v>0.94399999999999995</v>
      </c>
      <c r="R266" s="20">
        <v>0.99580000000000002</v>
      </c>
      <c r="S266" s="20">
        <v>1.0471999999999999</v>
      </c>
      <c r="T266" s="20">
        <v>1.0981000000000001</v>
      </c>
      <c r="U266" s="20">
        <v>1.1486000000000001</v>
      </c>
      <c r="V266" s="20">
        <v>1.1987000000000001</v>
      </c>
      <c r="W266"/>
      <c r="X266"/>
      <c r="Y266"/>
      <c r="Z266"/>
    </row>
    <row r="267" spans="1:26" x14ac:dyDescent="0.2">
      <c r="A267" s="19">
        <v>0.26100000000000001</v>
      </c>
      <c r="B267" s="20">
        <v>0</v>
      </c>
      <c r="C267" s="20">
        <v>8.0600000000000005E-2</v>
      </c>
      <c r="D267" s="20">
        <v>0.15740000000000001</v>
      </c>
      <c r="E267" s="20">
        <v>0.23080000000000001</v>
      </c>
      <c r="F267" s="20">
        <v>0.30109999999999998</v>
      </c>
      <c r="G267" s="20">
        <v>0.36870000000000003</v>
      </c>
      <c r="H267" s="20">
        <v>0.43369999999999997</v>
      </c>
      <c r="I267" s="20">
        <v>0.4965</v>
      </c>
      <c r="J267" s="20">
        <v>0.55730000000000002</v>
      </c>
      <c r="K267" s="20">
        <v>0.61639999999999995</v>
      </c>
      <c r="L267" s="20">
        <v>0.67390000000000005</v>
      </c>
      <c r="M267" s="20">
        <v>0.73009999999999997</v>
      </c>
      <c r="N267" s="20">
        <v>0.78510000000000002</v>
      </c>
      <c r="O267" s="20">
        <v>0.83909999999999996</v>
      </c>
      <c r="P267" s="20">
        <v>0.89229999999999998</v>
      </c>
      <c r="Q267" s="20">
        <v>0.94479999999999997</v>
      </c>
      <c r="R267" s="20">
        <v>0.99670000000000003</v>
      </c>
      <c r="S267" s="20">
        <v>1.048</v>
      </c>
      <c r="T267" s="20">
        <v>1.0989</v>
      </c>
      <c r="U267" s="20">
        <v>1.1494</v>
      </c>
      <c r="V267" s="20">
        <v>1.1996</v>
      </c>
      <c r="W267"/>
      <c r="X267"/>
      <c r="Y267"/>
      <c r="Z267"/>
    </row>
    <row r="268" spans="1:26" x14ac:dyDescent="0.2">
      <c r="A268" s="19">
        <v>0.26200000000000001</v>
      </c>
      <c r="B268" s="20">
        <v>0</v>
      </c>
      <c r="C268" s="20">
        <v>8.0600000000000005E-2</v>
      </c>
      <c r="D268" s="20">
        <v>0.1575</v>
      </c>
      <c r="E268" s="20">
        <v>0.23100000000000001</v>
      </c>
      <c r="F268" s="20">
        <v>0.3014</v>
      </c>
      <c r="G268" s="20">
        <v>0.36899999999999999</v>
      </c>
      <c r="H268" s="20">
        <v>0.43409999999999999</v>
      </c>
      <c r="I268" s="20">
        <v>0.49690000000000001</v>
      </c>
      <c r="J268" s="20">
        <v>0.55779999999999996</v>
      </c>
      <c r="K268" s="20">
        <v>0.6169</v>
      </c>
      <c r="L268" s="20">
        <v>0.67449999999999999</v>
      </c>
      <c r="M268" s="20">
        <v>0.73070000000000002</v>
      </c>
      <c r="N268" s="20">
        <v>0.78580000000000005</v>
      </c>
      <c r="O268" s="20">
        <v>0.83989999999999998</v>
      </c>
      <c r="P268" s="20">
        <v>0.8931</v>
      </c>
      <c r="Q268" s="20">
        <v>0.9456</v>
      </c>
      <c r="R268" s="20">
        <v>0.99750000000000005</v>
      </c>
      <c r="S268" s="20">
        <v>1.0488999999999999</v>
      </c>
      <c r="T268" s="20">
        <v>1.0998000000000001</v>
      </c>
      <c r="U268" s="20">
        <v>1.1503000000000001</v>
      </c>
      <c r="V268" s="20">
        <v>1.2004999999999999</v>
      </c>
      <c r="W268"/>
      <c r="X268"/>
      <c r="Y268"/>
      <c r="Z268"/>
    </row>
    <row r="269" spans="1:26" x14ac:dyDescent="0.2">
      <c r="A269" s="19">
        <v>0.26300000000000001</v>
      </c>
      <c r="B269" s="20">
        <v>0</v>
      </c>
      <c r="C269" s="20">
        <v>8.0699999999999994E-2</v>
      </c>
      <c r="D269" s="20">
        <v>0.15770000000000001</v>
      </c>
      <c r="E269" s="20">
        <v>0.23119999999999999</v>
      </c>
      <c r="F269" s="20">
        <v>0.30159999999999998</v>
      </c>
      <c r="G269" s="20">
        <v>0.36930000000000002</v>
      </c>
      <c r="H269" s="20">
        <v>0.4345</v>
      </c>
      <c r="I269" s="20">
        <v>0.49740000000000001</v>
      </c>
      <c r="J269" s="20">
        <v>0.55830000000000002</v>
      </c>
      <c r="K269" s="20">
        <v>0.61750000000000005</v>
      </c>
      <c r="L269" s="20">
        <v>0.67510000000000003</v>
      </c>
      <c r="M269" s="20">
        <v>0.73140000000000005</v>
      </c>
      <c r="N269" s="20">
        <v>0.78649999999999998</v>
      </c>
      <c r="O269" s="20">
        <v>0.84060000000000001</v>
      </c>
      <c r="P269" s="20">
        <v>0.89390000000000003</v>
      </c>
      <c r="Q269" s="20">
        <v>0.94640000000000002</v>
      </c>
      <c r="R269" s="20">
        <v>0.99829999999999997</v>
      </c>
      <c r="S269" s="20">
        <v>1.0497000000000001</v>
      </c>
      <c r="T269" s="20">
        <v>1.1006</v>
      </c>
      <c r="U269" s="20">
        <v>1.1512</v>
      </c>
      <c r="V269" s="20">
        <v>1.2013</v>
      </c>
      <c r="W269"/>
      <c r="X269"/>
      <c r="Y269"/>
      <c r="Z269"/>
    </row>
    <row r="270" spans="1:26" x14ac:dyDescent="0.2">
      <c r="A270" s="19">
        <v>0.26400000000000001</v>
      </c>
      <c r="B270" s="20">
        <v>0</v>
      </c>
      <c r="C270" s="20">
        <v>8.0799999999999997E-2</v>
      </c>
      <c r="D270" s="20">
        <v>0.1578</v>
      </c>
      <c r="E270" s="20">
        <v>0.23139999999999999</v>
      </c>
      <c r="F270" s="20">
        <v>0.3019</v>
      </c>
      <c r="G270" s="20">
        <v>0.36959999999999998</v>
      </c>
      <c r="H270" s="20">
        <v>0.43480000000000002</v>
      </c>
      <c r="I270" s="20">
        <v>0.49780000000000002</v>
      </c>
      <c r="J270" s="20">
        <v>0.55879999999999996</v>
      </c>
      <c r="K270" s="20">
        <v>0.61799999999999999</v>
      </c>
      <c r="L270" s="20">
        <v>0.67569999999999997</v>
      </c>
      <c r="M270" s="20">
        <v>0.73199999999999998</v>
      </c>
      <c r="N270" s="20">
        <v>0.78720000000000001</v>
      </c>
      <c r="O270" s="20">
        <v>0.84130000000000005</v>
      </c>
      <c r="P270" s="20">
        <v>0.89459999999999995</v>
      </c>
      <c r="Q270" s="20">
        <v>0.94720000000000004</v>
      </c>
      <c r="R270" s="20">
        <v>0.99909999999999999</v>
      </c>
      <c r="S270" s="20">
        <v>1.0505</v>
      </c>
      <c r="T270" s="20">
        <v>1.1014999999999999</v>
      </c>
      <c r="U270" s="20">
        <v>1.1519999999999999</v>
      </c>
      <c r="V270" s="20">
        <v>1.2021999999999999</v>
      </c>
      <c r="W270"/>
      <c r="X270"/>
      <c r="Y270"/>
      <c r="Z270"/>
    </row>
    <row r="271" spans="1:26" x14ac:dyDescent="0.2">
      <c r="A271" s="19">
        <v>0.26500000000000001</v>
      </c>
      <c r="B271" s="20">
        <v>0</v>
      </c>
      <c r="C271" s="20">
        <v>8.09E-2</v>
      </c>
      <c r="D271" s="20">
        <v>0.15790000000000001</v>
      </c>
      <c r="E271" s="20">
        <v>0.2316</v>
      </c>
      <c r="F271" s="20">
        <v>0.30220000000000002</v>
      </c>
      <c r="G271" s="20">
        <v>0.37</v>
      </c>
      <c r="H271" s="20">
        <v>0.43519999999999998</v>
      </c>
      <c r="I271" s="20">
        <v>0.49830000000000002</v>
      </c>
      <c r="J271" s="20">
        <v>0.55930000000000002</v>
      </c>
      <c r="K271" s="20">
        <v>0.61860000000000004</v>
      </c>
      <c r="L271" s="20">
        <v>0.67630000000000001</v>
      </c>
      <c r="M271" s="20">
        <v>0.73270000000000002</v>
      </c>
      <c r="N271" s="20">
        <v>0.78790000000000004</v>
      </c>
      <c r="O271" s="20">
        <v>0.84209999999999996</v>
      </c>
      <c r="P271" s="20">
        <v>0.89539999999999997</v>
      </c>
      <c r="Q271" s="20">
        <v>0.94799999999999995</v>
      </c>
      <c r="R271" s="20">
        <v>1</v>
      </c>
      <c r="S271" s="20">
        <v>1.0513999999999999</v>
      </c>
      <c r="T271" s="20">
        <v>1.1023000000000001</v>
      </c>
      <c r="U271" s="20">
        <v>1.1529</v>
      </c>
      <c r="V271" s="20">
        <v>1.2030000000000001</v>
      </c>
      <c r="W271"/>
      <c r="X271"/>
      <c r="Y271"/>
      <c r="Z271"/>
    </row>
    <row r="272" spans="1:26" x14ac:dyDescent="0.2">
      <c r="A272" s="19">
        <v>0.26600000000000001</v>
      </c>
      <c r="B272" s="20">
        <v>0</v>
      </c>
      <c r="C272" s="20">
        <v>8.09E-2</v>
      </c>
      <c r="D272" s="20">
        <v>0.15809999999999999</v>
      </c>
      <c r="E272" s="20">
        <v>0.23180000000000001</v>
      </c>
      <c r="F272" s="20">
        <v>0.3024</v>
      </c>
      <c r="G272" s="20">
        <v>0.37030000000000002</v>
      </c>
      <c r="H272" s="20">
        <v>0.43559999999999999</v>
      </c>
      <c r="I272" s="20">
        <v>0.49869999999999998</v>
      </c>
      <c r="J272" s="20">
        <v>0.55979999999999996</v>
      </c>
      <c r="K272" s="20">
        <v>0.61909999999999998</v>
      </c>
      <c r="L272" s="20">
        <v>0.67689999999999995</v>
      </c>
      <c r="M272" s="20">
        <v>0.73329999999999995</v>
      </c>
      <c r="N272" s="20">
        <v>0.78859999999999997</v>
      </c>
      <c r="O272" s="20">
        <v>0.84279999999999999</v>
      </c>
      <c r="P272" s="20">
        <v>0.8962</v>
      </c>
      <c r="Q272" s="20">
        <v>0.94879999999999998</v>
      </c>
      <c r="R272" s="20">
        <v>1.0007999999999999</v>
      </c>
      <c r="S272" s="20">
        <v>1.0522</v>
      </c>
      <c r="T272" s="20">
        <v>1.1032</v>
      </c>
      <c r="U272" s="20">
        <v>1.1536999999999999</v>
      </c>
      <c r="V272" s="20">
        <v>1.2039</v>
      </c>
      <c r="W272"/>
      <c r="X272"/>
      <c r="Y272"/>
      <c r="Z272"/>
    </row>
    <row r="273" spans="1:26" x14ac:dyDescent="0.2">
      <c r="A273" s="19">
        <v>0.26700000000000002</v>
      </c>
      <c r="B273" s="20">
        <v>0</v>
      </c>
      <c r="C273" s="20">
        <v>8.1000000000000003E-2</v>
      </c>
      <c r="D273" s="20">
        <v>0.15820000000000001</v>
      </c>
      <c r="E273" s="20">
        <v>0.23200000000000001</v>
      </c>
      <c r="F273" s="20">
        <v>0.30270000000000002</v>
      </c>
      <c r="G273" s="20">
        <v>0.37059999999999998</v>
      </c>
      <c r="H273" s="20">
        <v>0.436</v>
      </c>
      <c r="I273" s="20">
        <v>0.49909999999999999</v>
      </c>
      <c r="J273" s="20">
        <v>0.56030000000000002</v>
      </c>
      <c r="K273" s="20">
        <v>0.61970000000000003</v>
      </c>
      <c r="L273" s="20">
        <v>0.67749999999999999</v>
      </c>
      <c r="M273" s="20">
        <v>0.73399999999999999</v>
      </c>
      <c r="N273" s="20">
        <v>0.7893</v>
      </c>
      <c r="O273" s="20">
        <v>0.84350000000000003</v>
      </c>
      <c r="P273" s="20">
        <v>0.89690000000000003</v>
      </c>
      <c r="Q273" s="20">
        <v>0.9496</v>
      </c>
      <c r="R273" s="20">
        <v>1.0016</v>
      </c>
      <c r="S273" s="20">
        <v>1.0529999999999999</v>
      </c>
      <c r="T273" s="20">
        <v>1.1040000000000001</v>
      </c>
      <c r="U273" s="20">
        <v>1.1546000000000001</v>
      </c>
      <c r="V273" s="20">
        <v>1.2048000000000001</v>
      </c>
      <c r="W273"/>
      <c r="X273"/>
      <c r="Y273"/>
      <c r="Z273"/>
    </row>
    <row r="274" spans="1:26" x14ac:dyDescent="0.2">
      <c r="A274" s="19">
        <v>0.26800000000000002</v>
      </c>
      <c r="B274" s="20">
        <v>0</v>
      </c>
      <c r="C274" s="20">
        <v>8.1100000000000005E-2</v>
      </c>
      <c r="D274" s="20">
        <v>0.15840000000000001</v>
      </c>
      <c r="E274" s="20">
        <v>0.23219999999999999</v>
      </c>
      <c r="F274" s="20">
        <v>0.30299999999999999</v>
      </c>
      <c r="G274" s="20">
        <v>0.37090000000000001</v>
      </c>
      <c r="H274" s="20">
        <v>0.43640000000000001</v>
      </c>
      <c r="I274" s="20">
        <v>0.49959999999999999</v>
      </c>
      <c r="J274" s="20">
        <v>0.56079999999999997</v>
      </c>
      <c r="K274" s="20">
        <v>0.62019999999999997</v>
      </c>
      <c r="L274" s="20">
        <v>0.67810000000000004</v>
      </c>
      <c r="M274" s="20">
        <v>0.73460000000000003</v>
      </c>
      <c r="N274" s="20">
        <v>0.78990000000000005</v>
      </c>
      <c r="O274" s="20">
        <v>0.84430000000000005</v>
      </c>
      <c r="P274" s="20">
        <v>0.89770000000000005</v>
      </c>
      <c r="Q274" s="20">
        <v>0.95040000000000002</v>
      </c>
      <c r="R274" s="20">
        <v>1.0024</v>
      </c>
      <c r="S274" s="20">
        <v>1.0539000000000001</v>
      </c>
      <c r="T274" s="20">
        <v>1.1049</v>
      </c>
      <c r="U274" s="20">
        <v>1.1554</v>
      </c>
      <c r="V274" s="20">
        <v>1.2056</v>
      </c>
      <c r="W274"/>
      <c r="X274"/>
      <c r="Y274"/>
      <c r="Z274"/>
    </row>
    <row r="275" spans="1:26" x14ac:dyDescent="0.2">
      <c r="A275" s="19">
        <v>0.26900000000000002</v>
      </c>
      <c r="B275" s="20">
        <v>0</v>
      </c>
      <c r="C275" s="20">
        <v>8.1100000000000005E-2</v>
      </c>
      <c r="D275" s="20">
        <v>0.1585</v>
      </c>
      <c r="E275" s="20">
        <v>0.2324</v>
      </c>
      <c r="F275" s="20">
        <v>0.30330000000000001</v>
      </c>
      <c r="G275" s="20">
        <v>0.37130000000000002</v>
      </c>
      <c r="H275" s="20">
        <v>0.43680000000000002</v>
      </c>
      <c r="I275" s="20">
        <v>0.5</v>
      </c>
      <c r="J275" s="20">
        <v>0.56130000000000002</v>
      </c>
      <c r="K275" s="20">
        <v>0.62080000000000002</v>
      </c>
      <c r="L275" s="20">
        <v>0.67869999999999997</v>
      </c>
      <c r="M275" s="20">
        <v>0.73529999999999995</v>
      </c>
      <c r="N275" s="20">
        <v>0.79059999999999997</v>
      </c>
      <c r="O275" s="20">
        <v>0.84499999999999997</v>
      </c>
      <c r="P275" s="20">
        <v>0.89839999999999998</v>
      </c>
      <c r="Q275" s="20">
        <v>0.95120000000000005</v>
      </c>
      <c r="R275" s="20">
        <v>1.0032000000000001</v>
      </c>
      <c r="S275" s="20">
        <v>1.0547</v>
      </c>
      <c r="T275" s="20">
        <v>1.1056999999999999</v>
      </c>
      <c r="U275" s="20">
        <v>1.1563000000000001</v>
      </c>
      <c r="V275" s="20">
        <v>1.2064999999999999</v>
      </c>
      <c r="W275"/>
      <c r="X275"/>
      <c r="Y275"/>
      <c r="Z275"/>
    </row>
    <row r="276" spans="1:26" x14ac:dyDescent="0.2">
      <c r="A276" s="19">
        <v>0.27</v>
      </c>
      <c r="B276" s="20">
        <v>0</v>
      </c>
      <c r="C276" s="20">
        <v>8.1199999999999994E-2</v>
      </c>
      <c r="D276" s="20">
        <v>0.15859999999999999</v>
      </c>
      <c r="E276" s="20">
        <v>0.2326</v>
      </c>
      <c r="F276" s="20">
        <v>0.30349999999999999</v>
      </c>
      <c r="G276" s="20">
        <v>0.37159999999999999</v>
      </c>
      <c r="H276" s="20">
        <v>0.43719999999999998</v>
      </c>
      <c r="I276" s="20">
        <v>0.50049999999999994</v>
      </c>
      <c r="J276" s="20">
        <v>0.56179999999999997</v>
      </c>
      <c r="K276" s="20">
        <v>0.62129999999999996</v>
      </c>
      <c r="L276" s="20">
        <v>0.67930000000000001</v>
      </c>
      <c r="M276" s="20">
        <v>0.7359</v>
      </c>
      <c r="N276" s="20">
        <v>0.7913</v>
      </c>
      <c r="O276" s="20">
        <v>0.84570000000000001</v>
      </c>
      <c r="P276" s="20">
        <v>0.8992</v>
      </c>
      <c r="Q276" s="20">
        <v>0.95189999999999997</v>
      </c>
      <c r="R276" s="20">
        <v>1.004</v>
      </c>
      <c r="S276" s="20">
        <v>1.0555000000000001</v>
      </c>
      <c r="T276" s="20">
        <v>1.1066</v>
      </c>
      <c r="U276" s="20">
        <v>1.1571</v>
      </c>
      <c r="V276" s="20">
        <v>1.2073</v>
      </c>
      <c r="W276"/>
      <c r="X276"/>
      <c r="Y276"/>
      <c r="Z276"/>
    </row>
    <row r="277" spans="1:26" x14ac:dyDescent="0.2">
      <c r="A277" s="19">
        <v>0.27100000000000002</v>
      </c>
      <c r="B277" s="20">
        <v>0</v>
      </c>
      <c r="C277" s="20">
        <v>8.1299999999999997E-2</v>
      </c>
      <c r="D277" s="20">
        <v>0.1588</v>
      </c>
      <c r="E277" s="20">
        <v>0.23280000000000001</v>
      </c>
      <c r="F277" s="20">
        <v>0.30380000000000001</v>
      </c>
      <c r="G277" s="20">
        <v>0.37190000000000001</v>
      </c>
      <c r="H277" s="20">
        <v>0.43759999999999999</v>
      </c>
      <c r="I277" s="20">
        <v>0.50090000000000001</v>
      </c>
      <c r="J277" s="20">
        <v>0.56230000000000002</v>
      </c>
      <c r="K277" s="20">
        <v>0.62190000000000001</v>
      </c>
      <c r="L277" s="20">
        <v>0.67989999999999995</v>
      </c>
      <c r="M277" s="20">
        <v>0.73650000000000004</v>
      </c>
      <c r="N277" s="20">
        <v>0.79200000000000004</v>
      </c>
      <c r="O277" s="20">
        <v>0.84640000000000004</v>
      </c>
      <c r="P277" s="20">
        <v>0.9</v>
      </c>
      <c r="Q277" s="20">
        <v>0.95269999999999999</v>
      </c>
      <c r="R277" s="20">
        <v>1.0047999999999999</v>
      </c>
      <c r="S277" s="20">
        <v>1.0564</v>
      </c>
      <c r="T277" s="20">
        <v>1.1073999999999999</v>
      </c>
      <c r="U277" s="20">
        <v>1.1579999999999999</v>
      </c>
      <c r="V277" s="20">
        <v>1.2081999999999999</v>
      </c>
      <c r="W277"/>
      <c r="X277"/>
      <c r="Y277"/>
      <c r="Z277"/>
    </row>
    <row r="278" spans="1:26" x14ac:dyDescent="0.2">
      <c r="A278" s="19">
        <v>0.27200000000000002</v>
      </c>
      <c r="B278" s="20">
        <v>0</v>
      </c>
      <c r="C278" s="20">
        <v>8.14E-2</v>
      </c>
      <c r="D278" s="20">
        <v>0.15890000000000001</v>
      </c>
      <c r="E278" s="20">
        <v>0.23300000000000001</v>
      </c>
      <c r="F278" s="20">
        <v>0.30409999999999998</v>
      </c>
      <c r="G278" s="20">
        <v>0.37230000000000002</v>
      </c>
      <c r="H278" s="20">
        <v>0.43790000000000001</v>
      </c>
      <c r="I278" s="20">
        <v>0.50139999999999996</v>
      </c>
      <c r="J278" s="20">
        <v>0.56279999999999997</v>
      </c>
      <c r="K278" s="20">
        <v>0.62239999999999995</v>
      </c>
      <c r="L278" s="20">
        <v>0.68049999999999999</v>
      </c>
      <c r="M278" s="20">
        <v>0.73719999999999997</v>
      </c>
      <c r="N278" s="20">
        <v>0.79269999999999996</v>
      </c>
      <c r="O278" s="20">
        <v>0.84719999999999995</v>
      </c>
      <c r="P278" s="20">
        <v>0.90069999999999995</v>
      </c>
      <c r="Q278" s="20">
        <v>0.95350000000000001</v>
      </c>
      <c r="R278" s="20">
        <v>1.0056</v>
      </c>
      <c r="S278" s="20">
        <v>1.0571999999999999</v>
      </c>
      <c r="T278" s="20">
        <v>1.1082000000000001</v>
      </c>
      <c r="U278" s="20">
        <v>1.1588000000000001</v>
      </c>
      <c r="V278" s="20">
        <v>1.2090000000000001</v>
      </c>
      <c r="W278"/>
      <c r="X278"/>
      <c r="Y278"/>
      <c r="Z278"/>
    </row>
    <row r="279" spans="1:26" x14ac:dyDescent="0.2">
      <c r="A279" s="19">
        <v>0.27300000000000002</v>
      </c>
      <c r="B279" s="20">
        <v>0</v>
      </c>
      <c r="C279" s="20">
        <v>8.14E-2</v>
      </c>
      <c r="D279" s="20">
        <v>0.15909999999999999</v>
      </c>
      <c r="E279" s="20">
        <v>0.23330000000000001</v>
      </c>
      <c r="F279" s="20">
        <v>0.30430000000000001</v>
      </c>
      <c r="G279" s="20">
        <v>0.37259999999999999</v>
      </c>
      <c r="H279" s="20">
        <v>0.43830000000000002</v>
      </c>
      <c r="I279" s="20">
        <v>0.50180000000000002</v>
      </c>
      <c r="J279" s="20">
        <v>0.56330000000000002</v>
      </c>
      <c r="K279" s="20">
        <v>0.623</v>
      </c>
      <c r="L279" s="20">
        <v>0.68110000000000004</v>
      </c>
      <c r="M279" s="20">
        <v>0.73780000000000001</v>
      </c>
      <c r="N279" s="20">
        <v>0.79339999999999999</v>
      </c>
      <c r="O279" s="20">
        <v>0.84789999999999999</v>
      </c>
      <c r="P279" s="20">
        <v>0.90149999999999997</v>
      </c>
      <c r="Q279" s="20">
        <v>0.95430000000000004</v>
      </c>
      <c r="R279" s="20">
        <v>1.0064</v>
      </c>
      <c r="S279" s="20">
        <v>1.0580000000000001</v>
      </c>
      <c r="T279" s="20">
        <v>1.1091</v>
      </c>
      <c r="U279" s="20">
        <v>1.1597</v>
      </c>
      <c r="V279" s="20">
        <v>1.2099</v>
      </c>
      <c r="W279"/>
      <c r="X279"/>
      <c r="Y279"/>
      <c r="Z279"/>
    </row>
    <row r="280" spans="1:26" x14ac:dyDescent="0.2">
      <c r="A280" s="19">
        <v>0.27400000000000002</v>
      </c>
      <c r="B280" s="20">
        <v>0</v>
      </c>
      <c r="C280" s="20">
        <v>8.1500000000000003E-2</v>
      </c>
      <c r="D280" s="20">
        <v>0.15920000000000001</v>
      </c>
      <c r="E280" s="20">
        <v>0.23350000000000001</v>
      </c>
      <c r="F280" s="20">
        <v>0.30459999999999998</v>
      </c>
      <c r="G280" s="20">
        <v>0.37290000000000001</v>
      </c>
      <c r="H280" s="20">
        <v>0.43869999999999998</v>
      </c>
      <c r="I280" s="20">
        <v>0.50229999999999997</v>
      </c>
      <c r="J280" s="20">
        <v>0.56379999999999997</v>
      </c>
      <c r="K280" s="20">
        <v>0.62350000000000005</v>
      </c>
      <c r="L280" s="20">
        <v>0.68169999999999997</v>
      </c>
      <c r="M280" s="20">
        <v>0.73850000000000005</v>
      </c>
      <c r="N280" s="20">
        <v>0.79410000000000003</v>
      </c>
      <c r="O280" s="20">
        <v>0.84860000000000002</v>
      </c>
      <c r="P280" s="20">
        <v>0.9022</v>
      </c>
      <c r="Q280" s="20">
        <v>0.95509999999999995</v>
      </c>
      <c r="R280" s="20">
        <v>1.0072000000000001</v>
      </c>
      <c r="S280" s="20">
        <v>1.0588</v>
      </c>
      <c r="T280" s="20">
        <v>1.1099000000000001</v>
      </c>
      <c r="U280" s="20">
        <v>1.1605000000000001</v>
      </c>
      <c r="V280" s="20">
        <v>1.2107000000000001</v>
      </c>
      <c r="W280"/>
      <c r="X280"/>
      <c r="Y280"/>
      <c r="Z280"/>
    </row>
    <row r="281" spans="1:26" x14ac:dyDescent="0.2">
      <c r="A281" s="19">
        <v>0.27500000000000002</v>
      </c>
      <c r="B281" s="20">
        <v>0</v>
      </c>
      <c r="C281" s="20">
        <v>8.1600000000000006E-2</v>
      </c>
      <c r="D281" s="20">
        <v>0.1593</v>
      </c>
      <c r="E281" s="20">
        <v>0.23369999999999999</v>
      </c>
      <c r="F281" s="20">
        <v>0.3049</v>
      </c>
      <c r="G281" s="20">
        <v>0.37330000000000002</v>
      </c>
      <c r="H281" s="20">
        <v>0.43909999999999999</v>
      </c>
      <c r="I281" s="20">
        <v>0.50270000000000004</v>
      </c>
      <c r="J281" s="20">
        <v>0.56430000000000002</v>
      </c>
      <c r="K281" s="20">
        <v>0.62409999999999999</v>
      </c>
      <c r="L281" s="20">
        <v>0.68230000000000002</v>
      </c>
      <c r="M281" s="20">
        <v>0.73909999999999998</v>
      </c>
      <c r="N281" s="20">
        <v>0.79469999999999996</v>
      </c>
      <c r="O281" s="20">
        <v>0.84930000000000005</v>
      </c>
      <c r="P281" s="20">
        <v>0.90300000000000002</v>
      </c>
      <c r="Q281" s="20">
        <v>0.95589999999999997</v>
      </c>
      <c r="R281" s="20">
        <v>1.008</v>
      </c>
      <c r="S281" s="20">
        <v>1.0597000000000001</v>
      </c>
      <c r="T281" s="20">
        <v>1.1107</v>
      </c>
      <c r="U281" s="20">
        <v>1.1614</v>
      </c>
      <c r="V281" s="20">
        <v>1.2116</v>
      </c>
      <c r="W281"/>
      <c r="X281"/>
      <c r="Y281"/>
      <c r="Z281"/>
    </row>
    <row r="282" spans="1:26" x14ac:dyDescent="0.2">
      <c r="A282" s="19">
        <v>0.27600000000000002</v>
      </c>
      <c r="B282" s="20">
        <v>0</v>
      </c>
      <c r="C282" s="20">
        <v>8.1600000000000006E-2</v>
      </c>
      <c r="D282" s="20">
        <v>0.1595</v>
      </c>
      <c r="E282" s="20">
        <v>0.2339</v>
      </c>
      <c r="F282" s="20">
        <v>0.30509999999999998</v>
      </c>
      <c r="G282" s="20">
        <v>0.37359999999999999</v>
      </c>
      <c r="H282" s="20">
        <v>0.4395</v>
      </c>
      <c r="I282" s="20">
        <v>0.50309999999999999</v>
      </c>
      <c r="J282" s="20">
        <v>0.56479999999999997</v>
      </c>
      <c r="K282" s="20">
        <v>0.62460000000000004</v>
      </c>
      <c r="L282" s="20">
        <v>0.68289999999999995</v>
      </c>
      <c r="M282" s="20">
        <v>0.73980000000000001</v>
      </c>
      <c r="N282" s="20">
        <v>0.7954</v>
      </c>
      <c r="O282" s="20">
        <v>0.85</v>
      </c>
      <c r="P282" s="20">
        <v>0.90369999999999995</v>
      </c>
      <c r="Q282" s="20">
        <v>0.95660000000000001</v>
      </c>
      <c r="R282" s="20">
        <v>1.0088999999999999</v>
      </c>
      <c r="S282" s="20">
        <v>1.0605</v>
      </c>
      <c r="T282" s="20">
        <v>1.1115999999999999</v>
      </c>
      <c r="U282" s="20">
        <v>1.1621999999999999</v>
      </c>
      <c r="V282" s="20">
        <v>1.2123999999999999</v>
      </c>
      <c r="W282"/>
      <c r="X282"/>
      <c r="Y282"/>
      <c r="Z282"/>
    </row>
    <row r="283" spans="1:26" x14ac:dyDescent="0.2">
      <c r="A283" s="19">
        <v>0.27700000000000002</v>
      </c>
      <c r="B283" s="20">
        <v>0</v>
      </c>
      <c r="C283" s="20">
        <v>8.1699999999999995E-2</v>
      </c>
      <c r="D283" s="20">
        <v>0.15959999999999999</v>
      </c>
      <c r="E283" s="20">
        <v>0.2341</v>
      </c>
      <c r="F283" s="20">
        <v>0.3054</v>
      </c>
      <c r="G283" s="20">
        <v>0.37390000000000001</v>
      </c>
      <c r="H283" s="20">
        <v>0.43990000000000001</v>
      </c>
      <c r="I283" s="20">
        <v>0.50360000000000005</v>
      </c>
      <c r="J283" s="20">
        <v>0.56530000000000002</v>
      </c>
      <c r="K283" s="20">
        <v>0.62519999999999998</v>
      </c>
      <c r="L283" s="20">
        <v>0.6835</v>
      </c>
      <c r="M283" s="20">
        <v>0.74039999999999995</v>
      </c>
      <c r="N283" s="20">
        <v>0.79610000000000003</v>
      </c>
      <c r="O283" s="20">
        <v>0.85070000000000001</v>
      </c>
      <c r="P283" s="20">
        <v>0.90449999999999997</v>
      </c>
      <c r="Q283" s="20">
        <v>0.95740000000000003</v>
      </c>
      <c r="R283" s="20">
        <v>1.0096000000000001</v>
      </c>
      <c r="S283" s="20">
        <v>1.0612999999999999</v>
      </c>
      <c r="T283" s="20">
        <v>1.1124000000000001</v>
      </c>
      <c r="U283" s="20">
        <v>1.163</v>
      </c>
      <c r="V283" s="20">
        <v>1.2132000000000001</v>
      </c>
      <c r="W283"/>
      <c r="X283"/>
      <c r="Y283"/>
      <c r="Z283"/>
    </row>
    <row r="284" spans="1:26" x14ac:dyDescent="0.2">
      <c r="A284" s="19">
        <v>0.27800000000000002</v>
      </c>
      <c r="B284" s="20">
        <v>0</v>
      </c>
      <c r="C284" s="20">
        <v>8.1799999999999998E-2</v>
      </c>
      <c r="D284" s="20">
        <v>0.1598</v>
      </c>
      <c r="E284" s="20">
        <v>0.23430000000000001</v>
      </c>
      <c r="F284" s="20">
        <v>0.30570000000000003</v>
      </c>
      <c r="G284" s="20">
        <v>0.37419999999999998</v>
      </c>
      <c r="H284" s="20">
        <v>0.44030000000000002</v>
      </c>
      <c r="I284" s="20">
        <v>0.504</v>
      </c>
      <c r="J284" s="20">
        <v>0.56579999999999997</v>
      </c>
      <c r="K284" s="20">
        <v>0.62570000000000003</v>
      </c>
      <c r="L284" s="20">
        <v>0.68410000000000004</v>
      </c>
      <c r="M284" s="20">
        <v>0.74099999999999999</v>
      </c>
      <c r="N284" s="20">
        <v>0.79679999999999995</v>
      </c>
      <c r="O284" s="20">
        <v>0.85150000000000003</v>
      </c>
      <c r="P284" s="20">
        <v>0.9052</v>
      </c>
      <c r="Q284" s="20">
        <v>0.95820000000000005</v>
      </c>
      <c r="R284" s="20">
        <v>1.0104</v>
      </c>
      <c r="S284" s="20">
        <v>1.0621</v>
      </c>
      <c r="T284" s="20">
        <v>1.1132</v>
      </c>
      <c r="U284" s="20">
        <v>1.1638999999999999</v>
      </c>
      <c r="V284" s="20">
        <v>1.2141</v>
      </c>
      <c r="W284"/>
      <c r="X284"/>
      <c r="Y284"/>
      <c r="Z284"/>
    </row>
    <row r="285" spans="1:26" x14ac:dyDescent="0.2">
      <c r="A285" s="19">
        <v>0.27900000000000003</v>
      </c>
      <c r="B285" s="20">
        <v>0</v>
      </c>
      <c r="C285" s="20">
        <v>8.1900000000000001E-2</v>
      </c>
      <c r="D285" s="20">
        <v>0.15989999999999999</v>
      </c>
      <c r="E285" s="20">
        <v>0.23449999999999999</v>
      </c>
      <c r="F285" s="20">
        <v>0.30590000000000001</v>
      </c>
      <c r="G285" s="20">
        <v>0.37459999999999999</v>
      </c>
      <c r="H285" s="20">
        <v>0.44069999999999998</v>
      </c>
      <c r="I285" s="20">
        <v>0.50449999999999995</v>
      </c>
      <c r="J285" s="20">
        <v>0.56630000000000003</v>
      </c>
      <c r="K285" s="20">
        <v>0.62629999999999997</v>
      </c>
      <c r="L285" s="20">
        <v>0.68469999999999998</v>
      </c>
      <c r="M285" s="20">
        <v>0.74170000000000003</v>
      </c>
      <c r="N285" s="20">
        <v>0.79749999999999999</v>
      </c>
      <c r="O285" s="20">
        <v>0.85219999999999996</v>
      </c>
      <c r="P285" s="20">
        <v>0.90600000000000003</v>
      </c>
      <c r="Q285" s="20">
        <v>0.95899999999999996</v>
      </c>
      <c r="R285" s="20">
        <v>1.0112000000000001</v>
      </c>
      <c r="S285" s="20">
        <v>1.0629</v>
      </c>
      <c r="T285" s="20">
        <v>1.1141000000000001</v>
      </c>
      <c r="U285" s="20">
        <v>1.1647000000000001</v>
      </c>
      <c r="V285" s="20">
        <v>1.2149000000000001</v>
      </c>
      <c r="W285"/>
      <c r="X285"/>
      <c r="Y285"/>
      <c r="Z285"/>
    </row>
    <row r="286" spans="1:26" x14ac:dyDescent="0.2">
      <c r="A286" s="19">
        <v>0.28000000000000003</v>
      </c>
      <c r="B286" s="20">
        <v>0</v>
      </c>
      <c r="C286" s="20">
        <v>8.1900000000000001E-2</v>
      </c>
      <c r="D286" s="20">
        <v>0.16009999999999999</v>
      </c>
      <c r="E286" s="20">
        <v>0.23469999999999999</v>
      </c>
      <c r="F286" s="20">
        <v>0.30620000000000003</v>
      </c>
      <c r="G286" s="20">
        <v>0.37490000000000001</v>
      </c>
      <c r="H286" s="20">
        <v>0.44109999999999999</v>
      </c>
      <c r="I286" s="20">
        <v>0.50490000000000002</v>
      </c>
      <c r="J286" s="20">
        <v>0.56679999999999997</v>
      </c>
      <c r="K286" s="20">
        <v>0.62680000000000002</v>
      </c>
      <c r="L286" s="20">
        <v>0.68530000000000002</v>
      </c>
      <c r="M286" s="20">
        <v>0.74229999999999996</v>
      </c>
      <c r="N286" s="20">
        <v>0.79810000000000003</v>
      </c>
      <c r="O286" s="20">
        <v>0.85289999999999999</v>
      </c>
      <c r="P286" s="20">
        <v>0.90669999999999995</v>
      </c>
      <c r="Q286" s="20">
        <v>0.9597</v>
      </c>
      <c r="R286" s="20">
        <v>1.012</v>
      </c>
      <c r="S286" s="20">
        <v>1.0637000000000001</v>
      </c>
      <c r="T286" s="20">
        <v>1.1149</v>
      </c>
      <c r="U286" s="20">
        <v>1.1655</v>
      </c>
      <c r="V286" s="20">
        <v>1.2157</v>
      </c>
      <c r="W286"/>
      <c r="X286"/>
      <c r="Y286"/>
      <c r="Z286"/>
    </row>
    <row r="287" spans="1:26" x14ac:dyDescent="0.2">
      <c r="A287" s="19">
        <v>0.28100000000000003</v>
      </c>
      <c r="B287" s="20">
        <v>0</v>
      </c>
      <c r="C287" s="20">
        <v>8.2000000000000003E-2</v>
      </c>
      <c r="D287" s="20">
        <v>0.16020000000000001</v>
      </c>
      <c r="E287" s="20">
        <v>0.2349</v>
      </c>
      <c r="F287" s="20">
        <v>0.30649999999999999</v>
      </c>
      <c r="G287" s="20">
        <v>0.37519999999999998</v>
      </c>
      <c r="H287" s="20">
        <v>0.44140000000000001</v>
      </c>
      <c r="I287" s="20">
        <v>0.50539999999999996</v>
      </c>
      <c r="J287" s="20">
        <v>0.56730000000000003</v>
      </c>
      <c r="K287" s="20">
        <v>0.62739999999999996</v>
      </c>
      <c r="L287" s="20">
        <v>0.68589999999999995</v>
      </c>
      <c r="M287" s="20">
        <v>0.74299999999999999</v>
      </c>
      <c r="N287" s="20">
        <v>0.79879999999999995</v>
      </c>
      <c r="O287" s="20">
        <v>0.85360000000000003</v>
      </c>
      <c r="P287" s="20">
        <v>0.90749999999999997</v>
      </c>
      <c r="Q287" s="20">
        <v>0.96050000000000002</v>
      </c>
      <c r="R287" s="20">
        <v>1.0127999999999999</v>
      </c>
      <c r="S287" s="20">
        <v>1.0645</v>
      </c>
      <c r="T287" s="20">
        <v>1.1156999999999999</v>
      </c>
      <c r="U287" s="20">
        <v>1.1664000000000001</v>
      </c>
      <c r="V287" s="20">
        <v>1.2165999999999999</v>
      </c>
      <c r="W287"/>
      <c r="X287"/>
      <c r="Y287"/>
      <c r="Z287"/>
    </row>
    <row r="288" spans="1:26" x14ac:dyDescent="0.2">
      <c r="A288" s="19">
        <v>0.28199999999999997</v>
      </c>
      <c r="B288" s="20">
        <v>0</v>
      </c>
      <c r="C288" s="20">
        <v>8.2100000000000006E-2</v>
      </c>
      <c r="D288" s="20">
        <v>0.1603</v>
      </c>
      <c r="E288" s="20">
        <v>0.2351</v>
      </c>
      <c r="F288" s="20">
        <v>0.30680000000000002</v>
      </c>
      <c r="G288" s="20">
        <v>0.37559999999999999</v>
      </c>
      <c r="H288" s="20">
        <v>0.44180000000000003</v>
      </c>
      <c r="I288" s="20">
        <v>0.50580000000000003</v>
      </c>
      <c r="J288" s="20">
        <v>0.56779999999999997</v>
      </c>
      <c r="K288" s="20">
        <v>0.62790000000000001</v>
      </c>
      <c r="L288" s="20">
        <v>0.6865</v>
      </c>
      <c r="M288" s="20">
        <v>0.74360000000000004</v>
      </c>
      <c r="N288" s="20">
        <v>0.79949999999999999</v>
      </c>
      <c r="O288" s="20">
        <v>0.85429999999999995</v>
      </c>
      <c r="P288" s="20">
        <v>0.90820000000000001</v>
      </c>
      <c r="Q288" s="20">
        <v>0.96130000000000004</v>
      </c>
      <c r="R288" s="20">
        <v>1.0136000000000001</v>
      </c>
      <c r="S288" s="20">
        <v>1.0652999999999999</v>
      </c>
      <c r="T288" s="20">
        <v>1.1165</v>
      </c>
      <c r="U288" s="20">
        <v>1.1672</v>
      </c>
      <c r="V288" s="20">
        <v>1.2174</v>
      </c>
      <c r="W288"/>
      <c r="X288"/>
      <c r="Y288"/>
      <c r="Z288"/>
    </row>
    <row r="289" spans="1:26" x14ac:dyDescent="0.2">
      <c r="A289" s="19">
        <v>0.28299999999999997</v>
      </c>
      <c r="B289" s="20">
        <v>0</v>
      </c>
      <c r="C289" s="20">
        <v>8.2199999999999995E-2</v>
      </c>
      <c r="D289" s="20">
        <v>0.1605</v>
      </c>
      <c r="E289" s="20">
        <v>0.23530000000000001</v>
      </c>
      <c r="F289" s="20">
        <v>0.307</v>
      </c>
      <c r="G289" s="20">
        <v>0.37590000000000001</v>
      </c>
      <c r="H289" s="20">
        <v>0.44219999999999998</v>
      </c>
      <c r="I289" s="20">
        <v>0.50629999999999997</v>
      </c>
      <c r="J289" s="20">
        <v>0.56830000000000003</v>
      </c>
      <c r="K289" s="20">
        <v>0.62849999999999995</v>
      </c>
      <c r="L289" s="20">
        <v>0.68700000000000006</v>
      </c>
      <c r="M289" s="20">
        <v>0.74419999999999997</v>
      </c>
      <c r="N289" s="20">
        <v>0.80020000000000002</v>
      </c>
      <c r="O289" s="20">
        <v>0.85499999999999998</v>
      </c>
      <c r="P289" s="20">
        <v>0.90890000000000004</v>
      </c>
      <c r="Q289" s="20">
        <v>0.96199999999999997</v>
      </c>
      <c r="R289" s="20">
        <v>1.0144</v>
      </c>
      <c r="S289" s="20">
        <v>1.0662</v>
      </c>
      <c r="T289" s="20">
        <v>1.1173</v>
      </c>
      <c r="U289" s="20">
        <v>1.1679999999999999</v>
      </c>
      <c r="V289" s="20">
        <v>1.2181999999999999</v>
      </c>
      <c r="W289"/>
      <c r="X289"/>
      <c r="Y289"/>
      <c r="Z289"/>
    </row>
    <row r="290" spans="1:26" x14ac:dyDescent="0.2">
      <c r="A290" s="19">
        <v>0.28399999999999997</v>
      </c>
      <c r="B290" s="20">
        <v>0</v>
      </c>
      <c r="C290" s="20">
        <v>8.2199999999999995E-2</v>
      </c>
      <c r="D290" s="20">
        <v>0.16059999999999999</v>
      </c>
      <c r="E290" s="20">
        <v>0.23549999999999999</v>
      </c>
      <c r="F290" s="20">
        <v>0.30730000000000002</v>
      </c>
      <c r="G290" s="20">
        <v>0.37619999999999998</v>
      </c>
      <c r="H290" s="20">
        <v>0.44259999999999999</v>
      </c>
      <c r="I290" s="20">
        <v>0.50670000000000004</v>
      </c>
      <c r="J290" s="20">
        <v>0.56879999999999997</v>
      </c>
      <c r="K290" s="20">
        <v>0.629</v>
      </c>
      <c r="L290" s="20">
        <v>0.68759999999999999</v>
      </c>
      <c r="M290" s="20">
        <v>0.74490000000000001</v>
      </c>
      <c r="N290" s="20">
        <v>0.80079999999999996</v>
      </c>
      <c r="O290" s="20">
        <v>0.85570000000000002</v>
      </c>
      <c r="P290" s="20">
        <v>0.90969999999999995</v>
      </c>
      <c r="Q290" s="20">
        <v>0.96279999999999999</v>
      </c>
      <c r="R290" s="20">
        <v>1.0152000000000001</v>
      </c>
      <c r="S290" s="20">
        <v>1.0669999999999999</v>
      </c>
      <c r="T290" s="20">
        <v>1.1182000000000001</v>
      </c>
      <c r="U290" s="20">
        <v>1.1688000000000001</v>
      </c>
      <c r="V290" s="20">
        <v>1.2191000000000001</v>
      </c>
      <c r="W290"/>
      <c r="X290"/>
      <c r="Y290"/>
      <c r="Z290"/>
    </row>
    <row r="291" spans="1:26" x14ac:dyDescent="0.2">
      <c r="A291" s="19">
        <v>0.28499999999999998</v>
      </c>
      <c r="B291" s="20">
        <v>0</v>
      </c>
      <c r="C291" s="20">
        <v>8.2299999999999998E-2</v>
      </c>
      <c r="D291" s="20">
        <v>0.1608</v>
      </c>
      <c r="E291" s="20">
        <v>0.23569999999999999</v>
      </c>
      <c r="F291" s="20">
        <v>0.30759999999999998</v>
      </c>
      <c r="G291" s="20">
        <v>0.37659999999999999</v>
      </c>
      <c r="H291" s="20">
        <v>0.443</v>
      </c>
      <c r="I291" s="20">
        <v>0.50719999999999998</v>
      </c>
      <c r="J291" s="20">
        <v>0.56930000000000003</v>
      </c>
      <c r="K291" s="20">
        <v>0.62960000000000005</v>
      </c>
      <c r="L291" s="20">
        <v>0.68820000000000003</v>
      </c>
      <c r="M291" s="20">
        <v>0.74550000000000005</v>
      </c>
      <c r="N291" s="20">
        <v>0.80149999999999999</v>
      </c>
      <c r="O291" s="20">
        <v>0.85640000000000005</v>
      </c>
      <c r="P291" s="20">
        <v>0.91039999999999999</v>
      </c>
      <c r="Q291" s="20">
        <v>0.96360000000000001</v>
      </c>
      <c r="R291" s="20">
        <v>1.016</v>
      </c>
      <c r="S291" s="20">
        <v>1.0678000000000001</v>
      </c>
      <c r="T291" s="20">
        <v>1.119</v>
      </c>
      <c r="U291" s="20">
        <v>1.1697</v>
      </c>
      <c r="V291" s="20">
        <v>1.2199</v>
      </c>
      <c r="W291"/>
      <c r="X291"/>
      <c r="Y291"/>
      <c r="Z291"/>
    </row>
    <row r="292" spans="1:26" x14ac:dyDescent="0.2">
      <c r="A292" s="19">
        <v>0.28599999999999998</v>
      </c>
      <c r="B292" s="20">
        <v>0</v>
      </c>
      <c r="C292" s="20">
        <v>8.2400000000000001E-2</v>
      </c>
      <c r="D292" s="20">
        <v>0.16089999999999999</v>
      </c>
      <c r="E292" s="20">
        <v>0.23599999999999999</v>
      </c>
      <c r="F292" s="20">
        <v>0.30790000000000001</v>
      </c>
      <c r="G292" s="20">
        <v>0.37690000000000001</v>
      </c>
      <c r="H292" s="20">
        <v>0.44340000000000002</v>
      </c>
      <c r="I292" s="20">
        <v>0.50760000000000005</v>
      </c>
      <c r="J292" s="20">
        <v>0.56979999999999997</v>
      </c>
      <c r="K292" s="20">
        <v>0.63009999999999999</v>
      </c>
      <c r="L292" s="20">
        <v>0.68879999999999997</v>
      </c>
      <c r="M292" s="20">
        <v>0.74609999999999999</v>
      </c>
      <c r="N292" s="20">
        <v>0.80220000000000002</v>
      </c>
      <c r="O292" s="20">
        <v>0.85719999999999996</v>
      </c>
      <c r="P292" s="20">
        <v>0.91120000000000001</v>
      </c>
      <c r="Q292" s="20">
        <v>0.96430000000000005</v>
      </c>
      <c r="R292" s="20">
        <v>1.0167999999999999</v>
      </c>
      <c r="S292" s="20">
        <v>1.0686</v>
      </c>
      <c r="T292" s="20">
        <v>1.1197999999999999</v>
      </c>
      <c r="U292" s="20">
        <v>1.1705000000000001</v>
      </c>
      <c r="V292" s="20">
        <v>1.2206999999999999</v>
      </c>
      <c r="W292"/>
      <c r="X292"/>
      <c r="Y292"/>
      <c r="Z292"/>
    </row>
    <row r="293" spans="1:26" x14ac:dyDescent="0.2">
      <c r="A293" s="19">
        <v>0.28699999999999998</v>
      </c>
      <c r="B293" s="20">
        <v>0</v>
      </c>
      <c r="C293" s="20">
        <v>8.2400000000000001E-2</v>
      </c>
      <c r="D293" s="20">
        <v>0.161</v>
      </c>
      <c r="E293" s="20">
        <v>0.23619999999999999</v>
      </c>
      <c r="F293" s="20">
        <v>0.30809999999999998</v>
      </c>
      <c r="G293" s="20">
        <v>0.37719999999999998</v>
      </c>
      <c r="H293" s="20">
        <v>0.44379999999999997</v>
      </c>
      <c r="I293" s="20">
        <v>0.50800000000000001</v>
      </c>
      <c r="J293" s="20">
        <v>0.57030000000000003</v>
      </c>
      <c r="K293" s="20">
        <v>0.63060000000000005</v>
      </c>
      <c r="L293" s="20">
        <v>0.68940000000000001</v>
      </c>
      <c r="M293" s="20">
        <v>0.74680000000000002</v>
      </c>
      <c r="N293" s="20">
        <v>0.80289999999999995</v>
      </c>
      <c r="O293" s="20">
        <v>0.8579</v>
      </c>
      <c r="P293" s="20">
        <v>0.91190000000000004</v>
      </c>
      <c r="Q293" s="20">
        <v>0.96509999999999996</v>
      </c>
      <c r="R293" s="20">
        <v>1.0176000000000001</v>
      </c>
      <c r="S293" s="20">
        <v>1.0693999999999999</v>
      </c>
      <c r="T293" s="20">
        <v>1.1206</v>
      </c>
      <c r="U293" s="20">
        <v>1.1713</v>
      </c>
      <c r="V293" s="20">
        <v>1.2215</v>
      </c>
      <c r="W293"/>
      <c r="X293"/>
      <c r="Y293"/>
      <c r="Z293"/>
    </row>
    <row r="294" spans="1:26" x14ac:dyDescent="0.2">
      <c r="A294" s="19">
        <v>0.28799999999999998</v>
      </c>
      <c r="B294" s="20">
        <v>0</v>
      </c>
      <c r="C294" s="20">
        <v>8.2500000000000004E-2</v>
      </c>
      <c r="D294" s="20">
        <v>0.16120000000000001</v>
      </c>
      <c r="E294" s="20">
        <v>0.2364</v>
      </c>
      <c r="F294" s="20">
        <v>0.30840000000000001</v>
      </c>
      <c r="G294" s="20">
        <v>0.37759999999999999</v>
      </c>
      <c r="H294" s="20">
        <v>0.44419999999999998</v>
      </c>
      <c r="I294" s="20">
        <v>0.50849999999999995</v>
      </c>
      <c r="J294" s="20">
        <v>0.57079999999999997</v>
      </c>
      <c r="K294" s="20">
        <v>0.63119999999999998</v>
      </c>
      <c r="L294" s="20">
        <v>0.69</v>
      </c>
      <c r="M294" s="20">
        <v>0.74739999999999995</v>
      </c>
      <c r="N294" s="20">
        <v>0.80349999999999999</v>
      </c>
      <c r="O294" s="20">
        <v>0.85860000000000003</v>
      </c>
      <c r="P294" s="20">
        <v>0.91259999999999997</v>
      </c>
      <c r="Q294" s="20">
        <v>0.96589999999999998</v>
      </c>
      <c r="R294" s="20">
        <v>1.0183</v>
      </c>
      <c r="S294" s="20">
        <v>1.0702</v>
      </c>
      <c r="T294" s="20">
        <v>1.1214</v>
      </c>
      <c r="U294" s="20">
        <v>1.1720999999999999</v>
      </c>
      <c r="V294" s="20">
        <v>1.2222999999999999</v>
      </c>
      <c r="W294"/>
      <c r="X294"/>
      <c r="Y294"/>
      <c r="Z294"/>
    </row>
    <row r="295" spans="1:26" x14ac:dyDescent="0.2">
      <c r="A295" s="19">
        <v>0.28899999999999998</v>
      </c>
      <c r="B295" s="20">
        <v>0</v>
      </c>
      <c r="C295" s="20">
        <v>8.2600000000000007E-2</v>
      </c>
      <c r="D295" s="20">
        <v>0.1613</v>
      </c>
      <c r="E295" s="20">
        <v>0.2366</v>
      </c>
      <c r="F295" s="20">
        <v>0.30869999999999997</v>
      </c>
      <c r="G295" s="20">
        <v>0.37790000000000001</v>
      </c>
      <c r="H295" s="20">
        <v>0.4446</v>
      </c>
      <c r="I295" s="20">
        <v>0.50890000000000002</v>
      </c>
      <c r="J295" s="20">
        <v>0.57130000000000003</v>
      </c>
      <c r="K295" s="20">
        <v>0.63170000000000004</v>
      </c>
      <c r="L295" s="20">
        <v>0.69059999999999999</v>
      </c>
      <c r="M295" s="20">
        <v>0.748</v>
      </c>
      <c r="N295" s="20">
        <v>0.80420000000000003</v>
      </c>
      <c r="O295" s="20">
        <v>0.85929999999999995</v>
      </c>
      <c r="P295" s="20">
        <v>0.91339999999999999</v>
      </c>
      <c r="Q295" s="20">
        <v>0.96660000000000001</v>
      </c>
      <c r="R295" s="20">
        <v>1.0190999999999999</v>
      </c>
      <c r="S295" s="20">
        <v>1.071</v>
      </c>
      <c r="T295" s="20">
        <v>1.1222000000000001</v>
      </c>
      <c r="U295" s="20">
        <v>1.1729000000000001</v>
      </c>
      <c r="V295" s="20">
        <v>1.2232000000000001</v>
      </c>
      <c r="W295"/>
      <c r="X295"/>
      <c r="Y295"/>
      <c r="Z295"/>
    </row>
    <row r="296" spans="1:26" x14ac:dyDescent="0.2">
      <c r="A296" s="19">
        <v>0.28999999999999998</v>
      </c>
      <c r="B296" s="20">
        <v>0</v>
      </c>
      <c r="C296" s="20">
        <v>8.2699999999999996E-2</v>
      </c>
      <c r="D296" s="20">
        <v>0.1615</v>
      </c>
      <c r="E296" s="20">
        <v>0.23680000000000001</v>
      </c>
      <c r="F296" s="20">
        <v>0.30890000000000001</v>
      </c>
      <c r="G296" s="20">
        <v>0.37819999999999998</v>
      </c>
      <c r="H296" s="20">
        <v>0.44500000000000001</v>
      </c>
      <c r="I296" s="20">
        <v>0.50939999999999996</v>
      </c>
      <c r="J296" s="20">
        <v>0.57169999999999999</v>
      </c>
      <c r="K296" s="20">
        <v>0.63229999999999997</v>
      </c>
      <c r="L296" s="20">
        <v>0.69120000000000004</v>
      </c>
      <c r="M296" s="20">
        <v>0.74870000000000003</v>
      </c>
      <c r="N296" s="20">
        <v>0.80489999999999995</v>
      </c>
      <c r="O296" s="20">
        <v>0.86</v>
      </c>
      <c r="P296" s="20">
        <v>0.91410000000000002</v>
      </c>
      <c r="Q296" s="20">
        <v>0.96740000000000004</v>
      </c>
      <c r="R296" s="20">
        <v>1.0199</v>
      </c>
      <c r="S296" s="20">
        <v>1.0717000000000001</v>
      </c>
      <c r="T296" s="20">
        <v>1.123</v>
      </c>
      <c r="U296" s="20">
        <v>1.1737</v>
      </c>
      <c r="V296" s="20">
        <v>1.224</v>
      </c>
      <c r="W296"/>
      <c r="X296"/>
      <c r="Y296"/>
      <c r="Z296"/>
    </row>
    <row r="297" spans="1:26" x14ac:dyDescent="0.2">
      <c r="A297" s="19">
        <v>0.29099999999999998</v>
      </c>
      <c r="B297" s="20">
        <v>0</v>
      </c>
      <c r="C297" s="20">
        <v>8.2699999999999996E-2</v>
      </c>
      <c r="D297" s="20">
        <v>0.16159999999999999</v>
      </c>
      <c r="E297" s="20">
        <v>0.23699999999999999</v>
      </c>
      <c r="F297" s="20">
        <v>0.30919999999999997</v>
      </c>
      <c r="G297" s="20">
        <v>0.37859999999999999</v>
      </c>
      <c r="H297" s="20">
        <v>0.44540000000000002</v>
      </c>
      <c r="I297" s="20">
        <v>0.50980000000000003</v>
      </c>
      <c r="J297" s="20">
        <v>0.57220000000000004</v>
      </c>
      <c r="K297" s="20">
        <v>0.63280000000000003</v>
      </c>
      <c r="L297" s="20">
        <v>0.69179999999999997</v>
      </c>
      <c r="M297" s="20">
        <v>0.74929999999999997</v>
      </c>
      <c r="N297" s="20">
        <v>0.80549999999999999</v>
      </c>
      <c r="O297" s="20">
        <v>0.86070000000000002</v>
      </c>
      <c r="P297" s="20">
        <v>0.91479999999999995</v>
      </c>
      <c r="Q297" s="20">
        <v>0.96809999999999996</v>
      </c>
      <c r="R297" s="20">
        <v>1.0206999999999999</v>
      </c>
      <c r="S297" s="20">
        <v>1.0725</v>
      </c>
      <c r="T297" s="20">
        <v>1.1237999999999999</v>
      </c>
      <c r="U297" s="20">
        <v>1.1745000000000001</v>
      </c>
      <c r="V297" s="20">
        <v>1.2248000000000001</v>
      </c>
      <c r="W297"/>
      <c r="X297"/>
      <c r="Y297"/>
      <c r="Z297"/>
    </row>
    <row r="298" spans="1:26" x14ac:dyDescent="0.2">
      <c r="A298" s="19">
        <v>0.29199999999999998</v>
      </c>
      <c r="B298" s="20">
        <v>0</v>
      </c>
      <c r="C298" s="20">
        <v>8.2799999999999999E-2</v>
      </c>
      <c r="D298" s="20">
        <v>0.1618</v>
      </c>
      <c r="E298" s="20">
        <v>0.23719999999999999</v>
      </c>
      <c r="F298" s="20">
        <v>0.3095</v>
      </c>
      <c r="G298" s="20">
        <v>0.37890000000000001</v>
      </c>
      <c r="H298" s="20">
        <v>0.44569999999999999</v>
      </c>
      <c r="I298" s="20">
        <v>0.51029999999999998</v>
      </c>
      <c r="J298" s="20">
        <v>0.57269999999999999</v>
      </c>
      <c r="K298" s="20">
        <v>0.63339999999999996</v>
      </c>
      <c r="L298" s="20">
        <v>0.69240000000000002</v>
      </c>
      <c r="M298" s="20">
        <v>0.74990000000000001</v>
      </c>
      <c r="N298" s="20">
        <v>0.80620000000000003</v>
      </c>
      <c r="O298" s="20">
        <v>0.86140000000000005</v>
      </c>
      <c r="P298" s="20">
        <v>0.91559999999999997</v>
      </c>
      <c r="Q298" s="20">
        <v>0.96889999999999998</v>
      </c>
      <c r="R298" s="20">
        <v>1.0214000000000001</v>
      </c>
      <c r="S298" s="20">
        <v>1.0732999999999999</v>
      </c>
      <c r="T298" s="20">
        <v>1.1246</v>
      </c>
      <c r="U298" s="20">
        <v>1.1754</v>
      </c>
      <c r="V298" s="20">
        <v>1.2256</v>
      </c>
      <c r="W298"/>
      <c r="X298"/>
      <c r="Y298"/>
      <c r="Z298"/>
    </row>
    <row r="299" spans="1:26" x14ac:dyDescent="0.2">
      <c r="A299" s="19">
        <v>0.29299999999999998</v>
      </c>
      <c r="B299" s="20">
        <v>0</v>
      </c>
      <c r="C299" s="20">
        <v>8.2900000000000001E-2</v>
      </c>
      <c r="D299" s="20">
        <v>0.16189999999999999</v>
      </c>
      <c r="E299" s="20">
        <v>0.2374</v>
      </c>
      <c r="F299" s="20">
        <v>0.30980000000000002</v>
      </c>
      <c r="G299" s="20">
        <v>0.37919999999999998</v>
      </c>
      <c r="H299" s="20">
        <v>0.4461</v>
      </c>
      <c r="I299" s="20">
        <v>0.51070000000000004</v>
      </c>
      <c r="J299" s="20">
        <v>0.57320000000000004</v>
      </c>
      <c r="K299" s="20">
        <v>0.63390000000000002</v>
      </c>
      <c r="L299" s="20">
        <v>0.69299999999999995</v>
      </c>
      <c r="M299" s="20">
        <v>0.75060000000000004</v>
      </c>
      <c r="N299" s="20">
        <v>0.80689999999999995</v>
      </c>
      <c r="O299" s="20">
        <v>0.86209999999999998</v>
      </c>
      <c r="P299" s="20">
        <v>0.9163</v>
      </c>
      <c r="Q299" s="20">
        <v>0.96960000000000002</v>
      </c>
      <c r="R299" s="20">
        <v>1.0222</v>
      </c>
      <c r="S299" s="20">
        <v>1.0741000000000001</v>
      </c>
      <c r="T299" s="20">
        <v>1.1254</v>
      </c>
      <c r="U299" s="20">
        <v>1.1761999999999999</v>
      </c>
      <c r="V299" s="20">
        <v>1.2263999999999999</v>
      </c>
      <c r="W299"/>
      <c r="X299"/>
      <c r="Y299"/>
      <c r="Z299"/>
    </row>
    <row r="300" spans="1:26" x14ac:dyDescent="0.2">
      <c r="A300" s="19">
        <v>0.29399999999999998</v>
      </c>
      <c r="B300" s="20">
        <v>0</v>
      </c>
      <c r="C300" s="20">
        <v>8.3000000000000004E-2</v>
      </c>
      <c r="D300" s="20">
        <v>0.16200000000000001</v>
      </c>
      <c r="E300" s="20">
        <v>0.23760000000000001</v>
      </c>
      <c r="F300" s="20">
        <v>0.31</v>
      </c>
      <c r="G300" s="20">
        <v>0.37959999999999999</v>
      </c>
      <c r="H300" s="20">
        <v>0.44650000000000001</v>
      </c>
      <c r="I300" s="20">
        <v>0.51119999999999999</v>
      </c>
      <c r="J300" s="20">
        <v>0.57369999999999999</v>
      </c>
      <c r="K300" s="20">
        <v>0.63449999999999995</v>
      </c>
      <c r="L300" s="20">
        <v>0.69350000000000001</v>
      </c>
      <c r="M300" s="20">
        <v>0.75119999999999998</v>
      </c>
      <c r="N300" s="20">
        <v>0.8075</v>
      </c>
      <c r="O300" s="20">
        <v>0.86280000000000001</v>
      </c>
      <c r="P300" s="20">
        <v>0.91700000000000004</v>
      </c>
      <c r="Q300" s="20">
        <v>0.97040000000000004</v>
      </c>
      <c r="R300" s="20">
        <v>1.0229999999999999</v>
      </c>
      <c r="S300" s="20">
        <v>1.0749</v>
      </c>
      <c r="T300" s="20">
        <v>1.1262000000000001</v>
      </c>
      <c r="U300" s="20">
        <v>1.177</v>
      </c>
      <c r="V300" s="20">
        <v>1.2272000000000001</v>
      </c>
      <c r="W300"/>
      <c r="X300"/>
      <c r="Y300"/>
      <c r="Z300"/>
    </row>
    <row r="301" spans="1:26" x14ac:dyDescent="0.2">
      <c r="A301" s="19">
        <v>0.29499999999999998</v>
      </c>
      <c r="B301" s="20">
        <v>0</v>
      </c>
      <c r="C301" s="20">
        <v>8.3000000000000004E-2</v>
      </c>
      <c r="D301" s="20">
        <v>0.16220000000000001</v>
      </c>
      <c r="E301" s="20">
        <v>0.23780000000000001</v>
      </c>
      <c r="F301" s="20">
        <v>0.31030000000000002</v>
      </c>
      <c r="G301" s="20">
        <v>0.37990000000000002</v>
      </c>
      <c r="H301" s="20">
        <v>0.44690000000000002</v>
      </c>
      <c r="I301" s="20">
        <v>0.51160000000000005</v>
      </c>
      <c r="J301" s="20">
        <v>0.57420000000000004</v>
      </c>
      <c r="K301" s="20">
        <v>0.63500000000000001</v>
      </c>
      <c r="L301" s="20">
        <v>0.69410000000000005</v>
      </c>
      <c r="M301" s="20">
        <v>0.75180000000000002</v>
      </c>
      <c r="N301" s="20">
        <v>0.80820000000000003</v>
      </c>
      <c r="O301" s="20">
        <v>0.86350000000000005</v>
      </c>
      <c r="P301" s="20">
        <v>0.91769999999999996</v>
      </c>
      <c r="Q301" s="20">
        <v>0.97109999999999996</v>
      </c>
      <c r="R301" s="20">
        <v>1.0238</v>
      </c>
      <c r="S301" s="20">
        <v>1.0757000000000001</v>
      </c>
      <c r="T301" s="20">
        <v>1.127</v>
      </c>
      <c r="U301" s="20">
        <v>1.1778</v>
      </c>
      <c r="V301" s="20">
        <v>1.228</v>
      </c>
      <c r="W301"/>
      <c r="X301"/>
      <c r="Y301"/>
      <c r="Z301"/>
    </row>
    <row r="302" spans="1:26" x14ac:dyDescent="0.2">
      <c r="A302" s="19">
        <v>0.29599999999999999</v>
      </c>
      <c r="B302" s="20">
        <v>0</v>
      </c>
      <c r="C302" s="20">
        <v>8.3099999999999993E-2</v>
      </c>
      <c r="D302" s="20">
        <v>0.1623</v>
      </c>
      <c r="E302" s="20">
        <v>0.23799999999999999</v>
      </c>
      <c r="F302" s="20">
        <v>0.31059999999999999</v>
      </c>
      <c r="G302" s="20">
        <v>0.38019999999999998</v>
      </c>
      <c r="H302" s="20">
        <v>0.44729999999999998</v>
      </c>
      <c r="I302" s="20">
        <v>0.51200000000000001</v>
      </c>
      <c r="J302" s="20">
        <v>0.57469999999999999</v>
      </c>
      <c r="K302" s="20">
        <v>0.63549999999999995</v>
      </c>
      <c r="L302" s="20">
        <v>0.69469999999999998</v>
      </c>
      <c r="M302" s="20">
        <v>0.75239999999999996</v>
      </c>
      <c r="N302" s="20">
        <v>0.80889999999999995</v>
      </c>
      <c r="O302" s="20">
        <v>0.86419999999999997</v>
      </c>
      <c r="P302" s="20">
        <v>0.91849999999999998</v>
      </c>
      <c r="Q302" s="20">
        <v>0.97189999999999999</v>
      </c>
      <c r="R302" s="20">
        <v>1.0245</v>
      </c>
      <c r="S302" s="20">
        <v>1.0765</v>
      </c>
      <c r="T302" s="20">
        <v>1.1277999999999999</v>
      </c>
      <c r="U302" s="20">
        <v>1.1786000000000001</v>
      </c>
      <c r="V302" s="20">
        <v>1.2287999999999999</v>
      </c>
      <c r="W302"/>
      <c r="X302"/>
      <c r="Y302"/>
      <c r="Z302"/>
    </row>
    <row r="303" spans="1:26" x14ac:dyDescent="0.2">
      <c r="A303" s="19">
        <v>0.29699999999999999</v>
      </c>
      <c r="B303" s="20">
        <v>0</v>
      </c>
      <c r="C303" s="20">
        <v>8.3199999999999996E-2</v>
      </c>
      <c r="D303" s="20">
        <v>0.16250000000000001</v>
      </c>
      <c r="E303" s="20">
        <v>0.23830000000000001</v>
      </c>
      <c r="F303" s="20">
        <v>0.31080000000000002</v>
      </c>
      <c r="G303" s="20">
        <v>0.38059999999999999</v>
      </c>
      <c r="H303" s="20">
        <v>0.44769999999999999</v>
      </c>
      <c r="I303" s="20">
        <v>0.51249999999999996</v>
      </c>
      <c r="J303" s="20">
        <v>0.57520000000000004</v>
      </c>
      <c r="K303" s="20">
        <v>0.6361</v>
      </c>
      <c r="L303" s="20">
        <v>0.69530000000000003</v>
      </c>
      <c r="M303" s="20">
        <v>0.75309999999999999</v>
      </c>
      <c r="N303" s="20">
        <v>0.8095</v>
      </c>
      <c r="O303" s="20">
        <v>0.8649</v>
      </c>
      <c r="P303" s="20">
        <v>0.91920000000000002</v>
      </c>
      <c r="Q303" s="20">
        <v>0.97260000000000002</v>
      </c>
      <c r="R303" s="20">
        <v>1.0253000000000001</v>
      </c>
      <c r="S303" s="20">
        <v>1.0772999999999999</v>
      </c>
      <c r="T303" s="20">
        <v>1.1286</v>
      </c>
      <c r="U303" s="20">
        <v>1.1794</v>
      </c>
      <c r="V303" s="20">
        <v>1.2296</v>
      </c>
      <c r="W303"/>
      <c r="X303"/>
      <c r="Y303"/>
      <c r="Z303"/>
    </row>
    <row r="304" spans="1:26" x14ac:dyDescent="0.2">
      <c r="A304" s="19">
        <v>0.29799999999999999</v>
      </c>
      <c r="B304" s="20">
        <v>0</v>
      </c>
      <c r="C304" s="20">
        <v>8.3299999999999999E-2</v>
      </c>
      <c r="D304" s="20">
        <v>0.16259999999999999</v>
      </c>
      <c r="E304" s="20">
        <v>0.23849999999999999</v>
      </c>
      <c r="F304" s="20">
        <v>0.31109999999999999</v>
      </c>
      <c r="G304" s="20">
        <v>0.38090000000000002</v>
      </c>
      <c r="H304" s="20">
        <v>0.4481</v>
      </c>
      <c r="I304" s="20">
        <v>0.51290000000000002</v>
      </c>
      <c r="J304" s="20">
        <v>0.57569999999999999</v>
      </c>
      <c r="K304" s="20">
        <v>0.63660000000000005</v>
      </c>
      <c r="L304" s="20">
        <v>0.69589999999999996</v>
      </c>
      <c r="M304" s="20">
        <v>0.75370000000000004</v>
      </c>
      <c r="N304" s="20">
        <v>0.81020000000000003</v>
      </c>
      <c r="O304" s="20">
        <v>0.86560000000000004</v>
      </c>
      <c r="P304" s="20">
        <v>0.91990000000000005</v>
      </c>
      <c r="Q304" s="20">
        <v>0.97340000000000004</v>
      </c>
      <c r="R304" s="20">
        <v>1.0261</v>
      </c>
      <c r="S304" s="20">
        <v>1.0781000000000001</v>
      </c>
      <c r="T304" s="20">
        <v>1.1294</v>
      </c>
      <c r="U304" s="20">
        <v>1.1801999999999999</v>
      </c>
      <c r="V304" s="20">
        <v>1.2303999999999999</v>
      </c>
      <c r="W304"/>
      <c r="X304"/>
      <c r="Y304"/>
      <c r="Z304"/>
    </row>
    <row r="305" spans="1:26" x14ac:dyDescent="0.2">
      <c r="A305" s="19">
        <v>0.29899999999999999</v>
      </c>
      <c r="B305" s="20">
        <v>0</v>
      </c>
      <c r="C305" s="20">
        <v>8.3299999999999999E-2</v>
      </c>
      <c r="D305" s="20">
        <v>0.1628</v>
      </c>
      <c r="E305" s="20">
        <v>0.2387</v>
      </c>
      <c r="F305" s="20">
        <v>0.31140000000000001</v>
      </c>
      <c r="G305" s="20">
        <v>0.38119999999999998</v>
      </c>
      <c r="H305" s="20">
        <v>0.44850000000000001</v>
      </c>
      <c r="I305" s="20">
        <v>0.51339999999999997</v>
      </c>
      <c r="J305" s="20">
        <v>0.57620000000000005</v>
      </c>
      <c r="K305" s="20">
        <v>0.63719999999999999</v>
      </c>
      <c r="L305" s="20">
        <v>0.69650000000000001</v>
      </c>
      <c r="M305" s="20">
        <v>0.75429999999999997</v>
      </c>
      <c r="N305" s="20">
        <v>0.81089999999999995</v>
      </c>
      <c r="O305" s="20">
        <v>0.86629999999999996</v>
      </c>
      <c r="P305" s="20">
        <v>0.92059999999999997</v>
      </c>
      <c r="Q305" s="20">
        <v>0.97409999999999997</v>
      </c>
      <c r="R305" s="20">
        <v>1.0267999999999999</v>
      </c>
      <c r="S305" s="20">
        <v>1.0788</v>
      </c>
      <c r="T305" s="20">
        <v>1.1302000000000001</v>
      </c>
      <c r="U305" s="20">
        <v>1.181</v>
      </c>
      <c r="V305" s="20">
        <v>1.2312000000000001</v>
      </c>
      <c r="W305"/>
      <c r="X305"/>
      <c r="Y305"/>
      <c r="Z305"/>
    </row>
    <row r="306" spans="1:26" x14ac:dyDescent="0.2">
      <c r="A306" s="19">
        <v>0.3</v>
      </c>
      <c r="B306" s="20">
        <v>0</v>
      </c>
      <c r="C306" s="20">
        <v>8.3400000000000002E-2</v>
      </c>
      <c r="D306" s="20">
        <v>0.16289999999999999</v>
      </c>
      <c r="E306" s="20">
        <v>0.2389</v>
      </c>
      <c r="F306" s="20">
        <v>0.31169999999999998</v>
      </c>
      <c r="G306" s="20">
        <v>0.38159999999999999</v>
      </c>
      <c r="H306" s="20">
        <v>0.44890000000000002</v>
      </c>
      <c r="I306" s="20">
        <v>0.51380000000000003</v>
      </c>
      <c r="J306" s="20">
        <v>0.57669999999999999</v>
      </c>
      <c r="K306" s="20">
        <v>0.63770000000000004</v>
      </c>
      <c r="L306" s="20">
        <v>0.69710000000000005</v>
      </c>
      <c r="M306" s="20">
        <v>0.75490000000000002</v>
      </c>
      <c r="N306" s="20">
        <v>0.8115</v>
      </c>
      <c r="O306" s="20">
        <v>0.8669</v>
      </c>
      <c r="P306" s="20">
        <v>0.9214</v>
      </c>
      <c r="Q306" s="20">
        <v>0.97489999999999999</v>
      </c>
      <c r="R306" s="20">
        <v>1.0276000000000001</v>
      </c>
      <c r="S306" s="20">
        <v>1.0795999999999999</v>
      </c>
      <c r="T306" s="20">
        <v>1.131</v>
      </c>
      <c r="U306" s="20">
        <v>1.1818</v>
      </c>
      <c r="V306" s="20">
        <v>1.232</v>
      </c>
      <c r="W306"/>
      <c r="X306"/>
      <c r="Y306"/>
      <c r="Z306"/>
    </row>
    <row r="307" spans="1:26" x14ac:dyDescent="0.2">
      <c r="A307" s="19">
        <v>0.30099999999999999</v>
      </c>
      <c r="B307" s="20">
        <v>0</v>
      </c>
      <c r="C307" s="20">
        <v>8.3500000000000005E-2</v>
      </c>
      <c r="D307" s="20">
        <v>0.16300000000000001</v>
      </c>
      <c r="E307" s="20">
        <v>0.23910000000000001</v>
      </c>
      <c r="F307" s="20">
        <v>0.31190000000000001</v>
      </c>
      <c r="G307" s="20">
        <v>0.38190000000000002</v>
      </c>
      <c r="H307" s="20">
        <v>0.44919999999999999</v>
      </c>
      <c r="I307" s="20">
        <v>0.51429999999999998</v>
      </c>
      <c r="J307" s="20">
        <v>0.57720000000000005</v>
      </c>
      <c r="K307" s="20">
        <v>0.63819999999999999</v>
      </c>
      <c r="L307" s="20">
        <v>0.6976</v>
      </c>
      <c r="M307" s="20">
        <v>0.75560000000000005</v>
      </c>
      <c r="N307" s="20">
        <v>0.81220000000000003</v>
      </c>
      <c r="O307" s="20">
        <v>0.86760000000000004</v>
      </c>
      <c r="P307" s="20">
        <v>0.92210000000000003</v>
      </c>
      <c r="Q307" s="20">
        <v>0.97560000000000002</v>
      </c>
      <c r="R307" s="20">
        <v>1.0284</v>
      </c>
      <c r="S307" s="20">
        <v>1.0804</v>
      </c>
      <c r="T307" s="20">
        <v>1.1317999999999999</v>
      </c>
      <c r="U307" s="20">
        <v>1.1826000000000001</v>
      </c>
      <c r="V307" s="20">
        <v>1.2327999999999999</v>
      </c>
      <c r="W307"/>
      <c r="X307"/>
      <c r="Y307"/>
      <c r="Z307"/>
    </row>
    <row r="308" spans="1:26" x14ac:dyDescent="0.2">
      <c r="A308" s="19">
        <v>0.30199999999999999</v>
      </c>
      <c r="B308" s="20">
        <v>0</v>
      </c>
      <c r="C308" s="20">
        <v>8.3500000000000005E-2</v>
      </c>
      <c r="D308" s="20">
        <v>0.16320000000000001</v>
      </c>
      <c r="E308" s="20">
        <v>0.23930000000000001</v>
      </c>
      <c r="F308" s="20">
        <v>0.31219999999999998</v>
      </c>
      <c r="G308" s="20">
        <v>0.38219999999999998</v>
      </c>
      <c r="H308" s="20">
        <v>0.4496</v>
      </c>
      <c r="I308" s="20">
        <v>0.51470000000000005</v>
      </c>
      <c r="J308" s="20">
        <v>0.57769999999999999</v>
      </c>
      <c r="K308" s="20">
        <v>0.63880000000000003</v>
      </c>
      <c r="L308" s="20">
        <v>0.69820000000000004</v>
      </c>
      <c r="M308" s="20">
        <v>0.75619999999999998</v>
      </c>
      <c r="N308" s="20">
        <v>0.81279999999999997</v>
      </c>
      <c r="O308" s="20">
        <v>0.86829999999999996</v>
      </c>
      <c r="P308" s="20">
        <v>0.92279999999999995</v>
      </c>
      <c r="Q308" s="20">
        <v>0.97640000000000005</v>
      </c>
      <c r="R308" s="20">
        <v>1.0290999999999999</v>
      </c>
      <c r="S308" s="20">
        <v>1.0811999999999999</v>
      </c>
      <c r="T308" s="20">
        <v>1.1326000000000001</v>
      </c>
      <c r="U308" s="20">
        <v>1.1834</v>
      </c>
      <c r="V308" s="20">
        <v>1.2336</v>
      </c>
      <c r="W308"/>
      <c r="X308"/>
      <c r="Y308"/>
      <c r="Z308"/>
    </row>
    <row r="309" spans="1:26" x14ac:dyDescent="0.2">
      <c r="A309" s="19">
        <v>0.30299999999999999</v>
      </c>
      <c r="B309" s="20">
        <v>0</v>
      </c>
      <c r="C309" s="20">
        <v>8.3599999999999994E-2</v>
      </c>
      <c r="D309" s="20">
        <v>0.1633</v>
      </c>
      <c r="E309" s="20">
        <v>0.23949999999999999</v>
      </c>
      <c r="F309" s="20">
        <v>0.3125</v>
      </c>
      <c r="G309" s="20">
        <v>0.3826</v>
      </c>
      <c r="H309" s="20">
        <v>0.45</v>
      </c>
      <c r="I309" s="20">
        <v>0.5151</v>
      </c>
      <c r="J309" s="20">
        <v>0.57820000000000005</v>
      </c>
      <c r="K309" s="20">
        <v>0.63929999999999998</v>
      </c>
      <c r="L309" s="20">
        <v>0.69879999999999998</v>
      </c>
      <c r="M309" s="20">
        <v>0.75680000000000003</v>
      </c>
      <c r="N309" s="20">
        <v>0.8135</v>
      </c>
      <c r="O309" s="20">
        <v>0.86899999999999999</v>
      </c>
      <c r="P309" s="20">
        <v>0.92349999999999999</v>
      </c>
      <c r="Q309" s="20">
        <v>0.97709999999999997</v>
      </c>
      <c r="R309" s="20">
        <v>1.0299</v>
      </c>
      <c r="S309" s="20">
        <v>1.0819000000000001</v>
      </c>
      <c r="T309" s="20">
        <v>1.1333</v>
      </c>
      <c r="U309" s="20">
        <v>1.1841999999999999</v>
      </c>
      <c r="V309" s="20">
        <v>1.2343999999999999</v>
      </c>
      <c r="W309"/>
      <c r="X309"/>
      <c r="Y309"/>
      <c r="Z309"/>
    </row>
    <row r="310" spans="1:26" x14ac:dyDescent="0.2">
      <c r="A310" s="19">
        <v>0.30399999999999999</v>
      </c>
      <c r="B310" s="20">
        <v>0</v>
      </c>
      <c r="C310" s="20">
        <v>8.3699999999999997E-2</v>
      </c>
      <c r="D310" s="20">
        <v>0.16350000000000001</v>
      </c>
      <c r="E310" s="20">
        <v>0.2397</v>
      </c>
      <c r="F310" s="20">
        <v>0.31280000000000002</v>
      </c>
      <c r="G310" s="20">
        <v>0.38290000000000002</v>
      </c>
      <c r="H310" s="20">
        <v>0.45040000000000002</v>
      </c>
      <c r="I310" s="20">
        <v>0.51559999999999995</v>
      </c>
      <c r="J310" s="20">
        <v>0.57869999999999999</v>
      </c>
      <c r="K310" s="20">
        <v>0.63990000000000002</v>
      </c>
      <c r="L310" s="20">
        <v>0.69940000000000002</v>
      </c>
      <c r="M310" s="20">
        <v>0.75739999999999996</v>
      </c>
      <c r="N310" s="20">
        <v>0.81420000000000003</v>
      </c>
      <c r="O310" s="20">
        <v>0.86970000000000003</v>
      </c>
      <c r="P310" s="20">
        <v>0.92420000000000002</v>
      </c>
      <c r="Q310" s="20">
        <v>0.9778</v>
      </c>
      <c r="R310" s="20">
        <v>1.0306</v>
      </c>
      <c r="S310" s="20">
        <v>1.0827</v>
      </c>
      <c r="T310" s="20">
        <v>1.1341000000000001</v>
      </c>
      <c r="U310" s="20">
        <v>1.1849000000000001</v>
      </c>
      <c r="V310" s="20">
        <v>1.2352000000000001</v>
      </c>
      <c r="W310"/>
      <c r="X310"/>
      <c r="Y310"/>
      <c r="Z310"/>
    </row>
    <row r="311" spans="1:26" x14ac:dyDescent="0.2">
      <c r="A311" s="19">
        <v>0.30499999999999999</v>
      </c>
      <c r="B311" s="20">
        <v>0</v>
      </c>
      <c r="C311" s="20">
        <v>8.3799999999999999E-2</v>
      </c>
      <c r="D311" s="20">
        <v>0.1636</v>
      </c>
      <c r="E311" s="20">
        <v>0.2399</v>
      </c>
      <c r="F311" s="20">
        <v>0.313</v>
      </c>
      <c r="G311" s="20">
        <v>0.38319999999999999</v>
      </c>
      <c r="H311" s="20">
        <v>0.45079999999999998</v>
      </c>
      <c r="I311" s="20">
        <v>0.51600000000000001</v>
      </c>
      <c r="J311" s="20">
        <v>0.57920000000000005</v>
      </c>
      <c r="K311" s="20">
        <v>0.64039999999999997</v>
      </c>
      <c r="L311" s="20">
        <v>0.7</v>
      </c>
      <c r="M311" s="20">
        <v>0.75800000000000001</v>
      </c>
      <c r="N311" s="20">
        <v>0.81479999999999997</v>
      </c>
      <c r="O311" s="20">
        <v>0.87039999999999995</v>
      </c>
      <c r="P311" s="20">
        <v>0.92490000000000006</v>
      </c>
      <c r="Q311" s="20">
        <v>0.97860000000000003</v>
      </c>
      <c r="R311" s="20">
        <v>1.0314000000000001</v>
      </c>
      <c r="S311" s="20">
        <v>1.0834999999999999</v>
      </c>
      <c r="T311" s="20">
        <v>1.1349</v>
      </c>
      <c r="U311" s="20">
        <v>1.1857</v>
      </c>
      <c r="V311" s="20">
        <v>1.236</v>
      </c>
      <c r="W311"/>
      <c r="X311"/>
      <c r="Y311"/>
      <c r="Z311"/>
    </row>
    <row r="312" spans="1:26" x14ac:dyDescent="0.2">
      <c r="A312" s="19">
        <v>0.30599999999999999</v>
      </c>
      <c r="B312" s="20">
        <v>0</v>
      </c>
      <c r="C312" s="20">
        <v>8.3799999999999999E-2</v>
      </c>
      <c r="D312" s="20">
        <v>0.1638</v>
      </c>
      <c r="E312" s="20">
        <v>0.24010000000000001</v>
      </c>
      <c r="F312" s="20">
        <v>0.31330000000000002</v>
      </c>
      <c r="G312" s="20">
        <v>0.3836</v>
      </c>
      <c r="H312" s="20">
        <v>0.45119999999999999</v>
      </c>
      <c r="I312" s="20">
        <v>0.51649999999999996</v>
      </c>
      <c r="J312" s="20">
        <v>0.5796</v>
      </c>
      <c r="K312" s="20">
        <v>0.64090000000000003</v>
      </c>
      <c r="L312" s="20">
        <v>0.7006</v>
      </c>
      <c r="M312" s="20">
        <v>0.75870000000000004</v>
      </c>
      <c r="N312" s="20">
        <v>0.8155</v>
      </c>
      <c r="O312" s="20">
        <v>0.87109999999999999</v>
      </c>
      <c r="P312" s="20">
        <v>0.92569999999999997</v>
      </c>
      <c r="Q312" s="20">
        <v>0.97929999999999995</v>
      </c>
      <c r="R312" s="20">
        <v>1.0322</v>
      </c>
      <c r="S312" s="20">
        <v>1.0843</v>
      </c>
      <c r="T312" s="20">
        <v>1.1356999999999999</v>
      </c>
      <c r="U312" s="20">
        <v>1.1865000000000001</v>
      </c>
      <c r="V312" s="20">
        <v>1.2367999999999999</v>
      </c>
      <c r="W312"/>
      <c r="X312"/>
      <c r="Y312"/>
      <c r="Z312"/>
    </row>
    <row r="313" spans="1:26" x14ac:dyDescent="0.2">
      <c r="A313" s="19">
        <v>0.307</v>
      </c>
      <c r="B313" s="20">
        <v>0</v>
      </c>
      <c r="C313" s="20">
        <v>8.3900000000000002E-2</v>
      </c>
      <c r="D313" s="20">
        <v>0.16389999999999999</v>
      </c>
      <c r="E313" s="20">
        <v>0.24030000000000001</v>
      </c>
      <c r="F313" s="20">
        <v>0.31359999999999999</v>
      </c>
      <c r="G313" s="20">
        <v>0.38390000000000002</v>
      </c>
      <c r="H313" s="20">
        <v>0.4516</v>
      </c>
      <c r="I313" s="20">
        <v>0.51690000000000003</v>
      </c>
      <c r="J313" s="20">
        <v>0.58009999999999995</v>
      </c>
      <c r="K313" s="20">
        <v>0.64149999999999996</v>
      </c>
      <c r="L313" s="20">
        <v>0.70109999999999995</v>
      </c>
      <c r="M313" s="20">
        <v>0.75929999999999997</v>
      </c>
      <c r="N313" s="20">
        <v>0.81610000000000005</v>
      </c>
      <c r="O313" s="20">
        <v>0.87180000000000002</v>
      </c>
      <c r="P313" s="20">
        <v>0.9264</v>
      </c>
      <c r="Q313" s="20">
        <v>0.98009999999999997</v>
      </c>
      <c r="R313" s="20">
        <v>1.0328999999999999</v>
      </c>
      <c r="S313" s="20">
        <v>1.085</v>
      </c>
      <c r="T313" s="20">
        <v>1.1365000000000001</v>
      </c>
      <c r="U313" s="20">
        <v>1.1873</v>
      </c>
      <c r="V313" s="20">
        <v>1.2376</v>
      </c>
      <c r="W313"/>
      <c r="X313"/>
      <c r="Y313"/>
      <c r="Z313"/>
    </row>
    <row r="314" spans="1:26" x14ac:dyDescent="0.2">
      <c r="A314" s="19">
        <v>0.308</v>
      </c>
      <c r="B314" s="20">
        <v>0</v>
      </c>
      <c r="C314" s="20">
        <v>8.4000000000000005E-2</v>
      </c>
      <c r="D314" s="20">
        <v>0.16400000000000001</v>
      </c>
      <c r="E314" s="20">
        <v>0.24060000000000001</v>
      </c>
      <c r="F314" s="20">
        <v>0.31380000000000002</v>
      </c>
      <c r="G314" s="20">
        <v>0.38419999999999999</v>
      </c>
      <c r="H314" s="20">
        <v>0.45200000000000001</v>
      </c>
      <c r="I314" s="20">
        <v>0.51739999999999997</v>
      </c>
      <c r="J314" s="20">
        <v>0.5806</v>
      </c>
      <c r="K314" s="20">
        <v>0.64200000000000002</v>
      </c>
      <c r="L314" s="20">
        <v>0.70169999999999999</v>
      </c>
      <c r="M314" s="20">
        <v>0.75990000000000002</v>
      </c>
      <c r="N314" s="20">
        <v>0.81679999999999997</v>
      </c>
      <c r="O314" s="20">
        <v>0.87250000000000005</v>
      </c>
      <c r="P314" s="20">
        <v>0.92710000000000004</v>
      </c>
      <c r="Q314" s="20">
        <v>0.98080000000000001</v>
      </c>
      <c r="R314" s="20">
        <v>1.0337000000000001</v>
      </c>
      <c r="S314" s="20">
        <v>1.0858000000000001</v>
      </c>
      <c r="T314" s="20">
        <v>1.1372</v>
      </c>
      <c r="U314" s="20">
        <v>1.1880999999999999</v>
      </c>
      <c r="V314" s="20">
        <v>1.2383999999999999</v>
      </c>
      <c r="W314"/>
      <c r="X314"/>
      <c r="Y314"/>
      <c r="Z314"/>
    </row>
    <row r="315" spans="1:26" x14ac:dyDescent="0.2">
      <c r="A315" s="19">
        <v>0.309</v>
      </c>
      <c r="B315" s="20">
        <v>0</v>
      </c>
      <c r="C315" s="20">
        <v>8.4099999999999994E-2</v>
      </c>
      <c r="D315" s="20">
        <v>0.16420000000000001</v>
      </c>
      <c r="E315" s="20">
        <v>0.24079999999999999</v>
      </c>
      <c r="F315" s="20">
        <v>0.31409999999999999</v>
      </c>
      <c r="G315" s="20">
        <v>0.38450000000000001</v>
      </c>
      <c r="H315" s="20">
        <v>0.45240000000000002</v>
      </c>
      <c r="I315" s="20">
        <v>0.51780000000000004</v>
      </c>
      <c r="J315" s="20">
        <v>0.58109999999999995</v>
      </c>
      <c r="K315" s="20">
        <v>0.64249999999999996</v>
      </c>
      <c r="L315" s="20">
        <v>0.70230000000000004</v>
      </c>
      <c r="M315" s="20">
        <v>0.76049999999999995</v>
      </c>
      <c r="N315" s="20">
        <v>0.81740000000000002</v>
      </c>
      <c r="O315" s="20">
        <v>0.87309999999999999</v>
      </c>
      <c r="P315" s="20">
        <v>0.92779999999999996</v>
      </c>
      <c r="Q315" s="20">
        <v>0.98150000000000004</v>
      </c>
      <c r="R315" s="20">
        <v>1.0344</v>
      </c>
      <c r="S315" s="20">
        <v>1.0866</v>
      </c>
      <c r="T315" s="20">
        <v>1.1379999999999999</v>
      </c>
      <c r="U315" s="20">
        <v>1.1889000000000001</v>
      </c>
      <c r="V315" s="20">
        <v>1.2391000000000001</v>
      </c>
      <c r="W315"/>
      <c r="X315"/>
      <c r="Y315"/>
      <c r="Z315"/>
    </row>
    <row r="316" spans="1:26" x14ac:dyDescent="0.2">
      <c r="A316" s="19">
        <v>0.31</v>
      </c>
      <c r="B316" s="20">
        <v>0</v>
      </c>
      <c r="C316" s="20">
        <v>8.4099999999999994E-2</v>
      </c>
      <c r="D316" s="20">
        <v>0.1643</v>
      </c>
      <c r="E316" s="20">
        <v>0.24099999999999999</v>
      </c>
      <c r="F316" s="20">
        <v>0.31440000000000001</v>
      </c>
      <c r="G316" s="20">
        <v>0.38490000000000002</v>
      </c>
      <c r="H316" s="20">
        <v>0.45269999999999999</v>
      </c>
      <c r="I316" s="20">
        <v>0.51819999999999999</v>
      </c>
      <c r="J316" s="20">
        <v>0.58160000000000001</v>
      </c>
      <c r="K316" s="20">
        <v>0.6431</v>
      </c>
      <c r="L316" s="20">
        <v>0.70289999999999997</v>
      </c>
      <c r="M316" s="20">
        <v>0.7611</v>
      </c>
      <c r="N316" s="20">
        <v>0.81810000000000005</v>
      </c>
      <c r="O316" s="20">
        <v>0.87380000000000002</v>
      </c>
      <c r="P316" s="20">
        <v>0.92849999999999999</v>
      </c>
      <c r="Q316" s="20">
        <v>0.98229999999999995</v>
      </c>
      <c r="R316" s="20">
        <v>1.0351999999999999</v>
      </c>
      <c r="S316" s="20">
        <v>1.0872999999999999</v>
      </c>
      <c r="T316" s="20">
        <v>1.1388</v>
      </c>
      <c r="U316" s="20">
        <v>1.1896</v>
      </c>
      <c r="V316" s="20">
        <v>1.2399</v>
      </c>
      <c r="W316"/>
      <c r="X316"/>
      <c r="Y316"/>
      <c r="Z316"/>
    </row>
    <row r="317" spans="1:26" x14ac:dyDescent="0.2">
      <c r="A317" s="19">
        <v>0.311</v>
      </c>
      <c r="B317" s="20">
        <v>0</v>
      </c>
      <c r="C317" s="20">
        <v>8.4199999999999997E-2</v>
      </c>
      <c r="D317" s="20">
        <v>0.16450000000000001</v>
      </c>
      <c r="E317" s="20">
        <v>0.2412</v>
      </c>
      <c r="F317" s="20">
        <v>0.31469999999999998</v>
      </c>
      <c r="G317" s="20">
        <v>0.38519999999999999</v>
      </c>
      <c r="H317" s="20">
        <v>0.4531</v>
      </c>
      <c r="I317" s="20">
        <v>0.51870000000000005</v>
      </c>
      <c r="J317" s="20">
        <v>0.58209999999999995</v>
      </c>
      <c r="K317" s="20">
        <v>0.64359999999999995</v>
      </c>
      <c r="L317" s="20">
        <v>0.70340000000000003</v>
      </c>
      <c r="M317" s="20">
        <v>0.76180000000000003</v>
      </c>
      <c r="N317" s="20">
        <v>0.81869999999999998</v>
      </c>
      <c r="O317" s="20">
        <v>0.87450000000000006</v>
      </c>
      <c r="P317" s="20">
        <v>0.92920000000000003</v>
      </c>
      <c r="Q317" s="20">
        <v>0.98299999999999998</v>
      </c>
      <c r="R317" s="20">
        <v>1.0359</v>
      </c>
      <c r="S317" s="20">
        <v>1.0881000000000001</v>
      </c>
      <c r="T317" s="20">
        <v>1.1395999999999999</v>
      </c>
      <c r="U317" s="20">
        <v>1.1903999999999999</v>
      </c>
      <c r="V317" s="20">
        <v>1.2406999999999999</v>
      </c>
      <c r="W317"/>
      <c r="X317"/>
      <c r="Y317"/>
      <c r="Z317"/>
    </row>
    <row r="318" spans="1:26" x14ac:dyDescent="0.2">
      <c r="A318" s="19">
        <v>0.312</v>
      </c>
      <c r="B318" s="20">
        <v>0</v>
      </c>
      <c r="C318" s="20">
        <v>8.43E-2</v>
      </c>
      <c r="D318" s="20">
        <v>0.1646</v>
      </c>
      <c r="E318" s="20">
        <v>0.2414</v>
      </c>
      <c r="F318" s="20">
        <v>0.31490000000000001</v>
      </c>
      <c r="G318" s="20">
        <v>0.38550000000000001</v>
      </c>
      <c r="H318" s="20">
        <v>0.45350000000000001</v>
      </c>
      <c r="I318" s="20">
        <v>0.51910000000000001</v>
      </c>
      <c r="J318" s="20">
        <v>0.58260000000000001</v>
      </c>
      <c r="K318" s="20">
        <v>0.64419999999999999</v>
      </c>
      <c r="L318" s="20">
        <v>0.70399999999999996</v>
      </c>
      <c r="M318" s="20">
        <v>0.76239999999999997</v>
      </c>
      <c r="N318" s="20">
        <v>0.81940000000000002</v>
      </c>
      <c r="O318" s="20">
        <v>0.87519999999999998</v>
      </c>
      <c r="P318" s="20">
        <v>0.92989999999999995</v>
      </c>
      <c r="Q318" s="20">
        <v>0.98370000000000002</v>
      </c>
      <c r="R318" s="20">
        <v>1.0367</v>
      </c>
      <c r="S318" s="20">
        <v>1.0888</v>
      </c>
      <c r="T318" s="20">
        <v>1.1403000000000001</v>
      </c>
      <c r="U318" s="20">
        <v>1.1912</v>
      </c>
      <c r="V318" s="20">
        <v>1.2415</v>
      </c>
      <c r="W318"/>
      <c r="X318"/>
      <c r="Y318"/>
      <c r="Z318"/>
    </row>
    <row r="319" spans="1:26" x14ac:dyDescent="0.2">
      <c r="A319" s="19">
        <v>0.313</v>
      </c>
      <c r="B319" s="20">
        <v>0</v>
      </c>
      <c r="C319" s="20">
        <v>8.43E-2</v>
      </c>
      <c r="D319" s="20">
        <v>0.1648</v>
      </c>
      <c r="E319" s="20">
        <v>0.24160000000000001</v>
      </c>
      <c r="F319" s="20">
        <v>0.31519999999999998</v>
      </c>
      <c r="G319" s="20">
        <v>0.38590000000000002</v>
      </c>
      <c r="H319" s="20">
        <v>0.45390000000000003</v>
      </c>
      <c r="I319" s="20">
        <v>0.51959999999999995</v>
      </c>
      <c r="J319" s="20">
        <v>0.58309999999999995</v>
      </c>
      <c r="K319" s="20">
        <v>0.64470000000000005</v>
      </c>
      <c r="L319" s="20">
        <v>0.7046</v>
      </c>
      <c r="M319" s="20">
        <v>0.76300000000000001</v>
      </c>
      <c r="N319" s="20">
        <v>0.82</v>
      </c>
      <c r="O319" s="20">
        <v>0.87590000000000001</v>
      </c>
      <c r="P319" s="20">
        <v>0.93059999999999998</v>
      </c>
      <c r="Q319" s="20">
        <v>0.98440000000000005</v>
      </c>
      <c r="R319" s="20">
        <v>1.0374000000000001</v>
      </c>
      <c r="S319" s="20">
        <v>1.0895999999999999</v>
      </c>
      <c r="T319" s="20">
        <v>1.1411</v>
      </c>
      <c r="U319" s="20">
        <v>1.1919999999999999</v>
      </c>
      <c r="V319" s="20">
        <v>1.2423</v>
      </c>
      <c r="W319"/>
      <c r="X319"/>
      <c r="Y319"/>
      <c r="Z319"/>
    </row>
    <row r="320" spans="1:26" x14ac:dyDescent="0.2">
      <c r="A320" s="19">
        <v>0.314</v>
      </c>
      <c r="B320" s="20">
        <v>0</v>
      </c>
      <c r="C320" s="20">
        <v>8.4400000000000003E-2</v>
      </c>
      <c r="D320" s="20">
        <v>0.16489999999999999</v>
      </c>
      <c r="E320" s="20">
        <v>0.24179999999999999</v>
      </c>
      <c r="F320" s="20">
        <v>0.3155</v>
      </c>
      <c r="G320" s="20">
        <v>0.38619999999999999</v>
      </c>
      <c r="H320" s="20">
        <v>0.45429999999999998</v>
      </c>
      <c r="I320" s="20">
        <v>0.52</v>
      </c>
      <c r="J320" s="20">
        <v>0.58360000000000001</v>
      </c>
      <c r="K320" s="20">
        <v>0.6452</v>
      </c>
      <c r="L320" s="20">
        <v>0.70520000000000005</v>
      </c>
      <c r="M320" s="20">
        <v>0.76359999999999995</v>
      </c>
      <c r="N320" s="20">
        <v>0.82069999999999999</v>
      </c>
      <c r="O320" s="20">
        <v>0.87649999999999995</v>
      </c>
      <c r="P320" s="20">
        <v>0.93130000000000002</v>
      </c>
      <c r="Q320" s="20">
        <v>0.98519999999999996</v>
      </c>
      <c r="R320" s="20">
        <v>1.0382</v>
      </c>
      <c r="S320" s="20">
        <v>1.0904</v>
      </c>
      <c r="T320" s="20">
        <v>1.1418999999999999</v>
      </c>
      <c r="U320" s="20">
        <v>1.1928000000000001</v>
      </c>
      <c r="V320" s="20">
        <v>1.2430000000000001</v>
      </c>
      <c r="W320"/>
      <c r="X320"/>
      <c r="Y320"/>
      <c r="Z320"/>
    </row>
    <row r="321" spans="1:26" x14ac:dyDescent="0.2">
      <c r="A321" s="19">
        <v>0.315</v>
      </c>
      <c r="B321" s="20">
        <v>0</v>
      </c>
      <c r="C321" s="20">
        <v>8.4500000000000006E-2</v>
      </c>
      <c r="D321" s="20">
        <v>0.16500000000000001</v>
      </c>
      <c r="E321" s="20">
        <v>0.24199999999999999</v>
      </c>
      <c r="F321" s="20">
        <v>0.31569999999999998</v>
      </c>
      <c r="G321" s="20">
        <v>0.38650000000000001</v>
      </c>
      <c r="H321" s="20">
        <v>0.45469999999999999</v>
      </c>
      <c r="I321" s="20">
        <v>0.52039999999999997</v>
      </c>
      <c r="J321" s="20">
        <v>0.58399999999999996</v>
      </c>
      <c r="K321" s="20">
        <v>0.64580000000000004</v>
      </c>
      <c r="L321" s="20">
        <v>0.70569999999999999</v>
      </c>
      <c r="M321" s="20">
        <v>0.76419999999999999</v>
      </c>
      <c r="N321" s="20">
        <v>0.82130000000000003</v>
      </c>
      <c r="O321" s="20">
        <v>0.87719999999999998</v>
      </c>
      <c r="P321" s="20">
        <v>0.93200000000000005</v>
      </c>
      <c r="Q321" s="20">
        <v>0.9859</v>
      </c>
      <c r="R321" s="20">
        <v>1.0388999999999999</v>
      </c>
      <c r="S321" s="20">
        <v>1.0911</v>
      </c>
      <c r="T321" s="20">
        <v>1.1426000000000001</v>
      </c>
      <c r="U321" s="20">
        <v>1.1935</v>
      </c>
      <c r="V321" s="20">
        <v>1.2438</v>
      </c>
      <c r="W321"/>
      <c r="X321"/>
      <c r="Y321"/>
      <c r="Z321"/>
    </row>
    <row r="322" spans="1:26" x14ac:dyDescent="0.2">
      <c r="A322" s="19">
        <v>0.316</v>
      </c>
      <c r="B322" s="20">
        <v>0</v>
      </c>
      <c r="C322" s="20">
        <v>8.4599999999999995E-2</v>
      </c>
      <c r="D322" s="20">
        <v>0.16520000000000001</v>
      </c>
      <c r="E322" s="20">
        <v>0.2422</v>
      </c>
      <c r="F322" s="20">
        <v>0.316</v>
      </c>
      <c r="G322" s="20">
        <v>0.38690000000000002</v>
      </c>
      <c r="H322" s="20">
        <v>0.4551</v>
      </c>
      <c r="I322" s="20">
        <v>0.52090000000000003</v>
      </c>
      <c r="J322" s="20">
        <v>0.58450000000000002</v>
      </c>
      <c r="K322" s="20">
        <v>0.64629999999999999</v>
      </c>
      <c r="L322" s="20">
        <v>0.70630000000000004</v>
      </c>
      <c r="M322" s="20">
        <v>0.76480000000000004</v>
      </c>
      <c r="N322" s="20">
        <v>0.82199999999999995</v>
      </c>
      <c r="O322" s="20">
        <v>0.87790000000000001</v>
      </c>
      <c r="P322" s="20">
        <v>0.93269999999999997</v>
      </c>
      <c r="Q322" s="20">
        <v>0.98660000000000003</v>
      </c>
      <c r="R322" s="20">
        <v>1.0396000000000001</v>
      </c>
      <c r="S322" s="20">
        <v>1.0919000000000001</v>
      </c>
      <c r="T322" s="20">
        <v>1.1434</v>
      </c>
      <c r="U322" s="20">
        <v>1.1942999999999999</v>
      </c>
      <c r="V322" s="20">
        <v>1.2445999999999999</v>
      </c>
      <c r="W322"/>
      <c r="X322"/>
      <c r="Y322"/>
      <c r="Z322"/>
    </row>
    <row r="323" spans="1:26" x14ac:dyDescent="0.2">
      <c r="A323" s="19">
        <v>0.317</v>
      </c>
      <c r="B323" s="20">
        <v>0</v>
      </c>
      <c r="C323" s="20">
        <v>8.4599999999999995E-2</v>
      </c>
      <c r="D323" s="20">
        <v>0.1653</v>
      </c>
      <c r="E323" s="20">
        <v>0.2424</v>
      </c>
      <c r="F323" s="20">
        <v>0.31630000000000003</v>
      </c>
      <c r="G323" s="20">
        <v>0.38719999999999999</v>
      </c>
      <c r="H323" s="20">
        <v>0.45540000000000003</v>
      </c>
      <c r="I323" s="20">
        <v>0.52129999999999999</v>
      </c>
      <c r="J323" s="20">
        <v>0.58499999999999996</v>
      </c>
      <c r="K323" s="20">
        <v>0.64680000000000004</v>
      </c>
      <c r="L323" s="20">
        <v>0.70689999999999997</v>
      </c>
      <c r="M323" s="20">
        <v>0.76539999999999997</v>
      </c>
      <c r="N323" s="20">
        <v>0.8226</v>
      </c>
      <c r="O323" s="20">
        <v>0.87860000000000005</v>
      </c>
      <c r="P323" s="20">
        <v>0.93340000000000001</v>
      </c>
      <c r="Q323" s="20">
        <v>0.98729999999999996</v>
      </c>
      <c r="R323" s="20">
        <v>1.0404</v>
      </c>
      <c r="S323" s="20">
        <v>1.0926</v>
      </c>
      <c r="T323" s="20">
        <v>1.1442000000000001</v>
      </c>
      <c r="U323" s="20">
        <v>1.1951000000000001</v>
      </c>
      <c r="V323" s="20">
        <v>1.2454000000000001</v>
      </c>
      <c r="W323"/>
      <c r="X323"/>
      <c r="Y323"/>
      <c r="Z323"/>
    </row>
    <row r="324" spans="1:26" x14ac:dyDescent="0.2">
      <c r="A324" s="19">
        <v>0.318</v>
      </c>
      <c r="B324" s="20">
        <v>0</v>
      </c>
      <c r="C324" s="20">
        <v>8.4699999999999998E-2</v>
      </c>
      <c r="D324" s="20">
        <v>0.16550000000000001</v>
      </c>
      <c r="E324" s="20">
        <v>0.24260000000000001</v>
      </c>
      <c r="F324" s="20">
        <v>0.31659999999999999</v>
      </c>
      <c r="G324" s="20">
        <v>0.38750000000000001</v>
      </c>
      <c r="H324" s="20">
        <v>0.45579999999999998</v>
      </c>
      <c r="I324" s="20">
        <v>0.52170000000000005</v>
      </c>
      <c r="J324" s="20">
        <v>0.58550000000000002</v>
      </c>
      <c r="K324" s="20">
        <v>0.64729999999999999</v>
      </c>
      <c r="L324" s="20">
        <v>0.70750000000000002</v>
      </c>
      <c r="M324" s="20">
        <v>0.76600000000000001</v>
      </c>
      <c r="N324" s="20">
        <v>0.82330000000000003</v>
      </c>
      <c r="O324" s="20">
        <v>0.87919999999999998</v>
      </c>
      <c r="P324" s="20">
        <v>0.93410000000000004</v>
      </c>
      <c r="Q324" s="20">
        <v>0.98809999999999998</v>
      </c>
      <c r="R324" s="20">
        <v>1.0410999999999999</v>
      </c>
      <c r="S324" s="20">
        <v>1.0933999999999999</v>
      </c>
      <c r="T324" s="20">
        <v>1.1449</v>
      </c>
      <c r="U324" s="20">
        <v>1.1958</v>
      </c>
      <c r="V324" s="20">
        <v>1.2461</v>
      </c>
      <c r="W324"/>
      <c r="X324"/>
      <c r="Y324"/>
      <c r="Z324"/>
    </row>
    <row r="325" spans="1:26" x14ac:dyDescent="0.2">
      <c r="A325" s="19">
        <v>0.31900000000000001</v>
      </c>
      <c r="B325" s="20">
        <v>0</v>
      </c>
      <c r="C325" s="20">
        <v>8.48E-2</v>
      </c>
      <c r="D325" s="20">
        <v>0.1656</v>
      </c>
      <c r="E325" s="20">
        <v>0.2429</v>
      </c>
      <c r="F325" s="20">
        <v>0.31680000000000003</v>
      </c>
      <c r="G325" s="20">
        <v>0.38790000000000002</v>
      </c>
      <c r="H325" s="20">
        <v>0.45619999999999999</v>
      </c>
      <c r="I325" s="20">
        <v>0.5222</v>
      </c>
      <c r="J325" s="20">
        <v>0.58599999999999997</v>
      </c>
      <c r="K325" s="20">
        <v>0.64790000000000003</v>
      </c>
      <c r="L325" s="20">
        <v>0.70799999999999996</v>
      </c>
      <c r="M325" s="20">
        <v>0.76670000000000005</v>
      </c>
      <c r="N325" s="20">
        <v>0.82389999999999997</v>
      </c>
      <c r="O325" s="20">
        <v>0.87990000000000002</v>
      </c>
      <c r="P325" s="20">
        <v>0.93479999999999996</v>
      </c>
      <c r="Q325" s="20">
        <v>0.98880000000000001</v>
      </c>
      <c r="R325" s="20">
        <v>1.0419</v>
      </c>
      <c r="S325" s="20">
        <v>1.0941000000000001</v>
      </c>
      <c r="T325" s="20">
        <v>1.1456999999999999</v>
      </c>
      <c r="U325" s="20">
        <v>1.1966000000000001</v>
      </c>
      <c r="V325" s="20">
        <v>1.2468999999999999</v>
      </c>
      <c r="W325"/>
      <c r="X325"/>
      <c r="Y325"/>
      <c r="Z325"/>
    </row>
    <row r="326" spans="1:26" x14ac:dyDescent="0.2">
      <c r="A326" s="19">
        <v>0.32</v>
      </c>
      <c r="B326" s="20">
        <v>0</v>
      </c>
      <c r="C326" s="20">
        <v>8.4900000000000003E-2</v>
      </c>
      <c r="D326" s="20">
        <v>0.1658</v>
      </c>
      <c r="E326" s="20">
        <v>0.24310000000000001</v>
      </c>
      <c r="F326" s="20">
        <v>0.31709999999999999</v>
      </c>
      <c r="G326" s="20">
        <v>0.38819999999999999</v>
      </c>
      <c r="H326" s="20">
        <v>0.45660000000000001</v>
      </c>
      <c r="I326" s="20">
        <v>0.52259999999999995</v>
      </c>
      <c r="J326" s="20">
        <v>0.58650000000000002</v>
      </c>
      <c r="K326" s="20">
        <v>0.64839999999999998</v>
      </c>
      <c r="L326" s="20">
        <v>0.70860000000000001</v>
      </c>
      <c r="M326" s="20">
        <v>0.76729999999999998</v>
      </c>
      <c r="N326" s="20">
        <v>0.82450000000000001</v>
      </c>
      <c r="O326" s="20">
        <v>0.88060000000000005</v>
      </c>
      <c r="P326" s="20">
        <v>0.9355</v>
      </c>
      <c r="Q326" s="20">
        <v>0.98950000000000005</v>
      </c>
      <c r="R326" s="20">
        <v>1.0426</v>
      </c>
      <c r="S326" s="20">
        <v>1.0949</v>
      </c>
      <c r="T326" s="20">
        <v>1.1465000000000001</v>
      </c>
      <c r="U326" s="20">
        <v>1.1974</v>
      </c>
      <c r="V326" s="20">
        <v>1.2477</v>
      </c>
      <c r="W326"/>
      <c r="X326"/>
      <c r="Y326"/>
      <c r="Z326"/>
    </row>
    <row r="327" spans="1:26" x14ac:dyDescent="0.2">
      <c r="A327" s="19">
        <v>0.32100000000000001</v>
      </c>
      <c r="B327" s="20">
        <v>0</v>
      </c>
      <c r="C327" s="20">
        <v>8.4900000000000003E-2</v>
      </c>
      <c r="D327" s="20">
        <v>0.16589999999999999</v>
      </c>
      <c r="E327" s="20">
        <v>0.24329999999999999</v>
      </c>
      <c r="F327" s="20">
        <v>0.31740000000000002</v>
      </c>
      <c r="G327" s="20">
        <v>0.38850000000000001</v>
      </c>
      <c r="H327" s="20">
        <v>0.45700000000000002</v>
      </c>
      <c r="I327" s="20">
        <v>0.52310000000000001</v>
      </c>
      <c r="J327" s="20">
        <v>0.58699999999999997</v>
      </c>
      <c r="K327" s="20">
        <v>0.64890000000000003</v>
      </c>
      <c r="L327" s="20">
        <v>0.70920000000000005</v>
      </c>
      <c r="M327" s="20">
        <v>0.76790000000000003</v>
      </c>
      <c r="N327" s="20">
        <v>0.82520000000000004</v>
      </c>
      <c r="O327" s="20">
        <v>0.88129999999999997</v>
      </c>
      <c r="P327" s="20">
        <v>0.93620000000000003</v>
      </c>
      <c r="Q327" s="20">
        <v>0.99019999999999997</v>
      </c>
      <c r="R327" s="20">
        <v>1.0432999999999999</v>
      </c>
      <c r="S327" s="20">
        <v>1.0955999999999999</v>
      </c>
      <c r="T327" s="20">
        <v>1.1472</v>
      </c>
      <c r="U327" s="20">
        <v>1.1980999999999999</v>
      </c>
      <c r="V327" s="20">
        <v>1.2484</v>
      </c>
      <c r="W327"/>
      <c r="X327"/>
      <c r="Y327"/>
      <c r="Z327"/>
    </row>
    <row r="328" spans="1:26" x14ac:dyDescent="0.2">
      <c r="A328" s="19">
        <v>0.32200000000000001</v>
      </c>
      <c r="B328" s="20">
        <v>0</v>
      </c>
      <c r="C328" s="20">
        <v>8.5000000000000006E-2</v>
      </c>
      <c r="D328" s="20">
        <v>0.16600000000000001</v>
      </c>
      <c r="E328" s="20">
        <v>0.24349999999999999</v>
      </c>
      <c r="F328" s="20">
        <v>0.31759999999999999</v>
      </c>
      <c r="G328" s="20">
        <v>0.38879999999999998</v>
      </c>
      <c r="H328" s="20">
        <v>0.45739999999999997</v>
      </c>
      <c r="I328" s="20">
        <v>0.52349999999999997</v>
      </c>
      <c r="J328" s="20">
        <v>0.58740000000000003</v>
      </c>
      <c r="K328" s="20">
        <v>0.64949999999999997</v>
      </c>
      <c r="L328" s="20">
        <v>0.7097</v>
      </c>
      <c r="M328" s="20">
        <v>0.76849999999999996</v>
      </c>
      <c r="N328" s="20">
        <v>0.82579999999999998</v>
      </c>
      <c r="O328" s="20">
        <v>0.88190000000000002</v>
      </c>
      <c r="P328" s="20">
        <v>0.93689999999999996</v>
      </c>
      <c r="Q328" s="20">
        <v>0.9909</v>
      </c>
      <c r="R328" s="20">
        <v>1.0441</v>
      </c>
      <c r="S328" s="20">
        <v>1.0964</v>
      </c>
      <c r="T328" s="20">
        <v>1.1479999999999999</v>
      </c>
      <c r="U328" s="20">
        <v>1.1989000000000001</v>
      </c>
      <c r="V328" s="20">
        <v>1.2492000000000001</v>
      </c>
      <c r="W328"/>
      <c r="X328"/>
      <c r="Y328"/>
      <c r="Z328"/>
    </row>
    <row r="329" spans="1:26" x14ac:dyDescent="0.2">
      <c r="A329" s="19">
        <v>0.32300000000000001</v>
      </c>
      <c r="B329" s="20">
        <v>0</v>
      </c>
      <c r="C329" s="20">
        <v>8.5099999999999995E-2</v>
      </c>
      <c r="D329" s="20">
        <v>0.16619999999999999</v>
      </c>
      <c r="E329" s="20">
        <v>0.2437</v>
      </c>
      <c r="F329" s="20">
        <v>0.31790000000000002</v>
      </c>
      <c r="G329" s="20">
        <v>0.38919999999999999</v>
      </c>
      <c r="H329" s="20">
        <v>0.4577</v>
      </c>
      <c r="I329" s="20">
        <v>0.52390000000000003</v>
      </c>
      <c r="J329" s="20">
        <v>0.58789999999999998</v>
      </c>
      <c r="K329" s="20">
        <v>0.65</v>
      </c>
      <c r="L329" s="20">
        <v>0.71030000000000004</v>
      </c>
      <c r="M329" s="20">
        <v>0.76910000000000001</v>
      </c>
      <c r="N329" s="20">
        <v>0.82650000000000001</v>
      </c>
      <c r="O329" s="20">
        <v>0.88260000000000005</v>
      </c>
      <c r="P329" s="20">
        <v>0.93759999999999999</v>
      </c>
      <c r="Q329" s="20">
        <v>0.99170000000000003</v>
      </c>
      <c r="R329" s="20">
        <v>1.0448</v>
      </c>
      <c r="S329" s="20">
        <v>1.0971</v>
      </c>
      <c r="T329" s="20">
        <v>1.1487000000000001</v>
      </c>
      <c r="U329" s="20">
        <v>1.1997</v>
      </c>
      <c r="V329" s="20">
        <v>1.25</v>
      </c>
      <c r="W329"/>
      <c r="X329"/>
      <c r="Y329"/>
      <c r="Z329"/>
    </row>
    <row r="330" spans="1:26" x14ac:dyDescent="0.2">
      <c r="A330" s="19">
        <v>0.32400000000000001</v>
      </c>
      <c r="B330" s="20">
        <v>0</v>
      </c>
      <c r="C330" s="20">
        <v>8.5199999999999998E-2</v>
      </c>
      <c r="D330" s="20">
        <v>0.1663</v>
      </c>
      <c r="E330" s="20">
        <v>0.24390000000000001</v>
      </c>
      <c r="F330" s="20">
        <v>0.31819999999999998</v>
      </c>
      <c r="G330" s="20">
        <v>0.38950000000000001</v>
      </c>
      <c r="H330" s="20">
        <v>0.45810000000000001</v>
      </c>
      <c r="I330" s="20">
        <v>0.52439999999999998</v>
      </c>
      <c r="J330" s="20">
        <v>0.58840000000000003</v>
      </c>
      <c r="K330" s="20">
        <v>0.65049999999999997</v>
      </c>
      <c r="L330" s="20">
        <v>0.71089999999999998</v>
      </c>
      <c r="M330" s="20">
        <v>0.76970000000000005</v>
      </c>
      <c r="N330" s="20">
        <v>0.82709999999999995</v>
      </c>
      <c r="O330" s="20">
        <v>0.88329999999999997</v>
      </c>
      <c r="P330" s="20">
        <v>0.93830000000000002</v>
      </c>
      <c r="Q330" s="20">
        <v>0.99239999999999995</v>
      </c>
      <c r="R330" s="20">
        <v>1.0455000000000001</v>
      </c>
      <c r="S330" s="20">
        <v>1.0979000000000001</v>
      </c>
      <c r="T330" s="20">
        <v>1.1495</v>
      </c>
      <c r="U330" s="20">
        <v>1.2003999999999999</v>
      </c>
      <c r="V330" s="20">
        <v>1.2506999999999999</v>
      </c>
      <c r="W330"/>
      <c r="X330"/>
      <c r="Y330"/>
      <c r="Z330"/>
    </row>
    <row r="331" spans="1:26" x14ac:dyDescent="0.2">
      <c r="A331" s="19">
        <v>0.32500000000000001</v>
      </c>
      <c r="B331" s="20">
        <v>0</v>
      </c>
      <c r="C331" s="20">
        <v>8.5199999999999998E-2</v>
      </c>
      <c r="D331" s="20">
        <v>0.16650000000000001</v>
      </c>
      <c r="E331" s="20">
        <v>0.24410000000000001</v>
      </c>
      <c r="F331" s="20">
        <v>0.31840000000000002</v>
      </c>
      <c r="G331" s="20">
        <v>0.38979999999999998</v>
      </c>
      <c r="H331" s="20">
        <v>0.45850000000000002</v>
      </c>
      <c r="I331" s="20">
        <v>0.52480000000000004</v>
      </c>
      <c r="J331" s="20">
        <v>0.58889999999999998</v>
      </c>
      <c r="K331" s="20">
        <v>0.65100000000000002</v>
      </c>
      <c r="L331" s="20">
        <v>0.71150000000000002</v>
      </c>
      <c r="M331" s="20">
        <v>0.77029999999999998</v>
      </c>
      <c r="N331" s="20">
        <v>0.82769999999999999</v>
      </c>
      <c r="O331" s="20">
        <v>0.88390000000000002</v>
      </c>
      <c r="P331" s="20">
        <v>0.93899999999999995</v>
      </c>
      <c r="Q331" s="20">
        <v>0.99309999999999998</v>
      </c>
      <c r="R331" s="20">
        <v>1.0463</v>
      </c>
      <c r="S331" s="20">
        <v>1.0986</v>
      </c>
      <c r="T331" s="20">
        <v>1.1501999999999999</v>
      </c>
      <c r="U331" s="20">
        <v>1.2012</v>
      </c>
      <c r="V331" s="20">
        <v>1.2515000000000001</v>
      </c>
      <c r="W331"/>
      <c r="X331"/>
      <c r="Y331"/>
      <c r="Z331"/>
    </row>
    <row r="332" spans="1:26" x14ac:dyDescent="0.2">
      <c r="A332" s="19">
        <v>0.32600000000000001</v>
      </c>
      <c r="B332" s="20">
        <v>0</v>
      </c>
      <c r="C332" s="20">
        <v>8.5300000000000001E-2</v>
      </c>
      <c r="D332" s="20">
        <v>0.1666</v>
      </c>
      <c r="E332" s="20">
        <v>0.24429999999999999</v>
      </c>
      <c r="F332" s="20">
        <v>0.31869999999999998</v>
      </c>
      <c r="G332" s="20">
        <v>0.3901</v>
      </c>
      <c r="H332" s="20">
        <v>0.45889999999999997</v>
      </c>
      <c r="I332" s="20">
        <v>0.5252</v>
      </c>
      <c r="J332" s="20">
        <v>0.58940000000000003</v>
      </c>
      <c r="K332" s="20">
        <v>0.65159999999999996</v>
      </c>
      <c r="L332" s="20">
        <v>0.71199999999999997</v>
      </c>
      <c r="M332" s="20">
        <v>0.77090000000000003</v>
      </c>
      <c r="N332" s="20">
        <v>0.82840000000000003</v>
      </c>
      <c r="O332" s="20">
        <v>0.88460000000000005</v>
      </c>
      <c r="P332" s="20">
        <v>0.93969999999999998</v>
      </c>
      <c r="Q332" s="20">
        <v>0.99380000000000002</v>
      </c>
      <c r="R332" s="20">
        <v>1.0469999999999999</v>
      </c>
      <c r="S332" s="20">
        <v>1.0993999999999999</v>
      </c>
      <c r="T332" s="20">
        <v>1.151</v>
      </c>
      <c r="U332" s="20">
        <v>1.2019</v>
      </c>
      <c r="V332" s="20">
        <v>1.2522</v>
      </c>
      <c r="W332"/>
      <c r="X332"/>
      <c r="Y332"/>
      <c r="Z332"/>
    </row>
    <row r="333" spans="1:26" x14ac:dyDescent="0.2">
      <c r="A333" s="19">
        <v>0.32700000000000001</v>
      </c>
      <c r="B333" s="20">
        <v>0</v>
      </c>
      <c r="C333" s="20">
        <v>8.5400000000000004E-2</v>
      </c>
      <c r="D333" s="20">
        <v>0.1668</v>
      </c>
      <c r="E333" s="20">
        <v>0.2445</v>
      </c>
      <c r="F333" s="20">
        <v>0.31900000000000001</v>
      </c>
      <c r="G333" s="20">
        <v>0.39050000000000001</v>
      </c>
      <c r="H333" s="20">
        <v>0.45929999999999999</v>
      </c>
      <c r="I333" s="20">
        <v>0.52569999999999995</v>
      </c>
      <c r="J333" s="20">
        <v>0.58989999999999998</v>
      </c>
      <c r="K333" s="20">
        <v>0.65210000000000001</v>
      </c>
      <c r="L333" s="20">
        <v>0.71260000000000001</v>
      </c>
      <c r="M333" s="20">
        <v>0.77149999999999996</v>
      </c>
      <c r="N333" s="20">
        <v>0.82899999999999996</v>
      </c>
      <c r="O333" s="20">
        <v>0.88529999999999998</v>
      </c>
      <c r="P333" s="20">
        <v>0.94040000000000001</v>
      </c>
      <c r="Q333" s="20">
        <v>0.99450000000000005</v>
      </c>
      <c r="R333" s="20">
        <v>1.0477000000000001</v>
      </c>
      <c r="S333" s="20">
        <v>1.1001000000000001</v>
      </c>
      <c r="T333" s="20">
        <v>1.1516999999999999</v>
      </c>
      <c r="U333" s="20">
        <v>1.2027000000000001</v>
      </c>
      <c r="V333" s="20">
        <v>1.2529999999999999</v>
      </c>
      <c r="W333"/>
      <c r="X333"/>
      <c r="Y333"/>
      <c r="Z333"/>
    </row>
    <row r="334" spans="1:26" x14ac:dyDescent="0.2">
      <c r="A334" s="19">
        <v>0.32800000000000001</v>
      </c>
      <c r="B334" s="20">
        <v>0</v>
      </c>
      <c r="C334" s="20">
        <v>8.5400000000000004E-2</v>
      </c>
      <c r="D334" s="20">
        <v>0.16689999999999999</v>
      </c>
      <c r="E334" s="20">
        <v>0.2447</v>
      </c>
      <c r="F334" s="20">
        <v>0.31929999999999997</v>
      </c>
      <c r="G334" s="20">
        <v>0.39079999999999998</v>
      </c>
      <c r="H334" s="20">
        <v>0.4597</v>
      </c>
      <c r="I334" s="20">
        <v>0.52610000000000001</v>
      </c>
      <c r="J334" s="20">
        <v>0.59030000000000005</v>
      </c>
      <c r="K334" s="20">
        <v>0.65259999999999996</v>
      </c>
      <c r="L334" s="20">
        <v>0.71309999999999996</v>
      </c>
      <c r="M334" s="20">
        <v>0.77210000000000001</v>
      </c>
      <c r="N334" s="20">
        <v>0.8296</v>
      </c>
      <c r="O334" s="20">
        <v>0.88590000000000002</v>
      </c>
      <c r="P334" s="20">
        <v>0.94110000000000005</v>
      </c>
      <c r="Q334" s="20">
        <v>0.99519999999999997</v>
      </c>
      <c r="R334" s="20">
        <v>1.0484</v>
      </c>
      <c r="S334" s="20">
        <v>1.1008</v>
      </c>
      <c r="T334" s="20">
        <v>1.1525000000000001</v>
      </c>
      <c r="U334" s="20">
        <v>1.2034</v>
      </c>
      <c r="V334" s="20">
        <v>1.2538</v>
      </c>
      <c r="W334"/>
      <c r="X334"/>
      <c r="Y334"/>
      <c r="Z334"/>
    </row>
    <row r="335" spans="1:26" x14ac:dyDescent="0.2">
      <c r="A335" s="19">
        <v>0.32900000000000001</v>
      </c>
      <c r="B335" s="20">
        <v>0</v>
      </c>
      <c r="C335" s="20">
        <v>8.5500000000000007E-2</v>
      </c>
      <c r="D335" s="20">
        <v>0.16700000000000001</v>
      </c>
      <c r="E335" s="20">
        <v>0.24490000000000001</v>
      </c>
      <c r="F335" s="20">
        <v>0.31950000000000001</v>
      </c>
      <c r="G335" s="20">
        <v>0.3911</v>
      </c>
      <c r="H335" s="20">
        <v>0.46</v>
      </c>
      <c r="I335" s="20">
        <v>0.52649999999999997</v>
      </c>
      <c r="J335" s="20">
        <v>0.59079999999999999</v>
      </c>
      <c r="K335" s="20">
        <v>0.65310000000000001</v>
      </c>
      <c r="L335" s="20">
        <v>0.7137</v>
      </c>
      <c r="M335" s="20">
        <v>0.77270000000000005</v>
      </c>
      <c r="N335" s="20">
        <v>0.83030000000000004</v>
      </c>
      <c r="O335" s="20">
        <v>0.88660000000000005</v>
      </c>
      <c r="P335" s="20">
        <v>0.94179999999999997</v>
      </c>
      <c r="Q335" s="20">
        <v>0.99590000000000001</v>
      </c>
      <c r="R335" s="20">
        <v>1.0491999999999999</v>
      </c>
      <c r="S335" s="20">
        <v>1.1015999999999999</v>
      </c>
      <c r="T335" s="20">
        <v>1.1532</v>
      </c>
      <c r="U335" s="20">
        <v>1.2041999999999999</v>
      </c>
      <c r="V335" s="20">
        <v>1.2544999999999999</v>
      </c>
      <c r="W335"/>
      <c r="X335"/>
      <c r="Y335"/>
      <c r="Z335"/>
    </row>
    <row r="336" spans="1:26" x14ac:dyDescent="0.2">
      <c r="A336" s="19">
        <v>0.33</v>
      </c>
      <c r="B336" s="20">
        <v>0</v>
      </c>
      <c r="C336" s="20">
        <v>8.5599999999999996E-2</v>
      </c>
      <c r="D336" s="20">
        <v>0.16719999999999999</v>
      </c>
      <c r="E336" s="20">
        <v>0.24510000000000001</v>
      </c>
      <c r="F336" s="20">
        <v>0.31979999999999997</v>
      </c>
      <c r="G336" s="20">
        <v>0.39150000000000001</v>
      </c>
      <c r="H336" s="20">
        <v>0.46039999999999998</v>
      </c>
      <c r="I336" s="20">
        <v>0.52700000000000002</v>
      </c>
      <c r="J336" s="20">
        <v>0.59130000000000005</v>
      </c>
      <c r="K336" s="20">
        <v>0.65369999999999995</v>
      </c>
      <c r="L336" s="20">
        <v>0.71430000000000005</v>
      </c>
      <c r="M336" s="20">
        <v>0.77329999999999999</v>
      </c>
      <c r="N336" s="20">
        <v>0.83089999999999997</v>
      </c>
      <c r="O336" s="20">
        <v>0.88719999999999999</v>
      </c>
      <c r="P336" s="20">
        <v>0.94240000000000002</v>
      </c>
      <c r="Q336" s="20">
        <v>0.99660000000000004</v>
      </c>
      <c r="R336" s="20">
        <v>1.0499000000000001</v>
      </c>
      <c r="S336" s="20">
        <v>1.1023000000000001</v>
      </c>
      <c r="T336" s="20">
        <v>1.1539999999999999</v>
      </c>
      <c r="U336" s="20">
        <v>1.2049000000000001</v>
      </c>
      <c r="V336" s="20">
        <v>1.2553000000000001</v>
      </c>
      <c r="W336"/>
      <c r="X336"/>
      <c r="Y336"/>
      <c r="Z336"/>
    </row>
    <row r="337" spans="1:26" x14ac:dyDescent="0.2">
      <c r="A337" s="19">
        <v>0.33100000000000002</v>
      </c>
      <c r="B337" s="20">
        <v>0</v>
      </c>
      <c r="C337" s="20">
        <v>8.5699999999999998E-2</v>
      </c>
      <c r="D337" s="20">
        <v>0.1673</v>
      </c>
      <c r="E337" s="20">
        <v>0.24529999999999999</v>
      </c>
      <c r="F337" s="20">
        <v>0.3201</v>
      </c>
      <c r="G337" s="20">
        <v>0.39179999999999998</v>
      </c>
      <c r="H337" s="20">
        <v>0.46079999999999999</v>
      </c>
      <c r="I337" s="20">
        <v>0.52739999999999998</v>
      </c>
      <c r="J337" s="20">
        <v>0.59179999999999999</v>
      </c>
      <c r="K337" s="20">
        <v>0.6542</v>
      </c>
      <c r="L337" s="20">
        <v>0.71479999999999999</v>
      </c>
      <c r="M337" s="20">
        <v>0.77390000000000003</v>
      </c>
      <c r="N337" s="20">
        <v>0.83150000000000002</v>
      </c>
      <c r="O337" s="20">
        <v>0.88790000000000002</v>
      </c>
      <c r="P337" s="20">
        <v>0.94310000000000005</v>
      </c>
      <c r="Q337" s="20">
        <v>0.99729999999999996</v>
      </c>
      <c r="R337" s="20">
        <v>1.0506</v>
      </c>
      <c r="S337" s="20">
        <v>1.1031</v>
      </c>
      <c r="T337" s="20">
        <v>1.1547000000000001</v>
      </c>
      <c r="U337" s="20">
        <v>1.2057</v>
      </c>
      <c r="V337" s="20">
        <v>1.256</v>
      </c>
      <c r="W337"/>
      <c r="X337"/>
      <c r="Y337"/>
      <c r="Z337"/>
    </row>
    <row r="338" spans="1:26" x14ac:dyDescent="0.2">
      <c r="A338" s="19">
        <v>0.33200000000000002</v>
      </c>
      <c r="B338" s="20">
        <v>0</v>
      </c>
      <c r="C338" s="20">
        <v>8.5699999999999998E-2</v>
      </c>
      <c r="D338" s="20">
        <v>0.16750000000000001</v>
      </c>
      <c r="E338" s="20">
        <v>0.2455</v>
      </c>
      <c r="F338" s="20">
        <v>0.32029999999999997</v>
      </c>
      <c r="G338" s="20">
        <v>0.3921</v>
      </c>
      <c r="H338" s="20">
        <v>0.4612</v>
      </c>
      <c r="I338" s="20">
        <v>0.52780000000000005</v>
      </c>
      <c r="J338" s="20">
        <v>0.59230000000000005</v>
      </c>
      <c r="K338" s="20">
        <v>0.65469999999999995</v>
      </c>
      <c r="L338" s="20">
        <v>0.71540000000000004</v>
      </c>
      <c r="M338" s="20">
        <v>0.77449999999999997</v>
      </c>
      <c r="N338" s="20">
        <v>0.83220000000000005</v>
      </c>
      <c r="O338" s="20">
        <v>0.88859999999999995</v>
      </c>
      <c r="P338" s="20">
        <v>0.94379999999999997</v>
      </c>
      <c r="Q338" s="20">
        <v>0.998</v>
      </c>
      <c r="R338" s="20">
        <v>1.0512999999999999</v>
      </c>
      <c r="S338" s="20">
        <v>1.1037999999999999</v>
      </c>
      <c r="T338" s="20">
        <v>1.1555</v>
      </c>
      <c r="U338" s="20">
        <v>1.2063999999999999</v>
      </c>
      <c r="V338" s="20">
        <v>1.2567999999999999</v>
      </c>
      <c r="W338"/>
      <c r="X338"/>
      <c r="Y338"/>
      <c r="Z338"/>
    </row>
    <row r="339" spans="1:26" x14ac:dyDescent="0.2">
      <c r="A339" s="19">
        <v>0.33300000000000002</v>
      </c>
      <c r="B339" s="20">
        <v>0</v>
      </c>
      <c r="C339" s="20">
        <v>8.5800000000000001E-2</v>
      </c>
      <c r="D339" s="20">
        <v>0.1676</v>
      </c>
      <c r="E339" s="20">
        <v>0.24579999999999999</v>
      </c>
      <c r="F339" s="20">
        <v>0.3206</v>
      </c>
      <c r="G339" s="20">
        <v>0.39240000000000003</v>
      </c>
      <c r="H339" s="20">
        <v>0.46160000000000001</v>
      </c>
      <c r="I339" s="20">
        <v>0.52829999999999999</v>
      </c>
      <c r="J339" s="20">
        <v>0.5927</v>
      </c>
      <c r="K339" s="20">
        <v>0.6552</v>
      </c>
      <c r="L339" s="20">
        <v>0.71599999999999997</v>
      </c>
      <c r="M339" s="20">
        <v>0.77510000000000001</v>
      </c>
      <c r="N339" s="20">
        <v>0.83279999999999998</v>
      </c>
      <c r="O339" s="20">
        <v>0.88919999999999999</v>
      </c>
      <c r="P339" s="20">
        <v>0.94450000000000001</v>
      </c>
      <c r="Q339" s="20">
        <v>0.99870000000000003</v>
      </c>
      <c r="R339" s="20">
        <v>1.0521</v>
      </c>
      <c r="S339" s="20">
        <v>1.1045</v>
      </c>
      <c r="T339" s="20">
        <v>1.1561999999999999</v>
      </c>
      <c r="U339" s="20">
        <v>1.2072000000000001</v>
      </c>
      <c r="V339" s="20">
        <v>1.2575000000000001</v>
      </c>
      <c r="W339"/>
      <c r="X339"/>
      <c r="Y339"/>
      <c r="Z339"/>
    </row>
    <row r="340" spans="1:26" x14ac:dyDescent="0.2">
      <c r="A340" s="19">
        <v>0.33400000000000002</v>
      </c>
      <c r="B340" s="20">
        <v>0</v>
      </c>
      <c r="C340" s="20">
        <v>8.5900000000000004E-2</v>
      </c>
      <c r="D340" s="20">
        <v>0.16769999999999999</v>
      </c>
      <c r="E340" s="20">
        <v>0.246</v>
      </c>
      <c r="F340" s="20">
        <v>0.32090000000000002</v>
      </c>
      <c r="G340" s="20">
        <v>0.39279999999999998</v>
      </c>
      <c r="H340" s="20">
        <v>0.46189999999999998</v>
      </c>
      <c r="I340" s="20">
        <v>0.52869999999999995</v>
      </c>
      <c r="J340" s="20">
        <v>0.59319999999999995</v>
      </c>
      <c r="K340" s="20">
        <v>0.65580000000000005</v>
      </c>
      <c r="L340" s="20">
        <v>0.71650000000000003</v>
      </c>
      <c r="M340" s="20">
        <v>0.77569999999999995</v>
      </c>
      <c r="N340" s="20">
        <v>0.83340000000000003</v>
      </c>
      <c r="O340" s="20">
        <v>0.88990000000000002</v>
      </c>
      <c r="P340" s="20">
        <v>0.94520000000000004</v>
      </c>
      <c r="Q340" s="20">
        <v>0.99939999999999996</v>
      </c>
      <c r="R340" s="20">
        <v>1.0528</v>
      </c>
      <c r="S340" s="20">
        <v>1.1052999999999999</v>
      </c>
      <c r="T340" s="20">
        <v>1.157</v>
      </c>
      <c r="U340" s="20">
        <v>1.2079</v>
      </c>
      <c r="V340" s="20">
        <v>1.2583</v>
      </c>
      <c r="W340"/>
      <c r="X340"/>
      <c r="Y340"/>
      <c r="Z340"/>
    </row>
    <row r="341" spans="1:26" x14ac:dyDescent="0.2">
      <c r="A341" s="19">
        <v>0.33500000000000002</v>
      </c>
      <c r="B341" s="20">
        <v>0</v>
      </c>
      <c r="C341" s="20">
        <v>8.5900000000000004E-2</v>
      </c>
      <c r="D341" s="20">
        <v>0.16789999999999999</v>
      </c>
      <c r="E341" s="20">
        <v>0.2462</v>
      </c>
      <c r="F341" s="20">
        <v>0.3211</v>
      </c>
      <c r="G341" s="20">
        <v>0.3931</v>
      </c>
      <c r="H341" s="20">
        <v>0.46229999999999999</v>
      </c>
      <c r="I341" s="20">
        <v>0.52910000000000001</v>
      </c>
      <c r="J341" s="20">
        <v>0.59370000000000001</v>
      </c>
      <c r="K341" s="20">
        <v>0.65629999999999999</v>
      </c>
      <c r="L341" s="20">
        <v>0.71709999999999996</v>
      </c>
      <c r="M341" s="20">
        <v>0.77629999999999999</v>
      </c>
      <c r="N341" s="20">
        <v>0.83409999999999995</v>
      </c>
      <c r="O341" s="20">
        <v>0.89049999999999996</v>
      </c>
      <c r="P341" s="20">
        <v>0.94589999999999996</v>
      </c>
      <c r="Q341" s="20">
        <v>1.0001</v>
      </c>
      <c r="R341" s="20">
        <v>1.0535000000000001</v>
      </c>
      <c r="S341" s="20">
        <v>1.1060000000000001</v>
      </c>
      <c r="T341" s="20">
        <v>1.1577</v>
      </c>
      <c r="U341" s="20">
        <v>1.2087000000000001</v>
      </c>
      <c r="V341" s="20">
        <v>1.2589999999999999</v>
      </c>
      <c r="W341"/>
      <c r="X341"/>
      <c r="Y341"/>
      <c r="Z341"/>
    </row>
    <row r="342" spans="1:26" x14ac:dyDescent="0.2">
      <c r="A342" s="19">
        <v>0.33600000000000002</v>
      </c>
      <c r="B342" s="20">
        <v>0</v>
      </c>
      <c r="C342" s="20">
        <v>8.5999999999999993E-2</v>
      </c>
      <c r="D342" s="20">
        <v>0.16800000000000001</v>
      </c>
      <c r="E342" s="20">
        <v>0.24640000000000001</v>
      </c>
      <c r="F342" s="20">
        <v>0.32140000000000002</v>
      </c>
      <c r="G342" s="20">
        <v>0.39340000000000003</v>
      </c>
      <c r="H342" s="20">
        <v>0.4627</v>
      </c>
      <c r="I342" s="20">
        <v>0.52949999999999997</v>
      </c>
      <c r="J342" s="20">
        <v>0.59419999999999995</v>
      </c>
      <c r="K342" s="20">
        <v>0.65680000000000005</v>
      </c>
      <c r="L342" s="20">
        <v>0.71760000000000002</v>
      </c>
      <c r="M342" s="20">
        <v>0.77690000000000003</v>
      </c>
      <c r="N342" s="20">
        <v>0.8347</v>
      </c>
      <c r="O342" s="20">
        <v>0.89119999999999999</v>
      </c>
      <c r="P342" s="20">
        <v>0.94650000000000001</v>
      </c>
      <c r="Q342" s="20">
        <v>1.0007999999999999</v>
      </c>
      <c r="R342" s="20">
        <v>1.0542</v>
      </c>
      <c r="S342" s="20">
        <v>1.1067</v>
      </c>
      <c r="T342" s="20">
        <v>1.1584000000000001</v>
      </c>
      <c r="U342" s="20">
        <v>1.2094</v>
      </c>
      <c r="V342" s="20">
        <v>1.2597</v>
      </c>
      <c r="W342"/>
      <c r="X342"/>
      <c r="Y342"/>
      <c r="Z342"/>
    </row>
    <row r="343" spans="1:26" x14ac:dyDescent="0.2">
      <c r="A343" s="19">
        <v>0.33700000000000002</v>
      </c>
      <c r="B343" s="20">
        <v>0</v>
      </c>
      <c r="C343" s="20">
        <v>8.6099999999999996E-2</v>
      </c>
      <c r="D343" s="20">
        <v>0.16819999999999999</v>
      </c>
      <c r="E343" s="20">
        <v>0.24660000000000001</v>
      </c>
      <c r="F343" s="20">
        <v>0.32169999999999999</v>
      </c>
      <c r="G343" s="20">
        <v>0.39369999999999999</v>
      </c>
      <c r="H343" s="20">
        <v>0.46310000000000001</v>
      </c>
      <c r="I343" s="20">
        <v>0.53</v>
      </c>
      <c r="J343" s="20">
        <v>0.59460000000000002</v>
      </c>
      <c r="K343" s="20">
        <v>0.6573</v>
      </c>
      <c r="L343" s="20">
        <v>0.71819999999999995</v>
      </c>
      <c r="M343" s="20">
        <v>0.77749999999999997</v>
      </c>
      <c r="N343" s="20">
        <v>0.83530000000000004</v>
      </c>
      <c r="O343" s="20">
        <v>0.89180000000000004</v>
      </c>
      <c r="P343" s="20">
        <v>0.94720000000000004</v>
      </c>
      <c r="Q343" s="20">
        <v>1.0015000000000001</v>
      </c>
      <c r="R343" s="20">
        <v>1.0548999999999999</v>
      </c>
      <c r="S343" s="20">
        <v>1.1073999999999999</v>
      </c>
      <c r="T343" s="20">
        <v>1.1592</v>
      </c>
      <c r="U343" s="20">
        <v>1.2101999999999999</v>
      </c>
      <c r="V343" s="20">
        <v>1.2605</v>
      </c>
      <c r="W343"/>
      <c r="X343"/>
      <c r="Y343"/>
      <c r="Z343"/>
    </row>
    <row r="344" spans="1:26" x14ac:dyDescent="0.2">
      <c r="A344" s="19">
        <v>0.33800000000000002</v>
      </c>
      <c r="B344" s="20">
        <v>0</v>
      </c>
      <c r="C344" s="20">
        <v>8.6199999999999999E-2</v>
      </c>
      <c r="D344" s="20">
        <v>0.16830000000000001</v>
      </c>
      <c r="E344" s="20">
        <v>0.24679999999999999</v>
      </c>
      <c r="F344" s="20">
        <v>0.32190000000000002</v>
      </c>
      <c r="G344" s="20">
        <v>0.39410000000000001</v>
      </c>
      <c r="H344" s="20">
        <v>0.46350000000000002</v>
      </c>
      <c r="I344" s="20">
        <v>0.53039999999999998</v>
      </c>
      <c r="J344" s="20">
        <v>0.59509999999999996</v>
      </c>
      <c r="K344" s="20">
        <v>0.65780000000000005</v>
      </c>
      <c r="L344" s="20">
        <v>0.71879999999999999</v>
      </c>
      <c r="M344" s="20">
        <v>0.77810000000000001</v>
      </c>
      <c r="N344" s="20">
        <v>0.83589999999999998</v>
      </c>
      <c r="O344" s="20">
        <v>0.89249999999999996</v>
      </c>
      <c r="P344" s="20">
        <v>0.94789999999999996</v>
      </c>
      <c r="Q344" s="20">
        <v>1.0022</v>
      </c>
      <c r="R344" s="20">
        <v>1.0556000000000001</v>
      </c>
      <c r="S344" s="20">
        <v>1.1082000000000001</v>
      </c>
      <c r="T344" s="20">
        <v>1.1598999999999999</v>
      </c>
      <c r="U344" s="20">
        <v>1.2109000000000001</v>
      </c>
      <c r="V344" s="20">
        <v>1.2612000000000001</v>
      </c>
      <c r="W344"/>
      <c r="X344"/>
      <c r="Y344"/>
      <c r="Z344"/>
    </row>
    <row r="345" spans="1:26" x14ac:dyDescent="0.2">
      <c r="A345" s="19">
        <v>0.33900000000000002</v>
      </c>
      <c r="B345" s="20">
        <v>0</v>
      </c>
      <c r="C345" s="20">
        <v>8.6199999999999999E-2</v>
      </c>
      <c r="D345" s="20">
        <v>0.16839999999999999</v>
      </c>
      <c r="E345" s="20">
        <v>0.247</v>
      </c>
      <c r="F345" s="20">
        <v>0.32219999999999999</v>
      </c>
      <c r="G345" s="20">
        <v>0.39439999999999997</v>
      </c>
      <c r="H345" s="20">
        <v>0.46379999999999999</v>
      </c>
      <c r="I345" s="20">
        <v>0.53080000000000005</v>
      </c>
      <c r="J345" s="20">
        <v>0.59560000000000002</v>
      </c>
      <c r="K345" s="20">
        <v>0.65839999999999999</v>
      </c>
      <c r="L345" s="20">
        <v>0.71930000000000005</v>
      </c>
      <c r="M345" s="20">
        <v>0.77869999999999995</v>
      </c>
      <c r="N345" s="20">
        <v>0.83660000000000001</v>
      </c>
      <c r="O345" s="20">
        <v>0.89319999999999999</v>
      </c>
      <c r="P345" s="20">
        <v>0.9486</v>
      </c>
      <c r="Q345" s="20">
        <v>1.0028999999999999</v>
      </c>
      <c r="R345" s="20">
        <v>1.0563</v>
      </c>
      <c r="S345" s="20">
        <v>1.1089</v>
      </c>
      <c r="T345" s="20">
        <v>1.1606000000000001</v>
      </c>
      <c r="U345" s="20">
        <v>1.2117</v>
      </c>
      <c r="V345" s="20">
        <v>1.262</v>
      </c>
      <c r="W345"/>
      <c r="X345"/>
      <c r="Y345"/>
      <c r="Z345"/>
    </row>
    <row r="346" spans="1:26" x14ac:dyDescent="0.2">
      <c r="A346" s="19">
        <v>0.34</v>
      </c>
      <c r="B346" s="20">
        <v>0</v>
      </c>
      <c r="C346" s="20">
        <v>8.6300000000000002E-2</v>
      </c>
      <c r="D346" s="20">
        <v>0.1686</v>
      </c>
      <c r="E346" s="20">
        <v>0.2472</v>
      </c>
      <c r="F346" s="20">
        <v>0.32250000000000001</v>
      </c>
      <c r="G346" s="20">
        <v>0.3947</v>
      </c>
      <c r="H346" s="20">
        <v>0.4642</v>
      </c>
      <c r="I346" s="20">
        <v>0.53129999999999999</v>
      </c>
      <c r="J346" s="20">
        <v>0.59609999999999996</v>
      </c>
      <c r="K346" s="20">
        <v>0.65890000000000004</v>
      </c>
      <c r="L346" s="20">
        <v>0.71989999999999998</v>
      </c>
      <c r="M346" s="20">
        <v>0.77929999999999999</v>
      </c>
      <c r="N346" s="20">
        <v>0.83720000000000006</v>
      </c>
      <c r="O346" s="20">
        <v>0.89380000000000004</v>
      </c>
      <c r="P346" s="20">
        <v>0.94920000000000004</v>
      </c>
      <c r="Q346" s="20">
        <v>1.0036</v>
      </c>
      <c r="R346" s="20">
        <v>1.0570999999999999</v>
      </c>
      <c r="S346" s="20">
        <v>1.1095999999999999</v>
      </c>
      <c r="T346" s="20">
        <v>1.1614</v>
      </c>
      <c r="U346" s="20">
        <v>1.2123999999999999</v>
      </c>
      <c r="V346" s="20">
        <v>1.2626999999999999</v>
      </c>
      <c r="W346"/>
      <c r="X346"/>
      <c r="Y346"/>
      <c r="Z346"/>
    </row>
    <row r="347" spans="1:26" x14ac:dyDescent="0.2">
      <c r="A347" s="19">
        <v>0.34100000000000003</v>
      </c>
      <c r="B347" s="20">
        <v>0</v>
      </c>
      <c r="C347" s="20">
        <v>8.6400000000000005E-2</v>
      </c>
      <c r="D347" s="20">
        <v>0.16869999999999999</v>
      </c>
      <c r="E347" s="20">
        <v>0.24740000000000001</v>
      </c>
      <c r="F347" s="20">
        <v>0.32269999999999999</v>
      </c>
      <c r="G347" s="20">
        <v>0.39500000000000002</v>
      </c>
      <c r="H347" s="20">
        <v>0.46460000000000001</v>
      </c>
      <c r="I347" s="20">
        <v>0.53169999999999995</v>
      </c>
      <c r="J347" s="20">
        <v>0.59650000000000003</v>
      </c>
      <c r="K347" s="20">
        <v>0.65939999999999999</v>
      </c>
      <c r="L347" s="20">
        <v>0.72040000000000004</v>
      </c>
      <c r="M347" s="20">
        <v>0.77980000000000005</v>
      </c>
      <c r="N347" s="20">
        <v>0.83779999999999999</v>
      </c>
      <c r="O347" s="20">
        <v>0.89449999999999996</v>
      </c>
      <c r="P347" s="20">
        <v>0.94989999999999997</v>
      </c>
      <c r="Q347" s="20">
        <v>1.0043</v>
      </c>
      <c r="R347" s="20">
        <v>1.0578000000000001</v>
      </c>
      <c r="S347" s="20">
        <v>1.1103000000000001</v>
      </c>
      <c r="T347" s="20">
        <v>1.1620999999999999</v>
      </c>
      <c r="U347" s="20">
        <v>1.2131000000000001</v>
      </c>
      <c r="V347" s="20">
        <v>1.2635000000000001</v>
      </c>
      <c r="W347"/>
      <c r="X347"/>
      <c r="Y347"/>
      <c r="Z347"/>
    </row>
    <row r="348" spans="1:26" x14ac:dyDescent="0.2">
      <c r="A348" s="19">
        <v>0.34200000000000003</v>
      </c>
      <c r="B348" s="20">
        <v>0</v>
      </c>
      <c r="C348" s="20">
        <v>8.6499999999999994E-2</v>
      </c>
      <c r="D348" s="20">
        <v>0.16889999999999999</v>
      </c>
      <c r="E348" s="20">
        <v>0.24759999999999999</v>
      </c>
      <c r="F348" s="20">
        <v>0.32300000000000001</v>
      </c>
      <c r="G348" s="20">
        <v>0.39539999999999997</v>
      </c>
      <c r="H348" s="20">
        <v>0.46500000000000002</v>
      </c>
      <c r="I348" s="20">
        <v>0.53210000000000002</v>
      </c>
      <c r="J348" s="20">
        <v>0.59699999999999998</v>
      </c>
      <c r="K348" s="20">
        <v>0.65990000000000004</v>
      </c>
      <c r="L348" s="20">
        <v>0.72099999999999997</v>
      </c>
      <c r="M348" s="20">
        <v>0.78039999999999998</v>
      </c>
      <c r="N348" s="20">
        <v>0.83840000000000003</v>
      </c>
      <c r="O348" s="20">
        <v>0.89510000000000001</v>
      </c>
      <c r="P348" s="20">
        <v>0.9506</v>
      </c>
      <c r="Q348" s="20">
        <v>1.0049999999999999</v>
      </c>
      <c r="R348" s="20">
        <v>1.0585</v>
      </c>
      <c r="S348" s="20">
        <v>1.1111</v>
      </c>
      <c r="T348" s="20">
        <v>1.1628000000000001</v>
      </c>
      <c r="U348" s="20">
        <v>1.2139</v>
      </c>
      <c r="V348" s="20">
        <v>1.2642</v>
      </c>
      <c r="W348"/>
      <c r="X348"/>
      <c r="Y348"/>
      <c r="Z348"/>
    </row>
    <row r="349" spans="1:26" x14ac:dyDescent="0.2">
      <c r="A349" s="19">
        <v>0.34300000000000003</v>
      </c>
      <c r="B349" s="20">
        <v>0</v>
      </c>
      <c r="C349" s="20">
        <v>8.6499999999999994E-2</v>
      </c>
      <c r="D349" s="20">
        <v>0.16900000000000001</v>
      </c>
      <c r="E349" s="20">
        <v>0.24779999999999999</v>
      </c>
      <c r="F349" s="20">
        <v>0.32329999999999998</v>
      </c>
      <c r="G349" s="20">
        <v>0.3957</v>
      </c>
      <c r="H349" s="20">
        <v>0.46529999999999999</v>
      </c>
      <c r="I349" s="20">
        <v>0.53249999999999997</v>
      </c>
      <c r="J349" s="20">
        <v>0.59750000000000003</v>
      </c>
      <c r="K349" s="20">
        <v>0.66039999999999999</v>
      </c>
      <c r="L349" s="20">
        <v>0.72150000000000003</v>
      </c>
      <c r="M349" s="20">
        <v>0.78100000000000003</v>
      </c>
      <c r="N349" s="20">
        <v>0.83899999999999997</v>
      </c>
      <c r="O349" s="20">
        <v>0.89570000000000005</v>
      </c>
      <c r="P349" s="20">
        <v>0.95130000000000003</v>
      </c>
      <c r="Q349" s="20">
        <v>1.0057</v>
      </c>
      <c r="R349" s="20">
        <v>1.0591999999999999</v>
      </c>
      <c r="S349" s="20">
        <v>1.1117999999999999</v>
      </c>
      <c r="T349" s="20">
        <v>1.1636</v>
      </c>
      <c r="U349" s="20">
        <v>1.2145999999999999</v>
      </c>
      <c r="V349" s="20">
        <v>1.2648999999999999</v>
      </c>
      <c r="W349"/>
      <c r="X349"/>
      <c r="Y349"/>
      <c r="Z349"/>
    </row>
    <row r="350" spans="1:26" x14ac:dyDescent="0.2">
      <c r="A350" s="19">
        <v>0.34399999999999997</v>
      </c>
      <c r="B350" s="20">
        <v>0</v>
      </c>
      <c r="C350" s="20">
        <v>8.6599999999999996E-2</v>
      </c>
      <c r="D350" s="20">
        <v>0.1691</v>
      </c>
      <c r="E350" s="20">
        <v>0.248</v>
      </c>
      <c r="F350" s="20">
        <v>0.32350000000000001</v>
      </c>
      <c r="G350" s="20">
        <v>0.39600000000000002</v>
      </c>
      <c r="H350" s="20">
        <v>0.4657</v>
      </c>
      <c r="I350" s="20">
        <v>0.53300000000000003</v>
      </c>
      <c r="J350" s="20">
        <v>0.59799999999999998</v>
      </c>
      <c r="K350" s="20">
        <v>0.66090000000000004</v>
      </c>
      <c r="L350" s="20">
        <v>0.72209999999999996</v>
      </c>
      <c r="M350" s="20">
        <v>0.78159999999999996</v>
      </c>
      <c r="N350" s="20">
        <v>0.8397</v>
      </c>
      <c r="O350" s="20">
        <v>0.89639999999999997</v>
      </c>
      <c r="P350" s="20">
        <v>0.95189999999999997</v>
      </c>
      <c r="Q350" s="20">
        <v>1.0064</v>
      </c>
      <c r="R350" s="20">
        <v>1.0599000000000001</v>
      </c>
      <c r="S350" s="20">
        <v>1.1125</v>
      </c>
      <c r="T350" s="20">
        <v>1.1642999999999999</v>
      </c>
      <c r="U350" s="20">
        <v>1.2153</v>
      </c>
      <c r="V350" s="20">
        <v>1.2657</v>
      </c>
      <c r="W350"/>
      <c r="X350"/>
      <c r="Y350"/>
      <c r="Z350"/>
    </row>
    <row r="351" spans="1:26" x14ac:dyDescent="0.2">
      <c r="A351" s="19">
        <v>0.34499999999999997</v>
      </c>
      <c r="B351" s="20">
        <v>0</v>
      </c>
      <c r="C351" s="20">
        <v>8.6699999999999999E-2</v>
      </c>
      <c r="D351" s="20">
        <v>0.16930000000000001</v>
      </c>
      <c r="E351" s="20">
        <v>0.2482</v>
      </c>
      <c r="F351" s="20">
        <v>0.32379999999999998</v>
      </c>
      <c r="G351" s="20">
        <v>0.39629999999999999</v>
      </c>
      <c r="H351" s="20">
        <v>0.46610000000000001</v>
      </c>
      <c r="I351" s="20">
        <v>0.53339999999999999</v>
      </c>
      <c r="J351" s="20">
        <v>0.59840000000000004</v>
      </c>
      <c r="K351" s="20">
        <v>0.66139999999999999</v>
      </c>
      <c r="L351" s="20">
        <v>0.72260000000000002</v>
      </c>
      <c r="M351" s="20">
        <v>0.78220000000000001</v>
      </c>
      <c r="N351" s="20">
        <v>0.84030000000000005</v>
      </c>
      <c r="O351" s="20">
        <v>0.89700000000000002</v>
      </c>
      <c r="P351" s="20">
        <v>0.9526</v>
      </c>
      <c r="Q351" s="20">
        <v>1.0071000000000001</v>
      </c>
      <c r="R351" s="20">
        <v>1.0606</v>
      </c>
      <c r="S351" s="20">
        <v>1.1132</v>
      </c>
      <c r="T351" s="20">
        <v>1.165</v>
      </c>
      <c r="U351" s="20">
        <v>1.2161</v>
      </c>
      <c r="V351" s="20">
        <v>1.2664</v>
      </c>
      <c r="W351"/>
      <c r="X351"/>
      <c r="Y351"/>
      <c r="Z351"/>
    </row>
    <row r="352" spans="1:26" x14ac:dyDescent="0.2">
      <c r="A352" s="19">
        <v>0.34599999999999997</v>
      </c>
      <c r="B352" s="20">
        <v>0</v>
      </c>
      <c r="C352" s="20">
        <v>8.6699999999999999E-2</v>
      </c>
      <c r="D352" s="20">
        <v>0.1694</v>
      </c>
      <c r="E352" s="20">
        <v>0.24840000000000001</v>
      </c>
      <c r="F352" s="20">
        <v>0.32400000000000001</v>
      </c>
      <c r="G352" s="20">
        <v>0.39660000000000001</v>
      </c>
      <c r="H352" s="20">
        <v>0.46650000000000003</v>
      </c>
      <c r="I352" s="20">
        <v>0.53380000000000005</v>
      </c>
      <c r="J352" s="20">
        <v>0.59889999999999999</v>
      </c>
      <c r="K352" s="20">
        <v>0.66200000000000003</v>
      </c>
      <c r="L352" s="20">
        <v>0.72319999999999995</v>
      </c>
      <c r="M352" s="20">
        <v>0.78280000000000005</v>
      </c>
      <c r="N352" s="20">
        <v>0.84089999999999998</v>
      </c>
      <c r="O352" s="20">
        <v>0.89770000000000005</v>
      </c>
      <c r="P352" s="20">
        <v>0.95330000000000004</v>
      </c>
      <c r="Q352" s="20">
        <v>1.0078</v>
      </c>
      <c r="R352" s="20">
        <v>1.0612999999999999</v>
      </c>
      <c r="S352" s="20">
        <v>1.1138999999999999</v>
      </c>
      <c r="T352" s="20">
        <v>1.1657</v>
      </c>
      <c r="U352" s="20">
        <v>1.2168000000000001</v>
      </c>
      <c r="V352" s="20">
        <v>1.2670999999999999</v>
      </c>
      <c r="W352"/>
      <c r="X352"/>
      <c r="Y352"/>
      <c r="Z352"/>
    </row>
    <row r="353" spans="1:26" x14ac:dyDescent="0.2">
      <c r="A353" s="19">
        <v>0.34699999999999998</v>
      </c>
      <c r="B353" s="20">
        <v>0</v>
      </c>
      <c r="C353" s="20">
        <v>8.6800000000000002E-2</v>
      </c>
      <c r="D353" s="20">
        <v>0.1696</v>
      </c>
      <c r="E353" s="20">
        <v>0.24859999999999999</v>
      </c>
      <c r="F353" s="20">
        <v>0.32429999999999998</v>
      </c>
      <c r="G353" s="20">
        <v>0.39700000000000002</v>
      </c>
      <c r="H353" s="20">
        <v>0.46679999999999999</v>
      </c>
      <c r="I353" s="20">
        <v>0.53420000000000001</v>
      </c>
      <c r="J353" s="20">
        <v>0.59940000000000004</v>
      </c>
      <c r="K353" s="20">
        <v>0.66249999999999998</v>
      </c>
      <c r="L353" s="20">
        <v>0.72370000000000001</v>
      </c>
      <c r="M353" s="20">
        <v>0.78339999999999999</v>
      </c>
      <c r="N353" s="20">
        <v>0.84150000000000003</v>
      </c>
      <c r="O353" s="20">
        <v>0.89829999999999999</v>
      </c>
      <c r="P353" s="20">
        <v>0.95389999999999997</v>
      </c>
      <c r="Q353" s="20">
        <v>1.0085</v>
      </c>
      <c r="R353" s="20">
        <v>1.0620000000000001</v>
      </c>
      <c r="S353" s="20">
        <v>1.1146</v>
      </c>
      <c r="T353" s="20">
        <v>1.1665000000000001</v>
      </c>
      <c r="U353" s="20">
        <v>1.2175</v>
      </c>
      <c r="V353" s="20">
        <v>1.2679</v>
      </c>
      <c r="W353"/>
      <c r="X353"/>
      <c r="Y353"/>
      <c r="Z353"/>
    </row>
    <row r="354" spans="1:26" x14ac:dyDescent="0.2">
      <c r="A354" s="19">
        <v>0.34799999999999998</v>
      </c>
      <c r="B354" s="20">
        <v>0</v>
      </c>
      <c r="C354" s="20">
        <v>8.6900000000000005E-2</v>
      </c>
      <c r="D354" s="20">
        <v>0.16969999999999999</v>
      </c>
      <c r="E354" s="20">
        <v>0.24879999999999999</v>
      </c>
      <c r="F354" s="20">
        <v>0.3246</v>
      </c>
      <c r="G354" s="20">
        <v>0.39729999999999999</v>
      </c>
      <c r="H354" s="20">
        <v>0.4672</v>
      </c>
      <c r="I354" s="20">
        <v>0.53469999999999995</v>
      </c>
      <c r="J354" s="20">
        <v>0.5998</v>
      </c>
      <c r="K354" s="20">
        <v>0.66300000000000003</v>
      </c>
      <c r="L354" s="20">
        <v>0.72430000000000005</v>
      </c>
      <c r="M354" s="20">
        <v>0.78400000000000003</v>
      </c>
      <c r="N354" s="20">
        <v>0.84209999999999996</v>
      </c>
      <c r="O354" s="20">
        <v>0.89900000000000002</v>
      </c>
      <c r="P354" s="20">
        <v>0.9546</v>
      </c>
      <c r="Q354" s="20">
        <v>1.0092000000000001</v>
      </c>
      <c r="R354" s="20">
        <v>1.0627</v>
      </c>
      <c r="S354" s="20">
        <v>1.1153999999999999</v>
      </c>
      <c r="T354" s="20">
        <v>1.1672</v>
      </c>
      <c r="U354" s="20">
        <v>1.2181999999999999</v>
      </c>
      <c r="V354" s="20">
        <v>1.2685999999999999</v>
      </c>
      <c r="W354"/>
      <c r="X354"/>
      <c r="Y354"/>
      <c r="Z354"/>
    </row>
    <row r="355" spans="1:26" x14ac:dyDescent="0.2">
      <c r="A355" s="19">
        <v>0.34899999999999998</v>
      </c>
      <c r="B355" s="20">
        <v>0</v>
      </c>
      <c r="C355" s="20">
        <v>8.6999999999999994E-2</v>
      </c>
      <c r="D355" s="20">
        <v>0.16980000000000001</v>
      </c>
      <c r="E355" s="20">
        <v>0.249</v>
      </c>
      <c r="F355" s="20">
        <v>0.32479999999999998</v>
      </c>
      <c r="G355" s="20">
        <v>0.39760000000000001</v>
      </c>
      <c r="H355" s="20">
        <v>0.46760000000000002</v>
      </c>
      <c r="I355" s="20">
        <v>0.53510000000000002</v>
      </c>
      <c r="J355" s="20">
        <v>0.60029999999999994</v>
      </c>
      <c r="K355" s="20">
        <v>0.66349999999999998</v>
      </c>
      <c r="L355" s="20">
        <v>0.7248</v>
      </c>
      <c r="M355" s="20">
        <v>0.78449999999999998</v>
      </c>
      <c r="N355" s="20">
        <v>0.8427</v>
      </c>
      <c r="O355" s="20">
        <v>0.89959999999999996</v>
      </c>
      <c r="P355" s="20">
        <v>0.95530000000000004</v>
      </c>
      <c r="Q355" s="20">
        <v>1.0098</v>
      </c>
      <c r="R355" s="20">
        <v>1.0633999999999999</v>
      </c>
      <c r="S355" s="20">
        <v>1.1161000000000001</v>
      </c>
      <c r="T355" s="20">
        <v>1.1678999999999999</v>
      </c>
      <c r="U355" s="20">
        <v>1.2190000000000001</v>
      </c>
      <c r="V355" s="20">
        <v>1.2693000000000001</v>
      </c>
      <c r="W355"/>
      <c r="X355"/>
      <c r="Y355"/>
      <c r="Z355"/>
    </row>
    <row r="356" spans="1:26" x14ac:dyDescent="0.2">
      <c r="A356" s="19">
        <v>0.35</v>
      </c>
      <c r="B356" s="20">
        <v>0</v>
      </c>
      <c r="C356" s="20">
        <v>8.6999999999999994E-2</v>
      </c>
      <c r="D356" s="20">
        <v>0.17</v>
      </c>
      <c r="E356" s="20">
        <v>0.2492</v>
      </c>
      <c r="F356" s="20">
        <v>0.3251</v>
      </c>
      <c r="G356" s="20">
        <v>0.39789999999999998</v>
      </c>
      <c r="H356" s="20">
        <v>0.46800000000000003</v>
      </c>
      <c r="I356" s="20">
        <v>0.53549999999999998</v>
      </c>
      <c r="J356" s="20">
        <v>0.6008</v>
      </c>
      <c r="K356" s="20">
        <v>0.66400000000000003</v>
      </c>
      <c r="L356" s="20">
        <v>0.72540000000000004</v>
      </c>
      <c r="M356" s="20">
        <v>0.78510000000000002</v>
      </c>
      <c r="N356" s="20">
        <v>0.84340000000000004</v>
      </c>
      <c r="O356" s="20">
        <v>0.90029999999999999</v>
      </c>
      <c r="P356" s="20">
        <v>0.95589999999999997</v>
      </c>
      <c r="Q356" s="20">
        <v>1.0105</v>
      </c>
      <c r="R356" s="20">
        <v>1.0641</v>
      </c>
      <c r="S356" s="20">
        <v>1.1168</v>
      </c>
      <c r="T356" s="20">
        <v>1.1686000000000001</v>
      </c>
      <c r="U356" s="20">
        <v>1.2197</v>
      </c>
      <c r="V356" s="20">
        <v>1.27</v>
      </c>
      <c r="W356"/>
      <c r="X356"/>
      <c r="Y356"/>
      <c r="Z356"/>
    </row>
    <row r="357" spans="1:26" x14ac:dyDescent="0.2">
      <c r="A357" s="19">
        <v>0.35099999999999998</v>
      </c>
      <c r="B357" s="20">
        <v>0</v>
      </c>
      <c r="C357" s="20">
        <v>8.7099999999999997E-2</v>
      </c>
      <c r="D357" s="20">
        <v>0.1701</v>
      </c>
      <c r="E357" s="20">
        <v>0.24940000000000001</v>
      </c>
      <c r="F357" s="20">
        <v>0.32540000000000002</v>
      </c>
      <c r="G357" s="20">
        <v>0.3982</v>
      </c>
      <c r="H357" s="20">
        <v>0.46829999999999999</v>
      </c>
      <c r="I357" s="20">
        <v>0.53590000000000004</v>
      </c>
      <c r="J357" s="20">
        <v>0.60119999999999996</v>
      </c>
      <c r="K357" s="20">
        <v>0.66449999999999998</v>
      </c>
      <c r="L357" s="20">
        <v>0.72589999999999999</v>
      </c>
      <c r="M357" s="20">
        <v>0.78569999999999995</v>
      </c>
      <c r="N357" s="20">
        <v>0.84399999999999997</v>
      </c>
      <c r="O357" s="20">
        <v>0.90090000000000003</v>
      </c>
      <c r="P357" s="20">
        <v>0.95660000000000001</v>
      </c>
      <c r="Q357" s="20">
        <v>1.0112000000000001</v>
      </c>
      <c r="R357" s="20">
        <v>1.0648</v>
      </c>
      <c r="S357" s="20">
        <v>1.1174999999999999</v>
      </c>
      <c r="T357" s="20">
        <v>1.1693</v>
      </c>
      <c r="U357" s="20">
        <v>1.2203999999999999</v>
      </c>
      <c r="V357" s="20">
        <v>1.2707999999999999</v>
      </c>
      <c r="W357"/>
      <c r="X357"/>
      <c r="Y357"/>
      <c r="Z357"/>
    </row>
    <row r="358" spans="1:26" x14ac:dyDescent="0.2">
      <c r="A358" s="19">
        <v>0.35199999999999998</v>
      </c>
      <c r="B358" s="20">
        <v>0</v>
      </c>
      <c r="C358" s="20">
        <v>8.72E-2</v>
      </c>
      <c r="D358" s="20">
        <v>0.17030000000000001</v>
      </c>
      <c r="E358" s="20">
        <v>0.24959999999999999</v>
      </c>
      <c r="F358" s="20">
        <v>0.3256</v>
      </c>
      <c r="G358" s="20">
        <v>0.39860000000000001</v>
      </c>
      <c r="H358" s="20">
        <v>0.46870000000000001</v>
      </c>
      <c r="I358" s="20">
        <v>0.5363</v>
      </c>
      <c r="J358" s="20">
        <v>0.60170000000000001</v>
      </c>
      <c r="K358" s="20">
        <v>0.66500000000000004</v>
      </c>
      <c r="L358" s="20">
        <v>0.72650000000000003</v>
      </c>
      <c r="M358" s="20">
        <v>0.7863</v>
      </c>
      <c r="N358" s="20">
        <v>0.84460000000000002</v>
      </c>
      <c r="O358" s="20">
        <v>0.90149999999999997</v>
      </c>
      <c r="P358" s="20">
        <v>0.95730000000000004</v>
      </c>
      <c r="Q358" s="20">
        <v>1.0119</v>
      </c>
      <c r="R358" s="20">
        <v>1.0654999999999999</v>
      </c>
      <c r="S358" s="20">
        <v>1.1182000000000001</v>
      </c>
      <c r="T358" s="20">
        <v>1.1700999999999999</v>
      </c>
      <c r="U358" s="20">
        <v>1.2211000000000001</v>
      </c>
      <c r="V358" s="20">
        <v>1.2715000000000001</v>
      </c>
      <c r="W358"/>
      <c r="X358"/>
      <c r="Y358"/>
      <c r="Z358"/>
    </row>
    <row r="359" spans="1:26" x14ac:dyDescent="0.2">
      <c r="A359" s="19">
        <v>0.35299999999999998</v>
      </c>
      <c r="B359" s="20">
        <v>0</v>
      </c>
      <c r="C359" s="20">
        <v>8.72E-2</v>
      </c>
      <c r="D359" s="20">
        <v>0.1704</v>
      </c>
      <c r="E359" s="20">
        <v>0.24979999999999999</v>
      </c>
      <c r="F359" s="20">
        <v>0.32590000000000002</v>
      </c>
      <c r="G359" s="20">
        <v>0.39889999999999998</v>
      </c>
      <c r="H359" s="20">
        <v>0.46910000000000002</v>
      </c>
      <c r="I359" s="20">
        <v>0.53680000000000005</v>
      </c>
      <c r="J359" s="20">
        <v>0.60219999999999996</v>
      </c>
      <c r="K359" s="20">
        <v>0.66549999999999998</v>
      </c>
      <c r="L359" s="20">
        <v>0.72699999999999998</v>
      </c>
      <c r="M359" s="20">
        <v>0.78690000000000004</v>
      </c>
      <c r="N359" s="20">
        <v>0.84519999999999995</v>
      </c>
      <c r="O359" s="20">
        <v>0.9022</v>
      </c>
      <c r="P359" s="20">
        <v>0.95789999999999997</v>
      </c>
      <c r="Q359" s="20">
        <v>1.0125999999999999</v>
      </c>
      <c r="R359" s="20">
        <v>1.0662</v>
      </c>
      <c r="S359" s="20">
        <v>1.1189</v>
      </c>
      <c r="T359" s="20">
        <v>1.1708000000000001</v>
      </c>
      <c r="U359" s="20">
        <v>1.2219</v>
      </c>
      <c r="V359" s="20">
        <v>1.2722</v>
      </c>
      <c r="W359"/>
      <c r="X359"/>
      <c r="Y359"/>
      <c r="Z359"/>
    </row>
    <row r="360" spans="1:26" x14ac:dyDescent="0.2">
      <c r="A360" s="19">
        <v>0.35399999999999998</v>
      </c>
      <c r="B360" s="20">
        <v>0</v>
      </c>
      <c r="C360" s="20">
        <v>8.7300000000000003E-2</v>
      </c>
      <c r="D360" s="20">
        <v>0.17050000000000001</v>
      </c>
      <c r="E360" s="20">
        <v>0.25</v>
      </c>
      <c r="F360" s="20">
        <v>0.32619999999999999</v>
      </c>
      <c r="G360" s="20">
        <v>0.3992</v>
      </c>
      <c r="H360" s="20">
        <v>0.46949999999999997</v>
      </c>
      <c r="I360" s="20">
        <v>0.53720000000000001</v>
      </c>
      <c r="J360" s="20">
        <v>0.60260000000000002</v>
      </c>
      <c r="K360" s="20">
        <v>0.66600000000000004</v>
      </c>
      <c r="L360" s="20">
        <v>0.72760000000000002</v>
      </c>
      <c r="M360" s="20">
        <v>0.78739999999999999</v>
      </c>
      <c r="N360" s="20">
        <v>0.8458</v>
      </c>
      <c r="O360" s="20">
        <v>0.90280000000000005</v>
      </c>
      <c r="P360" s="20">
        <v>0.95860000000000001</v>
      </c>
      <c r="Q360" s="20">
        <v>1.0132000000000001</v>
      </c>
      <c r="R360" s="20">
        <v>1.0669</v>
      </c>
      <c r="S360" s="20">
        <v>1.1195999999999999</v>
      </c>
      <c r="T360" s="20">
        <v>1.1715</v>
      </c>
      <c r="U360" s="20">
        <v>1.2225999999999999</v>
      </c>
      <c r="V360" s="20">
        <v>1.2728999999999999</v>
      </c>
      <c r="W360"/>
      <c r="X360"/>
      <c r="Y360"/>
      <c r="Z360"/>
    </row>
    <row r="361" spans="1:26" x14ac:dyDescent="0.2">
      <c r="A361" s="19">
        <v>0.35499999999999998</v>
      </c>
      <c r="B361" s="20">
        <v>0</v>
      </c>
      <c r="C361" s="20">
        <v>8.7400000000000005E-2</v>
      </c>
      <c r="D361" s="20">
        <v>0.17069999999999999</v>
      </c>
      <c r="E361" s="20">
        <v>0.25019999999999998</v>
      </c>
      <c r="F361" s="20">
        <v>0.32640000000000002</v>
      </c>
      <c r="G361" s="20">
        <v>0.39950000000000002</v>
      </c>
      <c r="H361" s="20">
        <v>0.4698</v>
      </c>
      <c r="I361" s="20">
        <v>0.53759999999999997</v>
      </c>
      <c r="J361" s="20">
        <v>0.60309999999999997</v>
      </c>
      <c r="K361" s="20">
        <v>0.66649999999999998</v>
      </c>
      <c r="L361" s="20">
        <v>0.72809999999999997</v>
      </c>
      <c r="M361" s="20">
        <v>0.78800000000000003</v>
      </c>
      <c r="N361" s="20">
        <v>0.84640000000000004</v>
      </c>
      <c r="O361" s="20">
        <v>0.90339999999999998</v>
      </c>
      <c r="P361" s="20">
        <v>0.95920000000000005</v>
      </c>
      <c r="Q361" s="20">
        <v>1.0139</v>
      </c>
      <c r="R361" s="20">
        <v>1.0676000000000001</v>
      </c>
      <c r="S361" s="20">
        <v>1.1203000000000001</v>
      </c>
      <c r="T361" s="20">
        <v>1.1721999999999999</v>
      </c>
      <c r="U361" s="20">
        <v>1.2233000000000001</v>
      </c>
      <c r="V361" s="20">
        <v>1.2737000000000001</v>
      </c>
      <c r="W361"/>
      <c r="X361"/>
      <c r="Y361"/>
      <c r="Z361"/>
    </row>
    <row r="362" spans="1:26" x14ac:dyDescent="0.2">
      <c r="A362" s="19">
        <v>0.35599999999999998</v>
      </c>
      <c r="B362" s="20">
        <v>0</v>
      </c>
      <c r="C362" s="20">
        <v>8.7499999999999994E-2</v>
      </c>
      <c r="D362" s="20">
        <v>0.17080000000000001</v>
      </c>
      <c r="E362" s="20">
        <v>0.25040000000000001</v>
      </c>
      <c r="F362" s="20">
        <v>0.32669999999999999</v>
      </c>
      <c r="G362" s="20">
        <v>0.39979999999999999</v>
      </c>
      <c r="H362" s="20">
        <v>0.47020000000000001</v>
      </c>
      <c r="I362" s="20">
        <v>0.53800000000000003</v>
      </c>
      <c r="J362" s="20">
        <v>0.60360000000000003</v>
      </c>
      <c r="K362" s="20">
        <v>0.66710000000000003</v>
      </c>
      <c r="L362" s="20">
        <v>0.72870000000000001</v>
      </c>
      <c r="M362" s="20">
        <v>0.78859999999999997</v>
      </c>
      <c r="N362" s="20">
        <v>0.84699999999999998</v>
      </c>
      <c r="O362" s="20">
        <v>0.90410000000000001</v>
      </c>
      <c r="P362" s="20">
        <v>0.95989999999999998</v>
      </c>
      <c r="Q362" s="20">
        <v>1.0145999999999999</v>
      </c>
      <c r="R362" s="20">
        <v>1.0683</v>
      </c>
      <c r="S362" s="20">
        <v>1.121</v>
      </c>
      <c r="T362" s="20">
        <v>1.1729000000000001</v>
      </c>
      <c r="U362" s="20">
        <v>1.224</v>
      </c>
      <c r="V362" s="20">
        <v>1.2744</v>
      </c>
      <c r="W362"/>
      <c r="X362"/>
      <c r="Y362"/>
      <c r="Z362"/>
    </row>
    <row r="363" spans="1:26" x14ac:dyDescent="0.2">
      <c r="A363" s="19">
        <v>0.35699999999999998</v>
      </c>
      <c r="B363" s="20">
        <v>0</v>
      </c>
      <c r="C363" s="20">
        <v>8.7499999999999994E-2</v>
      </c>
      <c r="D363" s="20">
        <v>0.1709</v>
      </c>
      <c r="E363" s="20">
        <v>0.25059999999999999</v>
      </c>
      <c r="F363" s="20">
        <v>0.32690000000000002</v>
      </c>
      <c r="G363" s="20">
        <v>0.4002</v>
      </c>
      <c r="H363" s="20">
        <v>0.47060000000000002</v>
      </c>
      <c r="I363" s="20">
        <v>0.53839999999999999</v>
      </c>
      <c r="J363" s="20">
        <v>0.60399999999999998</v>
      </c>
      <c r="K363" s="20">
        <v>0.66759999999999997</v>
      </c>
      <c r="L363" s="20">
        <v>0.72919999999999996</v>
      </c>
      <c r="M363" s="20">
        <v>0.78920000000000001</v>
      </c>
      <c r="N363" s="20">
        <v>0.84760000000000002</v>
      </c>
      <c r="O363" s="20">
        <v>0.90469999999999995</v>
      </c>
      <c r="P363" s="20">
        <v>0.96060000000000001</v>
      </c>
      <c r="Q363" s="20">
        <v>1.0153000000000001</v>
      </c>
      <c r="R363" s="20">
        <v>1.069</v>
      </c>
      <c r="S363" s="20">
        <v>1.1216999999999999</v>
      </c>
      <c r="T363" s="20">
        <v>1.1736</v>
      </c>
      <c r="U363" s="20">
        <v>1.2246999999999999</v>
      </c>
      <c r="V363" s="20">
        <v>1.2750999999999999</v>
      </c>
      <c r="W363"/>
      <c r="X363"/>
      <c r="Y363"/>
      <c r="Z363"/>
    </row>
    <row r="364" spans="1:26" x14ac:dyDescent="0.2">
      <c r="A364" s="19">
        <v>0.35799999999999998</v>
      </c>
      <c r="B364" s="20">
        <v>0</v>
      </c>
      <c r="C364" s="20">
        <v>8.7599999999999997E-2</v>
      </c>
      <c r="D364" s="20">
        <v>0.1711</v>
      </c>
      <c r="E364" s="20">
        <v>0.25080000000000002</v>
      </c>
      <c r="F364" s="20">
        <v>0.32719999999999999</v>
      </c>
      <c r="G364" s="20">
        <v>0.40050000000000002</v>
      </c>
      <c r="H364" s="20">
        <v>0.47089999999999999</v>
      </c>
      <c r="I364" s="20">
        <v>0.53890000000000005</v>
      </c>
      <c r="J364" s="20">
        <v>0.60450000000000004</v>
      </c>
      <c r="K364" s="20">
        <v>0.66810000000000003</v>
      </c>
      <c r="L364" s="20">
        <v>0.7298</v>
      </c>
      <c r="M364" s="20">
        <v>0.78979999999999995</v>
      </c>
      <c r="N364" s="20">
        <v>0.84819999999999995</v>
      </c>
      <c r="O364" s="20">
        <v>0.90529999999999999</v>
      </c>
      <c r="P364" s="20">
        <v>0.96120000000000005</v>
      </c>
      <c r="Q364" s="20">
        <v>1.016</v>
      </c>
      <c r="R364" s="20">
        <v>1.0697000000000001</v>
      </c>
      <c r="S364" s="20">
        <v>1.1224000000000001</v>
      </c>
      <c r="T364" s="20">
        <v>1.1742999999999999</v>
      </c>
      <c r="U364" s="20">
        <v>1.2254</v>
      </c>
      <c r="V364" s="20">
        <v>1.2758</v>
      </c>
      <c r="W364"/>
      <c r="X364"/>
      <c r="Y364"/>
      <c r="Z364"/>
    </row>
    <row r="365" spans="1:26" x14ac:dyDescent="0.2">
      <c r="A365" s="19">
        <v>0.35899999999999999</v>
      </c>
      <c r="B365" s="20">
        <v>0</v>
      </c>
      <c r="C365" s="20">
        <v>8.77E-2</v>
      </c>
      <c r="D365" s="20">
        <v>0.17119999999999999</v>
      </c>
      <c r="E365" s="20">
        <v>0.251</v>
      </c>
      <c r="F365" s="20">
        <v>0.32750000000000001</v>
      </c>
      <c r="G365" s="20">
        <v>0.40079999999999999</v>
      </c>
      <c r="H365" s="20">
        <v>0.4713</v>
      </c>
      <c r="I365" s="20">
        <v>0.5393</v>
      </c>
      <c r="J365" s="20">
        <v>0.60499999999999998</v>
      </c>
      <c r="K365" s="20">
        <v>0.66859999999999997</v>
      </c>
      <c r="L365" s="20">
        <v>0.73029999999999995</v>
      </c>
      <c r="M365" s="20">
        <v>0.7903</v>
      </c>
      <c r="N365" s="20">
        <v>0.8488</v>
      </c>
      <c r="O365" s="20">
        <v>0.90600000000000003</v>
      </c>
      <c r="P365" s="20">
        <v>0.96189999999999998</v>
      </c>
      <c r="Q365" s="20">
        <v>1.0165999999999999</v>
      </c>
      <c r="R365" s="20">
        <v>1.0704</v>
      </c>
      <c r="S365" s="20">
        <v>1.1231</v>
      </c>
      <c r="T365" s="20">
        <v>1.1751</v>
      </c>
      <c r="U365" s="20">
        <v>1.2262</v>
      </c>
      <c r="V365" s="20">
        <v>1.2765</v>
      </c>
      <c r="W365"/>
      <c r="X365"/>
      <c r="Y365"/>
      <c r="Z365"/>
    </row>
    <row r="366" spans="1:26" x14ac:dyDescent="0.2">
      <c r="A366" s="19">
        <v>0.36</v>
      </c>
      <c r="B366" s="20">
        <v>0</v>
      </c>
      <c r="C366" s="20">
        <v>8.77E-2</v>
      </c>
      <c r="D366" s="20">
        <v>0.1714</v>
      </c>
      <c r="E366" s="20">
        <v>0.25119999999999998</v>
      </c>
      <c r="F366" s="20">
        <v>0.32769999999999999</v>
      </c>
      <c r="G366" s="20">
        <v>0.40110000000000001</v>
      </c>
      <c r="H366" s="20">
        <v>0.47170000000000001</v>
      </c>
      <c r="I366" s="20">
        <v>0.53969999999999996</v>
      </c>
      <c r="J366" s="20">
        <v>0.60540000000000005</v>
      </c>
      <c r="K366" s="20">
        <v>0.66910000000000003</v>
      </c>
      <c r="L366" s="20">
        <v>0.73080000000000001</v>
      </c>
      <c r="M366" s="20">
        <v>0.79090000000000005</v>
      </c>
      <c r="N366" s="20">
        <v>0.84950000000000003</v>
      </c>
      <c r="O366" s="20">
        <v>0.90659999999999996</v>
      </c>
      <c r="P366" s="20">
        <v>0.96250000000000002</v>
      </c>
      <c r="Q366" s="20">
        <v>1.0173000000000001</v>
      </c>
      <c r="R366" s="20">
        <v>1.071</v>
      </c>
      <c r="S366" s="20">
        <v>1.1237999999999999</v>
      </c>
      <c r="T366" s="20">
        <v>1.1758</v>
      </c>
      <c r="U366" s="20">
        <v>1.2269000000000001</v>
      </c>
      <c r="V366" s="20">
        <v>1.2771999999999999</v>
      </c>
      <c r="W366"/>
      <c r="X366"/>
      <c r="Y366"/>
      <c r="Z366"/>
    </row>
    <row r="367" spans="1:26" x14ac:dyDescent="0.2">
      <c r="A367" s="19">
        <v>0.36099999999999999</v>
      </c>
      <c r="B367" s="20">
        <v>0</v>
      </c>
      <c r="C367" s="20">
        <v>8.7800000000000003E-2</v>
      </c>
      <c r="D367" s="20">
        <v>0.17150000000000001</v>
      </c>
      <c r="E367" s="20">
        <v>0.25140000000000001</v>
      </c>
      <c r="F367" s="20">
        <v>0.32800000000000001</v>
      </c>
      <c r="G367" s="20">
        <v>0.40139999999999998</v>
      </c>
      <c r="H367" s="20">
        <v>0.47199999999999998</v>
      </c>
      <c r="I367" s="20">
        <v>0.54010000000000002</v>
      </c>
      <c r="J367" s="20">
        <v>0.60589999999999999</v>
      </c>
      <c r="K367" s="20">
        <v>0.66959999999999997</v>
      </c>
      <c r="L367" s="20">
        <v>0.73140000000000005</v>
      </c>
      <c r="M367" s="20">
        <v>0.79149999999999998</v>
      </c>
      <c r="N367" s="20">
        <v>0.85009999999999997</v>
      </c>
      <c r="O367" s="20">
        <v>0.90720000000000001</v>
      </c>
      <c r="P367" s="20">
        <v>0.96319999999999995</v>
      </c>
      <c r="Q367" s="20">
        <v>1.018</v>
      </c>
      <c r="R367" s="20">
        <v>1.0717000000000001</v>
      </c>
      <c r="S367" s="20">
        <v>1.1245000000000001</v>
      </c>
      <c r="T367" s="20">
        <v>1.1765000000000001</v>
      </c>
      <c r="U367" s="20">
        <v>1.2276</v>
      </c>
      <c r="V367" s="20">
        <v>1.2779</v>
      </c>
      <c r="W367"/>
      <c r="X367"/>
      <c r="Y367"/>
      <c r="Z367"/>
    </row>
    <row r="368" spans="1:26" x14ac:dyDescent="0.2">
      <c r="A368" s="19">
        <v>0.36199999999999999</v>
      </c>
      <c r="B368" s="20">
        <v>0</v>
      </c>
      <c r="C368" s="20">
        <v>8.7900000000000006E-2</v>
      </c>
      <c r="D368" s="20">
        <v>0.1716</v>
      </c>
      <c r="E368" s="20">
        <v>0.25159999999999999</v>
      </c>
      <c r="F368" s="20">
        <v>0.32819999999999999</v>
      </c>
      <c r="G368" s="20">
        <v>0.4017</v>
      </c>
      <c r="H368" s="20">
        <v>0.47239999999999999</v>
      </c>
      <c r="I368" s="20">
        <v>0.54049999999999998</v>
      </c>
      <c r="J368" s="20">
        <v>0.60629999999999995</v>
      </c>
      <c r="K368" s="20">
        <v>0.67010000000000003</v>
      </c>
      <c r="L368" s="20">
        <v>0.7319</v>
      </c>
      <c r="M368" s="20">
        <v>0.79210000000000003</v>
      </c>
      <c r="N368" s="20">
        <v>0.85070000000000001</v>
      </c>
      <c r="O368" s="20">
        <v>0.90790000000000004</v>
      </c>
      <c r="P368" s="20">
        <v>0.96379999999999999</v>
      </c>
      <c r="Q368" s="20">
        <v>1.0185999999999999</v>
      </c>
      <c r="R368" s="20">
        <v>1.0724</v>
      </c>
      <c r="S368" s="20">
        <v>1.1252</v>
      </c>
      <c r="T368" s="20">
        <v>1.1772</v>
      </c>
      <c r="U368" s="20">
        <v>1.2282999999999999</v>
      </c>
      <c r="V368" s="20">
        <v>1.2786999999999999</v>
      </c>
      <c r="W368"/>
      <c r="X368"/>
      <c r="Y368"/>
      <c r="Z368"/>
    </row>
    <row r="369" spans="1:26" x14ac:dyDescent="0.2">
      <c r="A369" s="19">
        <v>0.36299999999999999</v>
      </c>
      <c r="B369" s="20">
        <v>0</v>
      </c>
      <c r="C369" s="20">
        <v>8.7900000000000006E-2</v>
      </c>
      <c r="D369" s="20">
        <v>0.17180000000000001</v>
      </c>
      <c r="E369" s="20">
        <v>0.25180000000000002</v>
      </c>
      <c r="F369" s="20">
        <v>0.32850000000000001</v>
      </c>
      <c r="G369" s="20">
        <v>0.40200000000000002</v>
      </c>
      <c r="H369" s="20">
        <v>0.4728</v>
      </c>
      <c r="I369" s="20">
        <v>0.54090000000000005</v>
      </c>
      <c r="J369" s="20">
        <v>0.60680000000000001</v>
      </c>
      <c r="K369" s="20">
        <v>0.67059999999999997</v>
      </c>
      <c r="L369" s="20">
        <v>0.73250000000000004</v>
      </c>
      <c r="M369" s="20">
        <v>0.79259999999999997</v>
      </c>
      <c r="N369" s="20">
        <v>0.85129999999999995</v>
      </c>
      <c r="O369" s="20">
        <v>0.90849999999999997</v>
      </c>
      <c r="P369" s="20">
        <v>0.96450000000000002</v>
      </c>
      <c r="Q369" s="20">
        <v>1.0193000000000001</v>
      </c>
      <c r="R369" s="20">
        <v>1.0730999999999999</v>
      </c>
      <c r="S369" s="20">
        <v>1.1258999999999999</v>
      </c>
      <c r="T369" s="20">
        <v>1.1778999999999999</v>
      </c>
      <c r="U369" s="20">
        <v>1.2290000000000001</v>
      </c>
      <c r="V369" s="20">
        <v>1.2794000000000001</v>
      </c>
      <c r="W369"/>
      <c r="X369"/>
      <c r="Y369"/>
      <c r="Z369"/>
    </row>
    <row r="370" spans="1:26" x14ac:dyDescent="0.2">
      <c r="A370" s="19">
        <v>0.36399999999999999</v>
      </c>
      <c r="B370" s="20">
        <v>0</v>
      </c>
      <c r="C370" s="20">
        <v>8.7999999999999995E-2</v>
      </c>
      <c r="D370" s="20">
        <v>0.1719</v>
      </c>
      <c r="E370" s="20">
        <v>0.252</v>
      </c>
      <c r="F370" s="20">
        <v>0.32879999999999998</v>
      </c>
      <c r="G370" s="20">
        <v>0.40239999999999998</v>
      </c>
      <c r="H370" s="20">
        <v>0.47310000000000002</v>
      </c>
      <c r="I370" s="20">
        <v>0.54139999999999999</v>
      </c>
      <c r="J370" s="20">
        <v>0.60729999999999995</v>
      </c>
      <c r="K370" s="20">
        <v>0.67110000000000003</v>
      </c>
      <c r="L370" s="20">
        <v>0.73299999999999998</v>
      </c>
      <c r="M370" s="20">
        <v>0.79320000000000002</v>
      </c>
      <c r="N370" s="20">
        <v>0.85189999999999999</v>
      </c>
      <c r="O370" s="20">
        <v>0.90910000000000002</v>
      </c>
      <c r="P370" s="20">
        <v>0.96509999999999996</v>
      </c>
      <c r="Q370" s="20">
        <v>1.02</v>
      </c>
      <c r="R370" s="20">
        <v>1.0738000000000001</v>
      </c>
      <c r="S370" s="20">
        <v>1.1266</v>
      </c>
      <c r="T370" s="20">
        <v>1.1786000000000001</v>
      </c>
      <c r="U370" s="20">
        <v>1.2297</v>
      </c>
      <c r="V370" s="20">
        <v>1.2801</v>
      </c>
      <c r="W370"/>
      <c r="X370"/>
      <c r="Y370"/>
      <c r="Z370"/>
    </row>
    <row r="371" spans="1:26" x14ac:dyDescent="0.2">
      <c r="A371" s="19">
        <v>0.36499999999999999</v>
      </c>
      <c r="B371" s="20">
        <v>0</v>
      </c>
      <c r="C371" s="20">
        <v>8.8099999999999998E-2</v>
      </c>
      <c r="D371" s="20">
        <v>0.17199999999999999</v>
      </c>
      <c r="E371" s="20">
        <v>0.25219999999999998</v>
      </c>
      <c r="F371" s="20">
        <v>0.32900000000000001</v>
      </c>
      <c r="G371" s="20">
        <v>0.4027</v>
      </c>
      <c r="H371" s="20">
        <v>0.47349999999999998</v>
      </c>
      <c r="I371" s="20">
        <v>0.54179999999999995</v>
      </c>
      <c r="J371" s="20">
        <v>0.60770000000000002</v>
      </c>
      <c r="K371" s="20">
        <v>0.67159999999999997</v>
      </c>
      <c r="L371" s="20">
        <v>0.73350000000000004</v>
      </c>
      <c r="M371" s="20">
        <v>0.79379999999999995</v>
      </c>
      <c r="N371" s="20">
        <v>0.85250000000000004</v>
      </c>
      <c r="O371" s="20">
        <v>0.90980000000000005</v>
      </c>
      <c r="P371" s="20">
        <v>0.96579999999999999</v>
      </c>
      <c r="Q371" s="20">
        <v>1.0206</v>
      </c>
      <c r="R371" s="20">
        <v>1.0745</v>
      </c>
      <c r="S371" s="20">
        <v>1.1273</v>
      </c>
      <c r="T371" s="20">
        <v>1.1793</v>
      </c>
      <c r="U371" s="20">
        <v>1.2303999999999999</v>
      </c>
      <c r="V371" s="20">
        <v>1.2807999999999999</v>
      </c>
      <c r="W371"/>
      <c r="X371"/>
      <c r="Y371"/>
      <c r="Z371"/>
    </row>
    <row r="372" spans="1:26" x14ac:dyDescent="0.2">
      <c r="A372" s="19">
        <v>0.36599999999999999</v>
      </c>
      <c r="B372" s="20">
        <v>0</v>
      </c>
      <c r="C372" s="20">
        <v>8.8200000000000001E-2</v>
      </c>
      <c r="D372" s="20">
        <v>0.17219999999999999</v>
      </c>
      <c r="E372" s="20">
        <v>0.25240000000000001</v>
      </c>
      <c r="F372" s="20">
        <v>0.32929999999999998</v>
      </c>
      <c r="G372" s="20">
        <v>0.40300000000000002</v>
      </c>
      <c r="H372" s="20">
        <v>0.47389999999999999</v>
      </c>
      <c r="I372" s="20">
        <v>0.54220000000000002</v>
      </c>
      <c r="J372" s="20">
        <v>0.60819999999999996</v>
      </c>
      <c r="K372" s="20">
        <v>0.67210000000000003</v>
      </c>
      <c r="L372" s="20">
        <v>0.73409999999999997</v>
      </c>
      <c r="M372" s="20">
        <v>0.79430000000000001</v>
      </c>
      <c r="N372" s="20">
        <v>0.85309999999999997</v>
      </c>
      <c r="O372" s="20">
        <v>0.91039999999999999</v>
      </c>
      <c r="P372" s="20">
        <v>0.96640000000000004</v>
      </c>
      <c r="Q372" s="20">
        <v>1.0213000000000001</v>
      </c>
      <c r="R372" s="20">
        <v>1.0750999999999999</v>
      </c>
      <c r="S372" s="20">
        <v>1.1279999999999999</v>
      </c>
      <c r="T372" s="20">
        <v>1.18</v>
      </c>
      <c r="U372" s="20">
        <v>1.2311000000000001</v>
      </c>
      <c r="V372" s="20">
        <v>1.2815000000000001</v>
      </c>
      <c r="W372"/>
      <c r="X372"/>
      <c r="Y372"/>
      <c r="Z372"/>
    </row>
    <row r="373" spans="1:26" x14ac:dyDescent="0.2">
      <c r="A373" s="19">
        <v>0.36699999999999999</v>
      </c>
      <c r="B373" s="20">
        <v>0</v>
      </c>
      <c r="C373" s="20">
        <v>8.8200000000000001E-2</v>
      </c>
      <c r="D373" s="20">
        <v>0.17230000000000001</v>
      </c>
      <c r="E373" s="20">
        <v>0.25259999999999999</v>
      </c>
      <c r="F373" s="20">
        <v>0.32950000000000002</v>
      </c>
      <c r="G373" s="20">
        <v>0.40329999999999999</v>
      </c>
      <c r="H373" s="20">
        <v>0.47420000000000001</v>
      </c>
      <c r="I373" s="20">
        <v>0.54259999999999997</v>
      </c>
      <c r="J373" s="20">
        <v>0.60860000000000003</v>
      </c>
      <c r="K373" s="20">
        <v>0.67259999999999998</v>
      </c>
      <c r="L373" s="20">
        <v>0.73460000000000003</v>
      </c>
      <c r="M373" s="20">
        <v>0.79490000000000005</v>
      </c>
      <c r="N373" s="20">
        <v>0.85370000000000001</v>
      </c>
      <c r="O373" s="20">
        <v>0.91100000000000003</v>
      </c>
      <c r="P373" s="20">
        <v>0.96709999999999996</v>
      </c>
      <c r="Q373" s="20">
        <v>1.022</v>
      </c>
      <c r="R373" s="20">
        <v>1.0758000000000001</v>
      </c>
      <c r="S373" s="20">
        <v>1.1287</v>
      </c>
      <c r="T373" s="20">
        <v>1.1807000000000001</v>
      </c>
      <c r="U373" s="20">
        <v>1.2318</v>
      </c>
      <c r="V373" s="20">
        <v>1.2822</v>
      </c>
      <c r="W373"/>
      <c r="X373"/>
      <c r="Y373"/>
      <c r="Z373"/>
    </row>
    <row r="374" spans="1:26" x14ac:dyDescent="0.2">
      <c r="A374" s="19">
        <v>0.36799999999999999</v>
      </c>
      <c r="B374" s="20">
        <v>0</v>
      </c>
      <c r="C374" s="20">
        <v>8.8300000000000003E-2</v>
      </c>
      <c r="D374" s="20">
        <v>0.17249999999999999</v>
      </c>
      <c r="E374" s="20">
        <v>0.25280000000000002</v>
      </c>
      <c r="F374" s="20">
        <v>0.32979999999999998</v>
      </c>
      <c r="G374" s="20">
        <v>0.40360000000000001</v>
      </c>
      <c r="H374" s="20">
        <v>0.47460000000000002</v>
      </c>
      <c r="I374" s="20">
        <v>0.54300000000000004</v>
      </c>
      <c r="J374" s="20">
        <v>0.60909999999999997</v>
      </c>
      <c r="K374" s="20">
        <v>0.67310000000000003</v>
      </c>
      <c r="L374" s="20">
        <v>0.73509999999999998</v>
      </c>
      <c r="M374" s="20">
        <v>0.79549999999999998</v>
      </c>
      <c r="N374" s="20">
        <v>0.85429999999999995</v>
      </c>
      <c r="O374" s="20">
        <v>0.91159999999999997</v>
      </c>
      <c r="P374" s="20">
        <v>0.9677</v>
      </c>
      <c r="Q374" s="20">
        <v>1.0226</v>
      </c>
      <c r="R374" s="20">
        <v>1.0765</v>
      </c>
      <c r="S374" s="20">
        <v>1.1294</v>
      </c>
      <c r="T374" s="20">
        <v>1.1814</v>
      </c>
      <c r="U374" s="20">
        <v>1.2324999999999999</v>
      </c>
      <c r="V374" s="20">
        <v>1.2828999999999999</v>
      </c>
      <c r="W374"/>
      <c r="X374"/>
      <c r="Y374"/>
      <c r="Z374"/>
    </row>
    <row r="375" spans="1:26" x14ac:dyDescent="0.2">
      <c r="A375" s="19">
        <v>0.36899999999999999</v>
      </c>
      <c r="B375" s="20">
        <v>0</v>
      </c>
      <c r="C375" s="20">
        <v>8.8400000000000006E-2</v>
      </c>
      <c r="D375" s="20">
        <v>0.1726</v>
      </c>
      <c r="E375" s="20">
        <v>0.253</v>
      </c>
      <c r="F375" s="20">
        <v>0.33</v>
      </c>
      <c r="G375" s="20">
        <v>0.40389999999999998</v>
      </c>
      <c r="H375" s="20">
        <v>0.47499999999999998</v>
      </c>
      <c r="I375" s="20">
        <v>0.54339999999999999</v>
      </c>
      <c r="J375" s="20">
        <v>0.60960000000000003</v>
      </c>
      <c r="K375" s="20">
        <v>0.67359999999999998</v>
      </c>
      <c r="L375" s="20">
        <v>0.73570000000000002</v>
      </c>
      <c r="M375" s="20">
        <v>0.79600000000000004</v>
      </c>
      <c r="N375" s="20">
        <v>0.85489999999999999</v>
      </c>
      <c r="O375" s="20">
        <v>0.91220000000000001</v>
      </c>
      <c r="P375" s="20">
        <v>0.96840000000000004</v>
      </c>
      <c r="Q375" s="20">
        <v>1.0233000000000001</v>
      </c>
      <c r="R375" s="20">
        <v>1.0771999999999999</v>
      </c>
      <c r="S375" s="20">
        <v>1.1301000000000001</v>
      </c>
      <c r="T375" s="20">
        <v>1.1820999999999999</v>
      </c>
      <c r="U375" s="20">
        <v>1.2332000000000001</v>
      </c>
      <c r="V375" s="20">
        <v>1.2836000000000001</v>
      </c>
      <c r="W375"/>
      <c r="X375"/>
      <c r="Y375"/>
      <c r="Z375"/>
    </row>
    <row r="376" spans="1:26" x14ac:dyDescent="0.2">
      <c r="A376" s="19">
        <v>0.37</v>
      </c>
      <c r="B376" s="20">
        <v>0</v>
      </c>
      <c r="C376" s="20">
        <v>8.8400000000000006E-2</v>
      </c>
      <c r="D376" s="20">
        <v>0.17269999999999999</v>
      </c>
      <c r="E376" s="20">
        <v>0.25319999999999998</v>
      </c>
      <c r="F376" s="20">
        <v>0.33029999999999998</v>
      </c>
      <c r="G376" s="20">
        <v>0.4042</v>
      </c>
      <c r="H376" s="20">
        <v>0.4753</v>
      </c>
      <c r="I376" s="20">
        <v>0.54379999999999995</v>
      </c>
      <c r="J376" s="20">
        <v>0.61</v>
      </c>
      <c r="K376" s="20">
        <v>0.67410000000000003</v>
      </c>
      <c r="L376" s="20">
        <v>0.73619999999999997</v>
      </c>
      <c r="M376" s="20">
        <v>0.79659999999999997</v>
      </c>
      <c r="N376" s="20">
        <v>0.85540000000000005</v>
      </c>
      <c r="O376" s="20">
        <v>0.91290000000000004</v>
      </c>
      <c r="P376" s="20">
        <v>0.96899999999999997</v>
      </c>
      <c r="Q376" s="20">
        <v>1.024</v>
      </c>
      <c r="R376" s="20">
        <v>1.0779000000000001</v>
      </c>
      <c r="S376" s="20">
        <v>1.1308</v>
      </c>
      <c r="T376" s="20">
        <v>1.1828000000000001</v>
      </c>
      <c r="U376" s="20">
        <v>1.2339</v>
      </c>
      <c r="V376" s="20">
        <v>1.2843</v>
      </c>
      <c r="W376"/>
      <c r="X376"/>
      <c r="Y376"/>
      <c r="Z376"/>
    </row>
    <row r="377" spans="1:26" x14ac:dyDescent="0.2">
      <c r="A377" s="19">
        <v>0.371</v>
      </c>
      <c r="B377" s="20">
        <v>0</v>
      </c>
      <c r="C377" s="20">
        <v>8.8499999999999995E-2</v>
      </c>
      <c r="D377" s="20">
        <v>0.1729</v>
      </c>
      <c r="E377" s="20">
        <v>0.25340000000000001</v>
      </c>
      <c r="F377" s="20">
        <v>0.3306</v>
      </c>
      <c r="G377" s="20">
        <v>0.40460000000000002</v>
      </c>
      <c r="H377" s="20">
        <v>0.47570000000000001</v>
      </c>
      <c r="I377" s="20">
        <v>0.54430000000000001</v>
      </c>
      <c r="J377" s="20">
        <v>0.61050000000000004</v>
      </c>
      <c r="K377" s="20">
        <v>0.67459999999999998</v>
      </c>
      <c r="L377" s="20">
        <v>0.73670000000000002</v>
      </c>
      <c r="M377" s="20">
        <v>0.79720000000000002</v>
      </c>
      <c r="N377" s="20">
        <v>0.85599999999999998</v>
      </c>
      <c r="O377" s="20">
        <v>0.91349999999999998</v>
      </c>
      <c r="P377" s="20">
        <v>0.96960000000000002</v>
      </c>
      <c r="Q377" s="20">
        <v>1.0246</v>
      </c>
      <c r="R377" s="20">
        <v>1.0785</v>
      </c>
      <c r="S377" s="20">
        <v>1.1314</v>
      </c>
      <c r="T377" s="20">
        <v>1.1835</v>
      </c>
      <c r="U377" s="20">
        <v>1.2345999999999999</v>
      </c>
      <c r="V377" s="20">
        <v>1.2849999999999999</v>
      </c>
      <c r="W377"/>
      <c r="X377"/>
      <c r="Y377"/>
      <c r="Z377"/>
    </row>
    <row r="378" spans="1:26" x14ac:dyDescent="0.2">
      <c r="A378" s="19">
        <v>0.372</v>
      </c>
      <c r="B378" s="20">
        <v>0</v>
      </c>
      <c r="C378" s="20">
        <v>8.8599999999999998E-2</v>
      </c>
      <c r="D378" s="20">
        <v>0.17299999999999999</v>
      </c>
      <c r="E378" s="20">
        <v>0.25359999999999999</v>
      </c>
      <c r="F378" s="20">
        <v>0.33079999999999998</v>
      </c>
      <c r="G378" s="20">
        <v>0.40489999999999998</v>
      </c>
      <c r="H378" s="20">
        <v>0.47610000000000002</v>
      </c>
      <c r="I378" s="20">
        <v>0.54469999999999996</v>
      </c>
      <c r="J378" s="20">
        <v>0.6109</v>
      </c>
      <c r="K378" s="20">
        <v>0.67510000000000003</v>
      </c>
      <c r="L378" s="20">
        <v>0.73729999999999996</v>
      </c>
      <c r="M378" s="20">
        <v>0.79769999999999996</v>
      </c>
      <c r="N378" s="20">
        <v>0.85660000000000003</v>
      </c>
      <c r="O378" s="20">
        <v>0.91410000000000002</v>
      </c>
      <c r="P378" s="20">
        <v>0.97030000000000005</v>
      </c>
      <c r="Q378" s="20">
        <v>1.0253000000000001</v>
      </c>
      <c r="R378" s="20">
        <v>1.0791999999999999</v>
      </c>
      <c r="S378" s="20">
        <v>1.1321000000000001</v>
      </c>
      <c r="T378" s="20">
        <v>1.1841999999999999</v>
      </c>
      <c r="U378" s="20">
        <v>1.2353000000000001</v>
      </c>
      <c r="V378" s="20">
        <v>1.2857000000000001</v>
      </c>
      <c r="W378"/>
      <c r="X378"/>
      <c r="Y378"/>
      <c r="Z378"/>
    </row>
    <row r="379" spans="1:26" x14ac:dyDescent="0.2">
      <c r="A379" s="19">
        <v>0.373</v>
      </c>
      <c r="B379" s="20">
        <v>0</v>
      </c>
      <c r="C379" s="20">
        <v>8.8599999999999998E-2</v>
      </c>
      <c r="D379" s="20">
        <v>0.1731</v>
      </c>
      <c r="E379" s="20">
        <v>0.25380000000000003</v>
      </c>
      <c r="F379" s="20">
        <v>0.33110000000000001</v>
      </c>
      <c r="G379" s="20">
        <v>0.4052</v>
      </c>
      <c r="H379" s="20">
        <v>0.47639999999999999</v>
      </c>
      <c r="I379" s="20">
        <v>0.54510000000000003</v>
      </c>
      <c r="J379" s="20">
        <v>0.61140000000000005</v>
      </c>
      <c r="K379" s="20">
        <v>0.67549999999999999</v>
      </c>
      <c r="L379" s="20">
        <v>0.73780000000000001</v>
      </c>
      <c r="M379" s="20">
        <v>0.79830000000000001</v>
      </c>
      <c r="N379" s="20">
        <v>0.85719999999999996</v>
      </c>
      <c r="O379" s="20">
        <v>0.91469999999999996</v>
      </c>
      <c r="P379" s="20">
        <v>0.97089999999999999</v>
      </c>
      <c r="Q379" s="20">
        <v>1.0259</v>
      </c>
      <c r="R379" s="20">
        <v>1.0799000000000001</v>
      </c>
      <c r="S379" s="20">
        <v>1.1328</v>
      </c>
      <c r="T379" s="20">
        <v>1.1848000000000001</v>
      </c>
      <c r="U379" s="20">
        <v>1.236</v>
      </c>
      <c r="V379" s="20">
        <v>1.2864</v>
      </c>
      <c r="W379"/>
      <c r="X379"/>
      <c r="Y379"/>
      <c r="Z379"/>
    </row>
    <row r="380" spans="1:26" x14ac:dyDescent="0.2">
      <c r="A380" s="19">
        <v>0.374</v>
      </c>
      <c r="B380" s="20">
        <v>0</v>
      </c>
      <c r="C380" s="20">
        <v>8.8700000000000001E-2</v>
      </c>
      <c r="D380" s="20">
        <v>0.17330000000000001</v>
      </c>
      <c r="E380" s="20">
        <v>0.254</v>
      </c>
      <c r="F380" s="20">
        <v>0.33129999999999998</v>
      </c>
      <c r="G380" s="20">
        <v>0.40550000000000003</v>
      </c>
      <c r="H380" s="20">
        <v>0.4768</v>
      </c>
      <c r="I380" s="20">
        <v>0.54549999999999998</v>
      </c>
      <c r="J380" s="20">
        <v>0.61180000000000001</v>
      </c>
      <c r="K380" s="20">
        <v>0.67600000000000005</v>
      </c>
      <c r="L380" s="20">
        <v>0.73829999999999996</v>
      </c>
      <c r="M380" s="20">
        <v>0.79890000000000005</v>
      </c>
      <c r="N380" s="20">
        <v>0.85780000000000001</v>
      </c>
      <c r="O380" s="20">
        <v>0.9153</v>
      </c>
      <c r="P380" s="20">
        <v>0.97160000000000002</v>
      </c>
      <c r="Q380" s="20">
        <v>1.0266</v>
      </c>
      <c r="R380" s="20">
        <v>1.0805</v>
      </c>
      <c r="S380" s="20">
        <v>1.1335</v>
      </c>
      <c r="T380" s="20">
        <v>1.1855</v>
      </c>
      <c r="U380" s="20">
        <v>1.2366999999999999</v>
      </c>
      <c r="V380" s="20">
        <v>1.2870999999999999</v>
      </c>
      <c r="W380"/>
      <c r="X380"/>
      <c r="Y380"/>
      <c r="Z380"/>
    </row>
    <row r="381" spans="1:26" x14ac:dyDescent="0.2">
      <c r="A381" s="19">
        <v>0.375</v>
      </c>
      <c r="B381" s="20">
        <v>0</v>
      </c>
      <c r="C381" s="20">
        <v>8.8800000000000004E-2</v>
      </c>
      <c r="D381" s="20">
        <v>0.1734</v>
      </c>
      <c r="E381" s="20">
        <v>0.25419999999999998</v>
      </c>
      <c r="F381" s="20">
        <v>0.33160000000000001</v>
      </c>
      <c r="G381" s="20">
        <v>0.40579999999999999</v>
      </c>
      <c r="H381" s="20">
        <v>0.47710000000000002</v>
      </c>
      <c r="I381" s="20">
        <v>0.54590000000000005</v>
      </c>
      <c r="J381" s="20">
        <v>0.61229999999999996</v>
      </c>
      <c r="K381" s="20">
        <v>0.67649999999999999</v>
      </c>
      <c r="L381" s="20">
        <v>0.7389</v>
      </c>
      <c r="M381" s="20">
        <v>0.7994</v>
      </c>
      <c r="N381" s="20">
        <v>0.85840000000000005</v>
      </c>
      <c r="O381" s="20">
        <v>0.91600000000000004</v>
      </c>
      <c r="P381" s="20">
        <v>0.97219999999999995</v>
      </c>
      <c r="Q381" s="20">
        <v>1.0273000000000001</v>
      </c>
      <c r="R381" s="20">
        <v>1.0811999999999999</v>
      </c>
      <c r="S381" s="20">
        <v>1.1342000000000001</v>
      </c>
      <c r="T381" s="20">
        <v>1.1861999999999999</v>
      </c>
      <c r="U381" s="20">
        <v>1.2374000000000001</v>
      </c>
      <c r="V381" s="20">
        <v>1.2878000000000001</v>
      </c>
      <c r="W381"/>
      <c r="X381"/>
      <c r="Y381"/>
      <c r="Z381"/>
    </row>
    <row r="382" spans="1:26" x14ac:dyDescent="0.2">
      <c r="A382" s="19">
        <v>0.376</v>
      </c>
      <c r="B382" s="20">
        <v>0</v>
      </c>
      <c r="C382" s="20">
        <v>8.8900000000000007E-2</v>
      </c>
      <c r="D382" s="20">
        <v>0.17349999999999999</v>
      </c>
      <c r="E382" s="20">
        <v>0.25440000000000002</v>
      </c>
      <c r="F382" s="20">
        <v>0.33179999999999998</v>
      </c>
      <c r="G382" s="20">
        <v>0.40610000000000002</v>
      </c>
      <c r="H382" s="20">
        <v>0.47749999999999998</v>
      </c>
      <c r="I382" s="20">
        <v>0.54630000000000001</v>
      </c>
      <c r="J382" s="20">
        <v>0.61270000000000002</v>
      </c>
      <c r="K382" s="20">
        <v>0.67700000000000005</v>
      </c>
      <c r="L382" s="20">
        <v>0.73939999999999995</v>
      </c>
      <c r="M382" s="20">
        <v>0.8</v>
      </c>
      <c r="N382" s="20">
        <v>0.85899999999999999</v>
      </c>
      <c r="O382" s="20">
        <v>0.91659999999999997</v>
      </c>
      <c r="P382" s="20">
        <v>0.9728</v>
      </c>
      <c r="Q382" s="20">
        <v>1.0279</v>
      </c>
      <c r="R382" s="20">
        <v>1.0819000000000001</v>
      </c>
      <c r="S382" s="20">
        <v>1.1349</v>
      </c>
      <c r="T382" s="20">
        <v>1.1869000000000001</v>
      </c>
      <c r="U382" s="20">
        <v>1.2381</v>
      </c>
      <c r="V382" s="20">
        <v>1.2885</v>
      </c>
      <c r="W382"/>
      <c r="X382"/>
      <c r="Y382"/>
      <c r="Z382"/>
    </row>
    <row r="383" spans="1:26" x14ac:dyDescent="0.2">
      <c r="A383" s="19">
        <v>0.377</v>
      </c>
      <c r="B383" s="20">
        <v>0</v>
      </c>
      <c r="C383" s="20">
        <v>8.8900000000000007E-2</v>
      </c>
      <c r="D383" s="20">
        <v>0.17369999999999999</v>
      </c>
      <c r="E383" s="20">
        <v>0.25459999999999999</v>
      </c>
      <c r="F383" s="20">
        <v>0.33210000000000001</v>
      </c>
      <c r="G383" s="20">
        <v>0.40639999999999998</v>
      </c>
      <c r="H383" s="20">
        <v>0.47789999999999999</v>
      </c>
      <c r="I383" s="20">
        <v>0.54669999999999996</v>
      </c>
      <c r="J383" s="20">
        <v>0.61319999999999997</v>
      </c>
      <c r="K383" s="20">
        <v>0.67749999999999999</v>
      </c>
      <c r="L383" s="20">
        <v>0.7399</v>
      </c>
      <c r="M383" s="20">
        <v>0.80049999999999999</v>
      </c>
      <c r="N383" s="20">
        <v>0.85960000000000003</v>
      </c>
      <c r="O383" s="20">
        <v>0.91720000000000002</v>
      </c>
      <c r="P383" s="20">
        <v>0.97350000000000003</v>
      </c>
      <c r="Q383" s="20">
        <v>1.0286</v>
      </c>
      <c r="R383" s="20">
        <v>1.0826</v>
      </c>
      <c r="S383" s="20">
        <v>1.1355</v>
      </c>
      <c r="T383" s="20">
        <v>1.1876</v>
      </c>
      <c r="U383" s="20">
        <v>1.2387999999999999</v>
      </c>
      <c r="V383" s="20">
        <v>1.2891999999999999</v>
      </c>
      <c r="W383"/>
      <c r="X383"/>
      <c r="Y383"/>
      <c r="Z383"/>
    </row>
    <row r="384" spans="1:26" x14ac:dyDescent="0.2">
      <c r="A384" s="19">
        <v>0.378</v>
      </c>
      <c r="B384" s="20">
        <v>0</v>
      </c>
      <c r="C384" s="20">
        <v>8.8999999999999996E-2</v>
      </c>
      <c r="D384" s="20">
        <v>0.17380000000000001</v>
      </c>
      <c r="E384" s="20">
        <v>0.25480000000000003</v>
      </c>
      <c r="F384" s="20">
        <v>0.33239999999999997</v>
      </c>
      <c r="G384" s="20">
        <v>0.40670000000000001</v>
      </c>
      <c r="H384" s="20">
        <v>0.47820000000000001</v>
      </c>
      <c r="I384" s="20">
        <v>0.54710000000000003</v>
      </c>
      <c r="J384" s="20">
        <v>0.61360000000000003</v>
      </c>
      <c r="K384" s="20">
        <v>0.67800000000000005</v>
      </c>
      <c r="L384" s="20">
        <v>0.74039999999999995</v>
      </c>
      <c r="M384" s="20">
        <v>0.80110000000000003</v>
      </c>
      <c r="N384" s="20">
        <v>0.86019999999999996</v>
      </c>
      <c r="O384" s="20">
        <v>0.91779999999999995</v>
      </c>
      <c r="P384" s="20">
        <v>0.97409999999999997</v>
      </c>
      <c r="Q384" s="20">
        <v>1.0291999999999999</v>
      </c>
      <c r="R384" s="20">
        <v>1.0831999999999999</v>
      </c>
      <c r="S384" s="20">
        <v>1.1362000000000001</v>
      </c>
      <c r="T384" s="20">
        <v>1.1882999999999999</v>
      </c>
      <c r="U384" s="20">
        <v>1.2395</v>
      </c>
      <c r="V384" s="20">
        <v>1.2899</v>
      </c>
      <c r="W384"/>
      <c r="X384"/>
      <c r="Y384"/>
      <c r="Z384"/>
    </row>
    <row r="385" spans="1:26" x14ac:dyDescent="0.2">
      <c r="A385" s="19">
        <v>0.379</v>
      </c>
      <c r="B385" s="20">
        <v>0</v>
      </c>
      <c r="C385" s="20">
        <v>8.9099999999999999E-2</v>
      </c>
      <c r="D385" s="20">
        <v>0.1739</v>
      </c>
      <c r="E385" s="20">
        <v>0.255</v>
      </c>
      <c r="F385" s="20">
        <v>0.33260000000000001</v>
      </c>
      <c r="G385" s="20">
        <v>0.40699999999999997</v>
      </c>
      <c r="H385" s="20">
        <v>0.47860000000000003</v>
      </c>
      <c r="I385" s="20">
        <v>0.54749999999999999</v>
      </c>
      <c r="J385" s="20">
        <v>0.61409999999999998</v>
      </c>
      <c r="K385" s="20">
        <v>0.67849999999999999</v>
      </c>
      <c r="L385" s="20">
        <v>0.74099999999999999</v>
      </c>
      <c r="M385" s="20">
        <v>0.80169999999999997</v>
      </c>
      <c r="N385" s="20">
        <v>0.86080000000000001</v>
      </c>
      <c r="O385" s="20">
        <v>0.91839999999999999</v>
      </c>
      <c r="P385" s="20">
        <v>0.97470000000000001</v>
      </c>
      <c r="Q385" s="20">
        <v>1.0299</v>
      </c>
      <c r="R385" s="20">
        <v>1.0839000000000001</v>
      </c>
      <c r="S385" s="20">
        <v>1.1369</v>
      </c>
      <c r="T385" s="20">
        <v>1.1890000000000001</v>
      </c>
      <c r="U385" s="20">
        <v>1.2402</v>
      </c>
      <c r="V385" s="20">
        <v>1.2906</v>
      </c>
      <c r="W385"/>
      <c r="X385"/>
      <c r="Y385"/>
      <c r="Z385"/>
    </row>
    <row r="386" spans="1:26" x14ac:dyDescent="0.2">
      <c r="A386" s="19">
        <v>0.38</v>
      </c>
      <c r="B386" s="20">
        <v>0</v>
      </c>
      <c r="C386" s="20">
        <v>8.9099999999999999E-2</v>
      </c>
      <c r="D386" s="20">
        <v>0.1741</v>
      </c>
      <c r="E386" s="20">
        <v>0.25519999999999998</v>
      </c>
      <c r="F386" s="20">
        <v>0.33289999999999997</v>
      </c>
      <c r="G386" s="20">
        <v>0.4073</v>
      </c>
      <c r="H386" s="20">
        <v>0.47889999999999999</v>
      </c>
      <c r="I386" s="20">
        <v>0.54790000000000005</v>
      </c>
      <c r="J386" s="20">
        <v>0.61450000000000005</v>
      </c>
      <c r="K386" s="20">
        <v>0.67900000000000005</v>
      </c>
      <c r="L386" s="20">
        <v>0.74150000000000005</v>
      </c>
      <c r="M386" s="20">
        <v>0.80220000000000002</v>
      </c>
      <c r="N386" s="20">
        <v>0.86129999999999995</v>
      </c>
      <c r="O386" s="20">
        <v>0.91900000000000004</v>
      </c>
      <c r="P386" s="20">
        <v>0.97540000000000004</v>
      </c>
      <c r="Q386" s="20">
        <v>1.0305</v>
      </c>
      <c r="R386" s="20">
        <v>1.0846</v>
      </c>
      <c r="S386" s="20">
        <v>1.1375999999999999</v>
      </c>
      <c r="T386" s="20">
        <v>1.1897</v>
      </c>
      <c r="U386" s="20">
        <v>1.2408999999999999</v>
      </c>
      <c r="V386" s="20">
        <v>1.2912999999999999</v>
      </c>
      <c r="W386"/>
      <c r="X386"/>
      <c r="Y386"/>
      <c r="Z386"/>
    </row>
    <row r="387" spans="1:26" x14ac:dyDescent="0.2">
      <c r="A387" s="19">
        <v>0.38100000000000001</v>
      </c>
      <c r="B387" s="20">
        <v>0</v>
      </c>
      <c r="C387" s="20">
        <v>8.9200000000000002E-2</v>
      </c>
      <c r="D387" s="20">
        <v>0.17419999999999999</v>
      </c>
      <c r="E387" s="20">
        <v>0.25540000000000002</v>
      </c>
      <c r="F387" s="20">
        <v>0.33310000000000001</v>
      </c>
      <c r="G387" s="20">
        <v>0.40770000000000001</v>
      </c>
      <c r="H387" s="20">
        <v>0.4793</v>
      </c>
      <c r="I387" s="20">
        <v>0.54830000000000001</v>
      </c>
      <c r="J387" s="20">
        <v>0.61499999999999999</v>
      </c>
      <c r="K387" s="20">
        <v>0.67949999999999999</v>
      </c>
      <c r="L387" s="20">
        <v>0.74199999999999999</v>
      </c>
      <c r="M387" s="20">
        <v>0.80279999999999996</v>
      </c>
      <c r="N387" s="20">
        <v>0.8619</v>
      </c>
      <c r="O387" s="20">
        <v>0.91959999999999997</v>
      </c>
      <c r="P387" s="20">
        <v>0.97599999999999998</v>
      </c>
      <c r="Q387" s="20">
        <v>1.0311999999999999</v>
      </c>
      <c r="R387" s="20">
        <v>1.0851999999999999</v>
      </c>
      <c r="S387" s="20">
        <v>1.1382000000000001</v>
      </c>
      <c r="T387" s="20">
        <v>1.1902999999999999</v>
      </c>
      <c r="U387" s="20">
        <v>1.2416</v>
      </c>
      <c r="V387" s="20">
        <v>1.2919</v>
      </c>
      <c r="W387"/>
      <c r="X387"/>
      <c r="Y387"/>
      <c r="Z387"/>
    </row>
    <row r="388" spans="1:26" x14ac:dyDescent="0.2">
      <c r="A388" s="19">
        <v>0.38200000000000001</v>
      </c>
      <c r="B388" s="20">
        <v>0</v>
      </c>
      <c r="C388" s="20">
        <v>8.9300000000000004E-2</v>
      </c>
      <c r="D388" s="20">
        <v>0.17430000000000001</v>
      </c>
      <c r="E388" s="20">
        <v>0.25559999999999999</v>
      </c>
      <c r="F388" s="20">
        <v>0.33339999999999997</v>
      </c>
      <c r="G388" s="20">
        <v>0.40799999999999997</v>
      </c>
      <c r="H388" s="20">
        <v>0.47970000000000002</v>
      </c>
      <c r="I388" s="20">
        <v>0.54869999999999997</v>
      </c>
      <c r="J388" s="20">
        <v>0.61539999999999995</v>
      </c>
      <c r="K388" s="20">
        <v>0.68</v>
      </c>
      <c r="L388" s="20">
        <v>0.74250000000000005</v>
      </c>
      <c r="M388" s="20">
        <v>0.80330000000000001</v>
      </c>
      <c r="N388" s="20">
        <v>0.86250000000000004</v>
      </c>
      <c r="O388" s="20">
        <v>0.92020000000000002</v>
      </c>
      <c r="P388" s="20">
        <v>0.97660000000000002</v>
      </c>
      <c r="Q388" s="20">
        <v>1.0318000000000001</v>
      </c>
      <c r="R388" s="20">
        <v>1.0859000000000001</v>
      </c>
      <c r="S388" s="20">
        <v>1.1389</v>
      </c>
      <c r="T388" s="20">
        <v>1.1910000000000001</v>
      </c>
      <c r="U388" s="20">
        <v>1.2422</v>
      </c>
      <c r="V388" s="20">
        <v>1.2926</v>
      </c>
      <c r="W388"/>
      <c r="X388"/>
      <c r="Y388"/>
      <c r="Z388"/>
    </row>
    <row r="389" spans="1:26" x14ac:dyDescent="0.2">
      <c r="A389" s="19">
        <v>0.38300000000000001</v>
      </c>
      <c r="B389" s="20">
        <v>0</v>
      </c>
      <c r="C389" s="20">
        <v>8.9300000000000004E-2</v>
      </c>
      <c r="D389" s="20">
        <v>0.17449999999999999</v>
      </c>
      <c r="E389" s="20">
        <v>0.25580000000000003</v>
      </c>
      <c r="F389" s="20">
        <v>0.33360000000000001</v>
      </c>
      <c r="G389" s="20">
        <v>0.4083</v>
      </c>
      <c r="H389" s="20">
        <v>0.48</v>
      </c>
      <c r="I389" s="20">
        <v>0.54910000000000003</v>
      </c>
      <c r="J389" s="20">
        <v>0.6159</v>
      </c>
      <c r="K389" s="20">
        <v>0.6804</v>
      </c>
      <c r="L389" s="20">
        <v>0.74309999999999998</v>
      </c>
      <c r="M389" s="20">
        <v>0.80389999999999995</v>
      </c>
      <c r="N389" s="20">
        <v>0.86309999999999998</v>
      </c>
      <c r="O389" s="20">
        <v>0.92090000000000005</v>
      </c>
      <c r="P389" s="20">
        <v>0.97729999999999995</v>
      </c>
      <c r="Q389" s="20">
        <v>1.0325</v>
      </c>
      <c r="R389" s="20">
        <v>1.0865</v>
      </c>
      <c r="S389" s="20">
        <v>1.1395999999999999</v>
      </c>
      <c r="T389" s="20">
        <v>1.1917</v>
      </c>
      <c r="U389" s="20">
        <v>1.2428999999999999</v>
      </c>
      <c r="V389" s="20">
        <v>1.2932999999999999</v>
      </c>
      <c r="W389"/>
      <c r="X389"/>
      <c r="Y389"/>
      <c r="Z389"/>
    </row>
    <row r="390" spans="1:26" x14ac:dyDescent="0.2">
      <c r="A390" s="19">
        <v>0.38400000000000001</v>
      </c>
      <c r="B390" s="20">
        <v>0</v>
      </c>
      <c r="C390" s="20">
        <v>8.9399999999999993E-2</v>
      </c>
      <c r="D390" s="20">
        <v>0.17460000000000001</v>
      </c>
      <c r="E390" s="20">
        <v>0.25600000000000001</v>
      </c>
      <c r="F390" s="20">
        <v>0.33389999999999997</v>
      </c>
      <c r="G390" s="20">
        <v>0.40860000000000002</v>
      </c>
      <c r="H390" s="20">
        <v>0.48039999999999999</v>
      </c>
      <c r="I390" s="20">
        <v>0.54949999999999999</v>
      </c>
      <c r="J390" s="20">
        <v>0.61629999999999996</v>
      </c>
      <c r="K390" s="20">
        <v>0.68089999999999995</v>
      </c>
      <c r="L390" s="20">
        <v>0.74360000000000004</v>
      </c>
      <c r="M390" s="20">
        <v>0.8044</v>
      </c>
      <c r="N390" s="20">
        <v>0.86370000000000002</v>
      </c>
      <c r="O390" s="20">
        <v>0.92149999999999999</v>
      </c>
      <c r="P390" s="20">
        <v>0.97789999999999999</v>
      </c>
      <c r="Q390" s="20">
        <v>1.0330999999999999</v>
      </c>
      <c r="R390" s="20">
        <v>1.0871999999999999</v>
      </c>
      <c r="S390" s="20">
        <v>1.1403000000000001</v>
      </c>
      <c r="T390" s="20">
        <v>1.1923999999999999</v>
      </c>
      <c r="U390" s="20">
        <v>1.2436</v>
      </c>
      <c r="V390" s="20">
        <v>1.294</v>
      </c>
      <c r="W390"/>
      <c r="X390"/>
      <c r="Y390"/>
      <c r="Z390"/>
    </row>
    <row r="391" spans="1:26" x14ac:dyDescent="0.2">
      <c r="A391" s="19">
        <v>0.38500000000000001</v>
      </c>
      <c r="B391" s="20">
        <v>0</v>
      </c>
      <c r="C391" s="20">
        <v>8.9499999999999996E-2</v>
      </c>
      <c r="D391" s="20">
        <v>0.17469999999999999</v>
      </c>
      <c r="E391" s="20">
        <v>0.25619999999999998</v>
      </c>
      <c r="F391" s="20">
        <v>0.33410000000000001</v>
      </c>
      <c r="G391" s="20">
        <v>0.40889999999999999</v>
      </c>
      <c r="H391" s="20">
        <v>0.48070000000000002</v>
      </c>
      <c r="I391" s="20">
        <v>0.54990000000000006</v>
      </c>
      <c r="J391" s="20">
        <v>0.61680000000000001</v>
      </c>
      <c r="K391" s="20">
        <v>0.68140000000000001</v>
      </c>
      <c r="L391" s="20">
        <v>0.74409999999999998</v>
      </c>
      <c r="M391" s="20">
        <v>0.80500000000000005</v>
      </c>
      <c r="N391" s="20">
        <v>0.86429999999999996</v>
      </c>
      <c r="O391" s="20">
        <v>0.92210000000000003</v>
      </c>
      <c r="P391" s="20">
        <v>0.97850000000000004</v>
      </c>
      <c r="Q391" s="20">
        <v>1.0338000000000001</v>
      </c>
      <c r="R391" s="20">
        <v>1.0879000000000001</v>
      </c>
      <c r="S391" s="20">
        <v>1.1409</v>
      </c>
      <c r="T391" s="20">
        <v>1.1931</v>
      </c>
      <c r="U391" s="20">
        <v>1.2443</v>
      </c>
      <c r="V391" s="20">
        <v>1.2947</v>
      </c>
      <c r="W391"/>
      <c r="X391"/>
      <c r="Y391"/>
      <c r="Z391"/>
    </row>
    <row r="392" spans="1:26" x14ac:dyDescent="0.2">
      <c r="A392" s="19">
        <v>0.38600000000000001</v>
      </c>
      <c r="B392" s="20">
        <v>0</v>
      </c>
      <c r="C392" s="20">
        <v>8.9499999999999996E-2</v>
      </c>
      <c r="D392" s="20">
        <v>0.1749</v>
      </c>
      <c r="E392" s="20">
        <v>0.25640000000000002</v>
      </c>
      <c r="F392" s="20">
        <v>0.33439999999999998</v>
      </c>
      <c r="G392" s="20">
        <v>0.40920000000000001</v>
      </c>
      <c r="H392" s="20">
        <v>0.48110000000000003</v>
      </c>
      <c r="I392" s="20">
        <v>0.55030000000000001</v>
      </c>
      <c r="J392" s="20">
        <v>0.61719999999999997</v>
      </c>
      <c r="K392" s="20">
        <v>0.68189999999999995</v>
      </c>
      <c r="L392" s="20">
        <v>0.74460000000000004</v>
      </c>
      <c r="M392" s="20">
        <v>0.80549999999999999</v>
      </c>
      <c r="N392" s="20">
        <v>0.86480000000000001</v>
      </c>
      <c r="O392" s="20">
        <v>0.92269999999999996</v>
      </c>
      <c r="P392" s="20">
        <v>0.97909999999999997</v>
      </c>
      <c r="Q392" s="20">
        <v>1.0344</v>
      </c>
      <c r="R392" s="20">
        <v>1.0885</v>
      </c>
      <c r="S392" s="20">
        <v>1.1415999999999999</v>
      </c>
      <c r="T392" s="20">
        <v>1.1937</v>
      </c>
      <c r="U392" s="20">
        <v>1.2450000000000001</v>
      </c>
      <c r="V392" s="20">
        <v>1.2954000000000001</v>
      </c>
      <c r="W392"/>
      <c r="X392"/>
      <c r="Y392"/>
      <c r="Z392"/>
    </row>
    <row r="393" spans="1:26" x14ac:dyDescent="0.2">
      <c r="A393" s="19">
        <v>0.38700000000000001</v>
      </c>
      <c r="B393" s="20">
        <v>0</v>
      </c>
      <c r="C393" s="20">
        <v>8.9599999999999999E-2</v>
      </c>
      <c r="D393" s="20">
        <v>0.17499999999999999</v>
      </c>
      <c r="E393" s="20">
        <v>0.25659999999999999</v>
      </c>
      <c r="F393" s="20">
        <v>0.33460000000000001</v>
      </c>
      <c r="G393" s="20">
        <v>0.40949999999999998</v>
      </c>
      <c r="H393" s="20">
        <v>0.48139999999999999</v>
      </c>
      <c r="I393" s="20">
        <v>0.55079999999999996</v>
      </c>
      <c r="J393" s="20">
        <v>0.61770000000000003</v>
      </c>
      <c r="K393" s="20">
        <v>0.68240000000000001</v>
      </c>
      <c r="L393" s="20">
        <v>0.74509999999999998</v>
      </c>
      <c r="M393" s="20">
        <v>0.80610000000000004</v>
      </c>
      <c r="N393" s="20">
        <v>0.86539999999999995</v>
      </c>
      <c r="O393" s="20">
        <v>0.92330000000000001</v>
      </c>
      <c r="P393" s="20">
        <v>0.9798</v>
      </c>
      <c r="Q393" s="20">
        <v>1.0349999999999999</v>
      </c>
      <c r="R393" s="20">
        <v>1.0891999999999999</v>
      </c>
      <c r="S393" s="20">
        <v>1.1423000000000001</v>
      </c>
      <c r="T393" s="20">
        <v>1.1943999999999999</v>
      </c>
      <c r="U393" s="20">
        <v>1.2457</v>
      </c>
      <c r="V393" s="20">
        <v>1.2961</v>
      </c>
      <c r="W393"/>
      <c r="X393"/>
      <c r="Y393"/>
      <c r="Z393"/>
    </row>
    <row r="394" spans="1:26" x14ac:dyDescent="0.2">
      <c r="A394" s="19">
        <v>0.38800000000000001</v>
      </c>
      <c r="B394" s="20">
        <v>0</v>
      </c>
      <c r="C394" s="20">
        <v>8.9700000000000002E-2</v>
      </c>
      <c r="D394" s="20">
        <v>0.17510000000000001</v>
      </c>
      <c r="E394" s="20">
        <v>0.25679999999999997</v>
      </c>
      <c r="F394" s="20">
        <v>0.33489999999999998</v>
      </c>
      <c r="G394" s="20">
        <v>0.4098</v>
      </c>
      <c r="H394" s="20">
        <v>0.48180000000000001</v>
      </c>
      <c r="I394" s="20">
        <v>0.55120000000000002</v>
      </c>
      <c r="J394" s="20">
        <v>0.61809999999999998</v>
      </c>
      <c r="K394" s="20">
        <v>0.68289999999999995</v>
      </c>
      <c r="L394" s="20">
        <v>0.74570000000000003</v>
      </c>
      <c r="M394" s="20">
        <v>0.80659999999999998</v>
      </c>
      <c r="N394" s="20">
        <v>0.86599999999999999</v>
      </c>
      <c r="O394" s="20">
        <v>0.92390000000000005</v>
      </c>
      <c r="P394" s="20">
        <v>0.98040000000000005</v>
      </c>
      <c r="Q394" s="20">
        <v>1.0357000000000001</v>
      </c>
      <c r="R394" s="20">
        <v>1.0898000000000001</v>
      </c>
      <c r="S394" s="20">
        <v>1.1429</v>
      </c>
      <c r="T394" s="20">
        <v>1.1951000000000001</v>
      </c>
      <c r="U394" s="20">
        <v>1.2463</v>
      </c>
      <c r="V394" s="20">
        <v>1.2967</v>
      </c>
      <c r="W394"/>
      <c r="X394"/>
      <c r="Y394"/>
      <c r="Z394"/>
    </row>
    <row r="395" spans="1:26" x14ac:dyDescent="0.2">
      <c r="A395" s="19">
        <v>0.38900000000000001</v>
      </c>
      <c r="B395" s="20">
        <v>0</v>
      </c>
      <c r="C395" s="20">
        <v>8.9700000000000002E-2</v>
      </c>
      <c r="D395" s="20">
        <v>0.17530000000000001</v>
      </c>
      <c r="E395" s="20">
        <v>0.25700000000000001</v>
      </c>
      <c r="F395" s="20">
        <v>0.33510000000000001</v>
      </c>
      <c r="G395" s="20">
        <v>0.41010000000000002</v>
      </c>
      <c r="H395" s="20">
        <v>0.48220000000000002</v>
      </c>
      <c r="I395" s="20">
        <v>0.55159999999999998</v>
      </c>
      <c r="J395" s="20">
        <v>0.61850000000000005</v>
      </c>
      <c r="K395" s="20">
        <v>0.68340000000000001</v>
      </c>
      <c r="L395" s="20">
        <v>0.74619999999999997</v>
      </c>
      <c r="M395" s="20">
        <v>0.80720000000000003</v>
      </c>
      <c r="N395" s="20">
        <v>0.86660000000000004</v>
      </c>
      <c r="O395" s="20">
        <v>0.92449999999999999</v>
      </c>
      <c r="P395" s="20">
        <v>0.98099999999999998</v>
      </c>
      <c r="Q395" s="20">
        <v>1.0363</v>
      </c>
      <c r="R395" s="20">
        <v>1.0905</v>
      </c>
      <c r="S395" s="20">
        <v>1.1435999999999999</v>
      </c>
      <c r="T395" s="20">
        <v>1.1958</v>
      </c>
      <c r="U395" s="20">
        <v>1.2470000000000001</v>
      </c>
      <c r="V395" s="20">
        <v>1.2974000000000001</v>
      </c>
      <c r="W395"/>
      <c r="X395"/>
      <c r="Y395"/>
      <c r="Z395"/>
    </row>
    <row r="396" spans="1:26" x14ac:dyDescent="0.2">
      <c r="A396" s="19">
        <v>0.39</v>
      </c>
      <c r="B396" s="20">
        <v>0</v>
      </c>
      <c r="C396" s="20">
        <v>8.9800000000000005E-2</v>
      </c>
      <c r="D396" s="20">
        <v>0.1754</v>
      </c>
      <c r="E396" s="20">
        <v>0.25719999999999998</v>
      </c>
      <c r="F396" s="20">
        <v>0.33539999999999998</v>
      </c>
      <c r="G396" s="20">
        <v>0.41039999999999999</v>
      </c>
      <c r="H396" s="20">
        <v>0.48249999999999998</v>
      </c>
      <c r="I396" s="20">
        <v>0.55200000000000005</v>
      </c>
      <c r="J396" s="20">
        <v>0.61899999999999999</v>
      </c>
      <c r="K396" s="20">
        <v>0.68379999999999996</v>
      </c>
      <c r="L396" s="20">
        <v>0.74670000000000003</v>
      </c>
      <c r="M396" s="20">
        <v>0.80769999999999997</v>
      </c>
      <c r="N396" s="20">
        <v>0.86719999999999997</v>
      </c>
      <c r="O396" s="20">
        <v>0.92510000000000003</v>
      </c>
      <c r="P396" s="20">
        <v>0.98160000000000003</v>
      </c>
      <c r="Q396" s="20">
        <v>1.0369999999999999</v>
      </c>
      <c r="R396" s="20">
        <v>1.0911</v>
      </c>
      <c r="S396" s="20">
        <v>1.1443000000000001</v>
      </c>
      <c r="T396" s="20">
        <v>1.1963999999999999</v>
      </c>
      <c r="U396" s="20">
        <v>1.2477</v>
      </c>
      <c r="V396" s="20">
        <v>1.2981</v>
      </c>
      <c r="W396"/>
      <c r="X396"/>
      <c r="Y396"/>
      <c r="Z396"/>
    </row>
    <row r="397" spans="1:26" x14ac:dyDescent="0.2">
      <c r="A397" s="19">
        <v>0.39100000000000001</v>
      </c>
      <c r="B397" s="20">
        <v>0</v>
      </c>
      <c r="C397" s="20">
        <v>8.9899999999999994E-2</v>
      </c>
      <c r="D397" s="20">
        <v>0.17549999999999999</v>
      </c>
      <c r="E397" s="20">
        <v>0.25729999999999997</v>
      </c>
      <c r="F397" s="20">
        <v>0.33560000000000001</v>
      </c>
      <c r="G397" s="20">
        <v>0.41070000000000001</v>
      </c>
      <c r="H397" s="20">
        <v>0.4829</v>
      </c>
      <c r="I397" s="20">
        <v>0.5524</v>
      </c>
      <c r="J397" s="20">
        <v>0.61939999999999995</v>
      </c>
      <c r="K397" s="20">
        <v>0.68430000000000002</v>
      </c>
      <c r="L397" s="20">
        <v>0.74719999999999998</v>
      </c>
      <c r="M397" s="20">
        <v>0.80830000000000002</v>
      </c>
      <c r="N397" s="20">
        <v>0.86770000000000003</v>
      </c>
      <c r="O397" s="20">
        <v>0.92569999999999997</v>
      </c>
      <c r="P397" s="20">
        <v>0.98229999999999995</v>
      </c>
      <c r="Q397" s="20">
        <v>1.0376000000000001</v>
      </c>
      <c r="R397" s="20">
        <v>1.0918000000000001</v>
      </c>
      <c r="S397" s="20">
        <v>1.1449</v>
      </c>
      <c r="T397" s="20">
        <v>1.1971000000000001</v>
      </c>
      <c r="U397" s="20">
        <v>1.2484</v>
      </c>
      <c r="V397" s="20">
        <v>1.2988</v>
      </c>
      <c r="W397"/>
      <c r="X397"/>
      <c r="Y397"/>
      <c r="Z397"/>
    </row>
    <row r="398" spans="1:26" x14ac:dyDescent="0.2">
      <c r="A398" s="19">
        <v>0.39200000000000002</v>
      </c>
      <c r="B398" s="20">
        <v>0</v>
      </c>
      <c r="C398" s="20">
        <v>8.9899999999999994E-2</v>
      </c>
      <c r="D398" s="20">
        <v>0.1757</v>
      </c>
      <c r="E398" s="20">
        <v>0.25750000000000001</v>
      </c>
      <c r="F398" s="20">
        <v>0.33589999999999998</v>
      </c>
      <c r="G398" s="20">
        <v>0.41099999999999998</v>
      </c>
      <c r="H398" s="20">
        <v>0.48320000000000002</v>
      </c>
      <c r="I398" s="20">
        <v>0.55279999999999996</v>
      </c>
      <c r="J398" s="20">
        <v>0.61990000000000001</v>
      </c>
      <c r="K398" s="20">
        <v>0.68479999999999996</v>
      </c>
      <c r="L398" s="20">
        <v>0.74770000000000003</v>
      </c>
      <c r="M398" s="20">
        <v>0.80879999999999996</v>
      </c>
      <c r="N398" s="20">
        <v>0.86829999999999996</v>
      </c>
      <c r="O398" s="20">
        <v>0.92630000000000001</v>
      </c>
      <c r="P398" s="20">
        <v>0.9829</v>
      </c>
      <c r="Q398" s="20">
        <v>1.0382</v>
      </c>
      <c r="R398" s="20">
        <v>1.0924</v>
      </c>
      <c r="S398" s="20">
        <v>1.1456</v>
      </c>
      <c r="T398" s="20">
        <v>1.1978</v>
      </c>
      <c r="U398" s="20">
        <v>1.2490000000000001</v>
      </c>
      <c r="V398" s="20">
        <v>1.2994000000000001</v>
      </c>
      <c r="W398"/>
      <c r="X398"/>
      <c r="Y398"/>
      <c r="Z398"/>
    </row>
    <row r="399" spans="1:26" x14ac:dyDescent="0.2">
      <c r="A399" s="19">
        <v>0.39300000000000002</v>
      </c>
      <c r="B399" s="20">
        <v>0</v>
      </c>
      <c r="C399" s="20">
        <v>0.09</v>
      </c>
      <c r="D399" s="20">
        <v>0.17580000000000001</v>
      </c>
      <c r="E399" s="20">
        <v>0.25769999999999998</v>
      </c>
      <c r="F399" s="20">
        <v>0.33610000000000001</v>
      </c>
      <c r="G399" s="20">
        <v>0.4113</v>
      </c>
      <c r="H399" s="20">
        <v>0.48359999999999997</v>
      </c>
      <c r="I399" s="20">
        <v>0.55320000000000003</v>
      </c>
      <c r="J399" s="20">
        <v>0.62029999999999996</v>
      </c>
      <c r="K399" s="20">
        <v>0.68530000000000002</v>
      </c>
      <c r="L399" s="20">
        <v>0.74819999999999998</v>
      </c>
      <c r="M399" s="20">
        <v>0.80940000000000001</v>
      </c>
      <c r="N399" s="20">
        <v>0.86890000000000001</v>
      </c>
      <c r="O399" s="20">
        <v>0.92689999999999995</v>
      </c>
      <c r="P399" s="20">
        <v>0.98350000000000004</v>
      </c>
      <c r="Q399" s="20">
        <v>1.0388999999999999</v>
      </c>
      <c r="R399" s="20">
        <v>1.0931</v>
      </c>
      <c r="S399" s="20">
        <v>1.1463000000000001</v>
      </c>
      <c r="T399" s="20">
        <v>1.1983999999999999</v>
      </c>
      <c r="U399" s="20">
        <v>1.2497</v>
      </c>
      <c r="V399" s="20">
        <v>1.3001</v>
      </c>
      <c r="W399"/>
      <c r="X399"/>
      <c r="Y399"/>
      <c r="Z399"/>
    </row>
    <row r="400" spans="1:26" x14ac:dyDescent="0.2">
      <c r="A400" s="19">
        <v>0.39400000000000002</v>
      </c>
      <c r="B400" s="20">
        <v>0</v>
      </c>
      <c r="C400" s="20">
        <v>9.01E-2</v>
      </c>
      <c r="D400" s="20">
        <v>0.1759</v>
      </c>
      <c r="E400" s="20">
        <v>0.25790000000000002</v>
      </c>
      <c r="F400" s="20">
        <v>0.33639999999999998</v>
      </c>
      <c r="G400" s="20">
        <v>0.41160000000000002</v>
      </c>
      <c r="H400" s="20">
        <v>0.4839</v>
      </c>
      <c r="I400" s="20">
        <v>0.55359999999999998</v>
      </c>
      <c r="J400" s="20">
        <v>0.62080000000000002</v>
      </c>
      <c r="K400" s="20">
        <v>0.68579999999999997</v>
      </c>
      <c r="L400" s="20">
        <v>0.74880000000000002</v>
      </c>
      <c r="M400" s="20">
        <v>0.80989999999999995</v>
      </c>
      <c r="N400" s="20">
        <v>0.86950000000000005</v>
      </c>
      <c r="O400" s="20">
        <v>0.92749999999999999</v>
      </c>
      <c r="P400" s="20">
        <v>0.98409999999999997</v>
      </c>
      <c r="Q400" s="20">
        <v>1.0395000000000001</v>
      </c>
      <c r="R400" s="20">
        <v>1.0936999999999999</v>
      </c>
      <c r="S400" s="20">
        <v>1.1469</v>
      </c>
      <c r="T400" s="20">
        <v>1.1991000000000001</v>
      </c>
      <c r="U400" s="20">
        <v>1.2504</v>
      </c>
      <c r="V400" s="20">
        <v>1.3008</v>
      </c>
      <c r="W400"/>
      <c r="X400"/>
      <c r="Y400"/>
      <c r="Z400"/>
    </row>
    <row r="401" spans="1:26" x14ac:dyDescent="0.2">
      <c r="A401" s="19">
        <v>0.39500000000000002</v>
      </c>
      <c r="B401" s="20">
        <v>0</v>
      </c>
      <c r="C401" s="20">
        <v>9.0200000000000002E-2</v>
      </c>
      <c r="D401" s="20">
        <v>0.17610000000000001</v>
      </c>
      <c r="E401" s="20">
        <v>0.2581</v>
      </c>
      <c r="F401" s="20">
        <v>0.33660000000000001</v>
      </c>
      <c r="G401" s="20">
        <v>0.41189999999999999</v>
      </c>
      <c r="H401" s="20">
        <v>0.48430000000000001</v>
      </c>
      <c r="I401" s="20">
        <v>0.55389999999999995</v>
      </c>
      <c r="J401" s="20">
        <v>0.62119999999999997</v>
      </c>
      <c r="K401" s="20">
        <v>0.68620000000000003</v>
      </c>
      <c r="L401" s="20">
        <v>0.74929999999999997</v>
      </c>
      <c r="M401" s="20">
        <v>0.8105</v>
      </c>
      <c r="N401" s="20">
        <v>0.87</v>
      </c>
      <c r="O401" s="20">
        <v>0.92810000000000004</v>
      </c>
      <c r="P401" s="20">
        <v>0.98470000000000002</v>
      </c>
      <c r="Q401" s="20">
        <v>1.0401</v>
      </c>
      <c r="R401" s="20">
        <v>1.0944</v>
      </c>
      <c r="S401" s="20">
        <v>1.1476</v>
      </c>
      <c r="T401" s="20">
        <v>1.1998</v>
      </c>
      <c r="U401" s="20">
        <v>1.2511000000000001</v>
      </c>
      <c r="V401" s="20">
        <v>1.3015000000000001</v>
      </c>
      <c r="W401"/>
      <c r="X401"/>
      <c r="Y401"/>
      <c r="Z401"/>
    </row>
    <row r="402" spans="1:26" x14ac:dyDescent="0.2">
      <c r="A402" s="19">
        <v>0.39600000000000002</v>
      </c>
      <c r="B402" s="20">
        <v>0</v>
      </c>
      <c r="C402" s="20">
        <v>9.0200000000000002E-2</v>
      </c>
      <c r="D402" s="20">
        <v>0.1762</v>
      </c>
      <c r="E402" s="20">
        <v>0.25829999999999997</v>
      </c>
      <c r="F402" s="20">
        <v>0.33689999999999998</v>
      </c>
      <c r="G402" s="20">
        <v>0.41220000000000001</v>
      </c>
      <c r="H402" s="20">
        <v>0.48459999999999998</v>
      </c>
      <c r="I402" s="20">
        <v>0.55430000000000001</v>
      </c>
      <c r="J402" s="20">
        <v>0.62160000000000004</v>
      </c>
      <c r="K402" s="20">
        <v>0.68669999999999998</v>
      </c>
      <c r="L402" s="20">
        <v>0.74980000000000002</v>
      </c>
      <c r="M402" s="20">
        <v>0.81100000000000005</v>
      </c>
      <c r="N402" s="20">
        <v>0.87060000000000004</v>
      </c>
      <c r="O402" s="20">
        <v>0.92869999999999997</v>
      </c>
      <c r="P402" s="20">
        <v>0.98540000000000005</v>
      </c>
      <c r="Q402" s="20">
        <v>1.0407999999999999</v>
      </c>
      <c r="R402" s="20">
        <v>1.095</v>
      </c>
      <c r="S402" s="20">
        <v>1.1482000000000001</v>
      </c>
      <c r="T402" s="20">
        <v>1.2003999999999999</v>
      </c>
      <c r="U402" s="20">
        <v>1.2517</v>
      </c>
      <c r="V402" s="20">
        <v>1.3021</v>
      </c>
      <c r="W402"/>
      <c r="X402"/>
      <c r="Y402"/>
      <c r="Z402"/>
    </row>
    <row r="403" spans="1:26" x14ac:dyDescent="0.2">
      <c r="A403" s="19">
        <v>0.39700000000000002</v>
      </c>
      <c r="B403" s="20">
        <v>0</v>
      </c>
      <c r="C403" s="20">
        <v>9.0300000000000005E-2</v>
      </c>
      <c r="D403" s="20">
        <v>0.17630000000000001</v>
      </c>
      <c r="E403" s="20">
        <v>0.25850000000000001</v>
      </c>
      <c r="F403" s="20">
        <v>0.33710000000000001</v>
      </c>
      <c r="G403" s="20">
        <v>0.41249999999999998</v>
      </c>
      <c r="H403" s="20">
        <v>0.48499999999999999</v>
      </c>
      <c r="I403" s="20">
        <v>0.55469999999999997</v>
      </c>
      <c r="J403" s="20">
        <v>0.62209999999999999</v>
      </c>
      <c r="K403" s="20">
        <v>0.68720000000000003</v>
      </c>
      <c r="L403" s="20">
        <v>0.75029999999999997</v>
      </c>
      <c r="M403" s="20">
        <v>0.81159999999999999</v>
      </c>
      <c r="N403" s="20">
        <v>0.87119999999999997</v>
      </c>
      <c r="O403" s="20">
        <v>0.92930000000000001</v>
      </c>
      <c r="P403" s="20">
        <v>0.98599999999999999</v>
      </c>
      <c r="Q403" s="20">
        <v>1.0414000000000001</v>
      </c>
      <c r="R403" s="20">
        <v>1.0956999999999999</v>
      </c>
      <c r="S403" s="20">
        <v>1.1489</v>
      </c>
      <c r="T403" s="20">
        <v>1.2011000000000001</v>
      </c>
      <c r="U403" s="20">
        <v>1.2524</v>
      </c>
      <c r="V403" s="20">
        <v>1.3028</v>
      </c>
      <c r="W403"/>
      <c r="X403"/>
      <c r="Y403"/>
      <c r="Z403"/>
    </row>
    <row r="404" spans="1:26" x14ac:dyDescent="0.2">
      <c r="A404" s="19">
        <v>0.39800000000000002</v>
      </c>
      <c r="B404" s="20">
        <v>0</v>
      </c>
      <c r="C404" s="20">
        <v>9.0399999999999994E-2</v>
      </c>
      <c r="D404" s="20">
        <v>0.17649999999999999</v>
      </c>
      <c r="E404" s="20">
        <v>0.25869999999999999</v>
      </c>
      <c r="F404" s="20">
        <v>0.33739999999999998</v>
      </c>
      <c r="G404" s="20">
        <v>0.4128</v>
      </c>
      <c r="H404" s="20">
        <v>0.48530000000000001</v>
      </c>
      <c r="I404" s="20">
        <v>0.55510000000000004</v>
      </c>
      <c r="J404" s="20">
        <v>0.62250000000000005</v>
      </c>
      <c r="K404" s="20">
        <v>0.68769999999999998</v>
      </c>
      <c r="L404" s="20">
        <v>0.75080000000000002</v>
      </c>
      <c r="M404" s="20">
        <v>0.81210000000000004</v>
      </c>
      <c r="N404" s="20">
        <v>0.87170000000000003</v>
      </c>
      <c r="O404" s="20">
        <v>0.92989999999999995</v>
      </c>
      <c r="P404" s="20">
        <v>0.98660000000000003</v>
      </c>
      <c r="Q404" s="20">
        <v>1.042</v>
      </c>
      <c r="R404" s="20">
        <v>1.0963000000000001</v>
      </c>
      <c r="S404" s="20">
        <v>1.1496</v>
      </c>
      <c r="T404" s="20">
        <v>1.2018</v>
      </c>
      <c r="U404" s="20">
        <v>1.2531000000000001</v>
      </c>
      <c r="V404" s="20">
        <v>1.3035000000000001</v>
      </c>
      <c r="W404"/>
      <c r="X404"/>
      <c r="Y404"/>
      <c r="Z404"/>
    </row>
    <row r="405" spans="1:26" x14ac:dyDescent="0.2">
      <c r="A405" s="19">
        <v>0.39900000000000002</v>
      </c>
      <c r="B405" s="20">
        <v>0</v>
      </c>
      <c r="C405" s="20">
        <v>9.0399999999999994E-2</v>
      </c>
      <c r="D405" s="20">
        <v>0.17660000000000001</v>
      </c>
      <c r="E405" s="20">
        <v>0.25890000000000002</v>
      </c>
      <c r="F405" s="20">
        <v>0.33760000000000001</v>
      </c>
      <c r="G405" s="20">
        <v>0.41310000000000002</v>
      </c>
      <c r="H405" s="20">
        <v>0.48570000000000002</v>
      </c>
      <c r="I405" s="20">
        <v>0.55549999999999999</v>
      </c>
      <c r="J405" s="20">
        <v>0.62290000000000001</v>
      </c>
      <c r="K405" s="20">
        <v>0.68810000000000004</v>
      </c>
      <c r="L405" s="20">
        <v>0.75129999999999997</v>
      </c>
      <c r="M405" s="20">
        <v>0.81269999999999998</v>
      </c>
      <c r="N405" s="20">
        <v>0.87229999999999996</v>
      </c>
      <c r="O405" s="20">
        <v>0.93049999999999999</v>
      </c>
      <c r="P405" s="20">
        <v>0.98719999999999997</v>
      </c>
      <c r="Q405" s="20">
        <v>1.0427</v>
      </c>
      <c r="R405" s="20">
        <v>1.097</v>
      </c>
      <c r="S405" s="20">
        <v>1.1501999999999999</v>
      </c>
      <c r="T405" s="20">
        <v>1.2023999999999999</v>
      </c>
      <c r="U405" s="20">
        <v>1.2537</v>
      </c>
      <c r="V405" s="20">
        <v>1.3041</v>
      </c>
      <c r="W405"/>
      <c r="X405"/>
      <c r="Y405"/>
      <c r="Z405"/>
    </row>
    <row r="406" spans="1:26" x14ac:dyDescent="0.2">
      <c r="A406" s="19">
        <v>0.4</v>
      </c>
      <c r="B406" s="20">
        <v>0</v>
      </c>
      <c r="C406" s="20">
        <v>9.0499999999999997E-2</v>
      </c>
      <c r="D406" s="20">
        <v>0.1767</v>
      </c>
      <c r="E406" s="20">
        <v>0.2591</v>
      </c>
      <c r="F406" s="20">
        <v>0.33789999999999998</v>
      </c>
      <c r="G406" s="20">
        <v>0.41339999999999999</v>
      </c>
      <c r="H406" s="20">
        <v>0.48599999999999999</v>
      </c>
      <c r="I406" s="20">
        <v>0.55589999999999995</v>
      </c>
      <c r="J406" s="20">
        <v>0.62339999999999995</v>
      </c>
      <c r="K406" s="20">
        <v>0.68859999999999999</v>
      </c>
      <c r="L406" s="20">
        <v>0.75180000000000002</v>
      </c>
      <c r="M406" s="20">
        <v>0.81320000000000003</v>
      </c>
      <c r="N406" s="20">
        <v>0.87290000000000001</v>
      </c>
      <c r="O406" s="20">
        <v>0.93100000000000005</v>
      </c>
      <c r="P406" s="20">
        <v>0.98780000000000001</v>
      </c>
      <c r="Q406" s="20">
        <v>1.0432999999999999</v>
      </c>
      <c r="R406" s="20">
        <v>1.0975999999999999</v>
      </c>
      <c r="S406" s="20">
        <v>1.1509</v>
      </c>
      <c r="T406" s="20">
        <v>1.2031000000000001</v>
      </c>
      <c r="U406" s="20">
        <v>1.2544</v>
      </c>
      <c r="V406" s="20">
        <v>1.3048</v>
      </c>
      <c r="W406"/>
      <c r="X406"/>
      <c r="Y406"/>
      <c r="Z406"/>
    </row>
    <row r="407" spans="1:26" x14ac:dyDescent="0.2">
      <c r="A407" s="19">
        <v>0.40100000000000002</v>
      </c>
      <c r="B407" s="20">
        <v>0</v>
      </c>
      <c r="C407" s="20">
        <v>9.06E-2</v>
      </c>
      <c r="D407" s="20">
        <v>0.1769</v>
      </c>
      <c r="E407" s="20">
        <v>0.25929999999999997</v>
      </c>
      <c r="F407" s="20">
        <v>0.33810000000000001</v>
      </c>
      <c r="G407" s="20">
        <v>0.41370000000000001</v>
      </c>
      <c r="H407" s="20">
        <v>0.4864</v>
      </c>
      <c r="I407" s="20">
        <v>0.55630000000000002</v>
      </c>
      <c r="J407" s="20">
        <v>0.62380000000000002</v>
      </c>
      <c r="K407" s="20">
        <v>0.68910000000000005</v>
      </c>
      <c r="L407" s="20">
        <v>0.75229999999999997</v>
      </c>
      <c r="M407" s="20">
        <v>0.81369999999999998</v>
      </c>
      <c r="N407" s="20">
        <v>0.87339999999999995</v>
      </c>
      <c r="O407" s="20">
        <v>0.93159999999999998</v>
      </c>
      <c r="P407" s="20">
        <v>0.98839999999999995</v>
      </c>
      <c r="Q407" s="20">
        <v>1.0439000000000001</v>
      </c>
      <c r="R407" s="20">
        <v>1.0983000000000001</v>
      </c>
      <c r="S407" s="20">
        <v>1.1515</v>
      </c>
      <c r="T407" s="20">
        <v>1.2038</v>
      </c>
      <c r="U407" s="20">
        <v>1.2551000000000001</v>
      </c>
      <c r="V407" s="20">
        <v>1.3055000000000001</v>
      </c>
      <c r="W407"/>
      <c r="X407"/>
      <c r="Y407"/>
      <c r="Z407"/>
    </row>
    <row r="408" spans="1:26" x14ac:dyDescent="0.2">
      <c r="A408" s="19">
        <v>0.40200000000000002</v>
      </c>
      <c r="B408" s="20">
        <v>0</v>
      </c>
      <c r="C408" s="20">
        <v>9.06E-2</v>
      </c>
      <c r="D408" s="20">
        <v>0.17699999999999999</v>
      </c>
      <c r="E408" s="20">
        <v>0.25950000000000001</v>
      </c>
      <c r="F408" s="20">
        <v>0.33839999999999998</v>
      </c>
      <c r="G408" s="20">
        <v>0.41399999999999998</v>
      </c>
      <c r="H408" s="20">
        <v>0.48670000000000002</v>
      </c>
      <c r="I408" s="20">
        <v>0.55669999999999997</v>
      </c>
      <c r="J408" s="20">
        <v>0.62429999999999997</v>
      </c>
      <c r="K408" s="20">
        <v>0.68959999999999999</v>
      </c>
      <c r="L408" s="20">
        <v>0.75280000000000002</v>
      </c>
      <c r="M408" s="20">
        <v>0.81430000000000002</v>
      </c>
      <c r="N408" s="20">
        <v>0.874</v>
      </c>
      <c r="O408" s="20">
        <v>0.93220000000000003</v>
      </c>
      <c r="P408" s="20">
        <v>0.98899999999999999</v>
      </c>
      <c r="Q408" s="20">
        <v>1.0446</v>
      </c>
      <c r="R408" s="20">
        <v>1.0989</v>
      </c>
      <c r="S408" s="20">
        <v>1.1521999999999999</v>
      </c>
      <c r="T408" s="20">
        <v>1.2043999999999999</v>
      </c>
      <c r="U408" s="20">
        <v>1.2557</v>
      </c>
      <c r="V408" s="20">
        <v>1.3061</v>
      </c>
      <c r="W408"/>
      <c r="X408"/>
      <c r="Y408"/>
      <c r="Z408"/>
    </row>
    <row r="409" spans="1:26" x14ac:dyDescent="0.2">
      <c r="A409" s="19">
        <v>0.40300000000000002</v>
      </c>
      <c r="B409" s="20">
        <v>0</v>
      </c>
      <c r="C409" s="20">
        <v>9.0700000000000003E-2</v>
      </c>
      <c r="D409" s="20">
        <v>0.17710000000000001</v>
      </c>
      <c r="E409" s="20">
        <v>0.2596</v>
      </c>
      <c r="F409" s="20">
        <v>0.33860000000000001</v>
      </c>
      <c r="G409" s="20">
        <v>0.4143</v>
      </c>
      <c r="H409" s="20">
        <v>0.48709999999999998</v>
      </c>
      <c r="I409" s="20">
        <v>0.55710000000000004</v>
      </c>
      <c r="J409" s="20">
        <v>0.62470000000000003</v>
      </c>
      <c r="K409" s="20">
        <v>0.69</v>
      </c>
      <c r="L409" s="20">
        <v>0.75329999999999997</v>
      </c>
      <c r="M409" s="20">
        <v>0.81479999999999997</v>
      </c>
      <c r="N409" s="20">
        <v>0.87460000000000004</v>
      </c>
      <c r="O409" s="20">
        <v>0.93279999999999996</v>
      </c>
      <c r="P409" s="20">
        <v>0.98960000000000004</v>
      </c>
      <c r="Q409" s="20">
        <v>1.0451999999999999</v>
      </c>
      <c r="R409" s="20">
        <v>1.0994999999999999</v>
      </c>
      <c r="S409" s="20">
        <v>1.1528</v>
      </c>
      <c r="T409" s="20">
        <v>1.2051000000000001</v>
      </c>
      <c r="U409" s="20">
        <v>1.2564</v>
      </c>
      <c r="V409" s="20">
        <v>1.3068</v>
      </c>
      <c r="W409"/>
      <c r="X409"/>
      <c r="Y409"/>
      <c r="Z409"/>
    </row>
    <row r="410" spans="1:26" x14ac:dyDescent="0.2">
      <c r="A410" s="19">
        <v>0.40400000000000003</v>
      </c>
      <c r="B410" s="20">
        <v>0</v>
      </c>
      <c r="C410" s="20">
        <v>9.0800000000000006E-2</v>
      </c>
      <c r="D410" s="20">
        <v>0.1772</v>
      </c>
      <c r="E410" s="20">
        <v>0.25979999999999998</v>
      </c>
      <c r="F410" s="20">
        <v>0.33889999999999998</v>
      </c>
      <c r="G410" s="20">
        <v>0.41460000000000002</v>
      </c>
      <c r="H410" s="20">
        <v>0.4874</v>
      </c>
      <c r="I410" s="20">
        <v>0.5575</v>
      </c>
      <c r="J410" s="20">
        <v>0.62509999999999999</v>
      </c>
      <c r="K410" s="20">
        <v>0.6905</v>
      </c>
      <c r="L410" s="20">
        <v>0.75390000000000001</v>
      </c>
      <c r="M410" s="20">
        <v>0.81530000000000002</v>
      </c>
      <c r="N410" s="20">
        <v>0.87509999999999999</v>
      </c>
      <c r="O410" s="20">
        <v>0.93340000000000001</v>
      </c>
      <c r="P410" s="20">
        <v>0.99029999999999996</v>
      </c>
      <c r="Q410" s="20">
        <v>1.0458000000000001</v>
      </c>
      <c r="R410" s="20">
        <v>1.1002000000000001</v>
      </c>
      <c r="S410" s="20">
        <v>1.1535</v>
      </c>
      <c r="T410" s="20">
        <v>1.2057</v>
      </c>
      <c r="U410" s="20">
        <v>1.2569999999999999</v>
      </c>
      <c r="V410" s="20">
        <v>1.3075000000000001</v>
      </c>
      <c r="W410"/>
      <c r="X410"/>
      <c r="Y410"/>
      <c r="Z410"/>
    </row>
    <row r="411" spans="1:26" x14ac:dyDescent="0.2">
      <c r="A411" s="19">
        <v>0.40500000000000003</v>
      </c>
      <c r="B411" s="20">
        <v>0</v>
      </c>
      <c r="C411" s="20">
        <v>9.0800000000000006E-2</v>
      </c>
      <c r="D411" s="20">
        <v>0.1774</v>
      </c>
      <c r="E411" s="20">
        <v>0.26</v>
      </c>
      <c r="F411" s="20">
        <v>0.33910000000000001</v>
      </c>
      <c r="G411" s="20">
        <v>0.41489999999999999</v>
      </c>
      <c r="H411" s="20">
        <v>0.48780000000000001</v>
      </c>
      <c r="I411" s="20">
        <v>0.55789999999999995</v>
      </c>
      <c r="J411" s="20">
        <v>0.62560000000000004</v>
      </c>
      <c r="K411" s="20">
        <v>0.69099999999999995</v>
      </c>
      <c r="L411" s="20">
        <v>0.75439999999999996</v>
      </c>
      <c r="M411" s="20">
        <v>0.81589999999999996</v>
      </c>
      <c r="N411" s="20">
        <v>0.87570000000000003</v>
      </c>
      <c r="O411" s="20">
        <v>0.93400000000000005</v>
      </c>
      <c r="P411" s="20">
        <v>0.9909</v>
      </c>
      <c r="Q411" s="20">
        <v>1.0464</v>
      </c>
      <c r="R411" s="20">
        <v>1.1008</v>
      </c>
      <c r="S411" s="20">
        <v>1.1540999999999999</v>
      </c>
      <c r="T411" s="20">
        <v>1.2063999999999999</v>
      </c>
      <c r="U411" s="20">
        <v>1.2577</v>
      </c>
      <c r="V411" s="20">
        <v>1.3081</v>
      </c>
      <c r="W411"/>
      <c r="X411"/>
      <c r="Y411"/>
      <c r="Z411"/>
    </row>
    <row r="412" spans="1:26" x14ac:dyDescent="0.2">
      <c r="A412" s="19">
        <v>0.40600000000000003</v>
      </c>
      <c r="B412" s="20">
        <v>0</v>
      </c>
      <c r="C412" s="20">
        <v>9.0899999999999995E-2</v>
      </c>
      <c r="D412" s="20">
        <v>0.17749999999999999</v>
      </c>
      <c r="E412" s="20">
        <v>0.26019999999999999</v>
      </c>
      <c r="F412" s="20">
        <v>0.33929999999999999</v>
      </c>
      <c r="G412" s="20">
        <v>0.41520000000000001</v>
      </c>
      <c r="H412" s="20">
        <v>0.48809999999999998</v>
      </c>
      <c r="I412" s="20">
        <v>0.55830000000000002</v>
      </c>
      <c r="J412" s="20">
        <v>0.626</v>
      </c>
      <c r="K412" s="20">
        <v>0.6915</v>
      </c>
      <c r="L412" s="20">
        <v>0.75490000000000002</v>
      </c>
      <c r="M412" s="20">
        <v>0.81640000000000001</v>
      </c>
      <c r="N412" s="20">
        <v>0.87629999999999997</v>
      </c>
      <c r="O412" s="20">
        <v>0.93459999999999999</v>
      </c>
      <c r="P412" s="20">
        <v>0.99150000000000005</v>
      </c>
      <c r="Q412" s="20">
        <v>1.0470999999999999</v>
      </c>
      <c r="R412" s="20">
        <v>1.1014999999999999</v>
      </c>
      <c r="S412" s="20">
        <v>1.1548</v>
      </c>
      <c r="T412" s="20">
        <v>1.2070000000000001</v>
      </c>
      <c r="U412" s="20">
        <v>1.2584</v>
      </c>
      <c r="V412" s="20">
        <v>1.3088</v>
      </c>
      <c r="W412"/>
      <c r="X412"/>
      <c r="Y412"/>
      <c r="Z412"/>
    </row>
    <row r="413" spans="1:26" x14ac:dyDescent="0.2">
      <c r="A413" s="19">
        <v>0.40699999999999997</v>
      </c>
      <c r="B413" s="20">
        <v>0</v>
      </c>
      <c r="C413" s="20">
        <v>9.0999999999999998E-2</v>
      </c>
      <c r="D413" s="20">
        <v>0.17760000000000001</v>
      </c>
      <c r="E413" s="20">
        <v>0.26040000000000002</v>
      </c>
      <c r="F413" s="20">
        <v>0.33960000000000001</v>
      </c>
      <c r="G413" s="20">
        <v>0.41549999999999998</v>
      </c>
      <c r="H413" s="20">
        <v>0.4884</v>
      </c>
      <c r="I413" s="20">
        <v>0.55869999999999997</v>
      </c>
      <c r="J413" s="20">
        <v>0.62639999999999996</v>
      </c>
      <c r="K413" s="20">
        <v>0.69189999999999996</v>
      </c>
      <c r="L413" s="20">
        <v>0.75539999999999996</v>
      </c>
      <c r="M413" s="20">
        <v>0.81699999999999995</v>
      </c>
      <c r="N413" s="20">
        <v>0.87680000000000002</v>
      </c>
      <c r="O413" s="20">
        <v>0.93520000000000003</v>
      </c>
      <c r="P413" s="20">
        <v>0.99209999999999998</v>
      </c>
      <c r="Q413" s="20">
        <v>1.0477000000000001</v>
      </c>
      <c r="R413" s="20">
        <v>1.1021000000000001</v>
      </c>
      <c r="S413" s="20">
        <v>1.1554</v>
      </c>
      <c r="T413" s="20">
        <v>1.2077</v>
      </c>
      <c r="U413" s="20">
        <v>1.2589999999999999</v>
      </c>
      <c r="V413" s="20">
        <v>1.3093999999999999</v>
      </c>
      <c r="W413"/>
      <c r="X413"/>
      <c r="Y413"/>
      <c r="Z413"/>
    </row>
    <row r="414" spans="1:26" x14ac:dyDescent="0.2">
      <c r="A414" s="19">
        <v>0.40799999999999997</v>
      </c>
      <c r="B414" s="20">
        <v>0</v>
      </c>
      <c r="C414" s="20">
        <v>9.0999999999999998E-2</v>
      </c>
      <c r="D414" s="20">
        <v>0.17780000000000001</v>
      </c>
      <c r="E414" s="20">
        <v>0.2606</v>
      </c>
      <c r="F414" s="20">
        <v>0.33979999999999999</v>
      </c>
      <c r="G414" s="20">
        <v>0.4158</v>
      </c>
      <c r="H414" s="20">
        <v>0.48880000000000001</v>
      </c>
      <c r="I414" s="20">
        <v>0.55910000000000004</v>
      </c>
      <c r="J414" s="20">
        <v>0.62690000000000001</v>
      </c>
      <c r="K414" s="20">
        <v>0.69240000000000002</v>
      </c>
      <c r="L414" s="20">
        <v>0.75590000000000002</v>
      </c>
      <c r="M414" s="20">
        <v>0.8175</v>
      </c>
      <c r="N414" s="20">
        <v>0.87739999999999996</v>
      </c>
      <c r="O414" s="20">
        <v>0.93569999999999998</v>
      </c>
      <c r="P414" s="20">
        <v>0.99270000000000003</v>
      </c>
      <c r="Q414" s="20">
        <v>1.0483</v>
      </c>
      <c r="R414" s="20">
        <v>1.1027</v>
      </c>
      <c r="S414" s="20">
        <v>1.1560999999999999</v>
      </c>
      <c r="T414" s="20">
        <v>1.2082999999999999</v>
      </c>
      <c r="U414" s="20">
        <v>1.2597</v>
      </c>
      <c r="V414" s="20">
        <v>1.3101</v>
      </c>
      <c r="W414"/>
      <c r="X414"/>
      <c r="Y414"/>
      <c r="Z414"/>
    </row>
    <row r="415" spans="1:26" x14ac:dyDescent="0.2">
      <c r="A415" s="19">
        <v>0.40899999999999997</v>
      </c>
      <c r="B415" s="20">
        <v>0</v>
      </c>
      <c r="C415" s="20">
        <v>9.11E-2</v>
      </c>
      <c r="D415" s="20">
        <v>0.1779</v>
      </c>
      <c r="E415" s="20">
        <v>0.26079999999999998</v>
      </c>
      <c r="F415" s="20">
        <v>0.34010000000000001</v>
      </c>
      <c r="G415" s="20">
        <v>0.41610000000000003</v>
      </c>
      <c r="H415" s="20">
        <v>0.48909999999999998</v>
      </c>
      <c r="I415" s="20">
        <v>0.5595</v>
      </c>
      <c r="J415" s="20">
        <v>0.62729999999999997</v>
      </c>
      <c r="K415" s="20">
        <v>0.69289999999999996</v>
      </c>
      <c r="L415" s="20">
        <v>0.75639999999999996</v>
      </c>
      <c r="M415" s="20">
        <v>0.81799999999999995</v>
      </c>
      <c r="N415" s="20">
        <v>0.878</v>
      </c>
      <c r="O415" s="20">
        <v>0.93630000000000002</v>
      </c>
      <c r="P415" s="20">
        <v>0.99329999999999996</v>
      </c>
      <c r="Q415" s="20">
        <v>1.0488999999999999</v>
      </c>
      <c r="R415" s="20">
        <v>1.1033999999999999</v>
      </c>
      <c r="S415" s="20">
        <v>1.1567000000000001</v>
      </c>
      <c r="T415" s="20">
        <v>1.2090000000000001</v>
      </c>
      <c r="U415" s="20">
        <v>1.2603</v>
      </c>
      <c r="V415" s="20">
        <v>1.3108</v>
      </c>
      <c r="W415"/>
      <c r="X415"/>
      <c r="Y415"/>
      <c r="Z415"/>
    </row>
    <row r="416" spans="1:26" x14ac:dyDescent="0.2">
      <c r="A416" s="19">
        <v>0.41</v>
      </c>
      <c r="B416" s="20">
        <v>0</v>
      </c>
      <c r="C416" s="20">
        <v>9.1200000000000003E-2</v>
      </c>
      <c r="D416" s="20">
        <v>0.17799999999999999</v>
      </c>
      <c r="E416" s="20">
        <v>0.26100000000000001</v>
      </c>
      <c r="F416" s="20">
        <v>0.34029999999999999</v>
      </c>
      <c r="G416" s="20">
        <v>0.41639999999999999</v>
      </c>
      <c r="H416" s="20">
        <v>0.48949999999999999</v>
      </c>
      <c r="I416" s="20">
        <v>0.55979999999999996</v>
      </c>
      <c r="J416" s="20">
        <v>0.62770000000000004</v>
      </c>
      <c r="K416" s="20">
        <v>0.69330000000000003</v>
      </c>
      <c r="L416" s="20">
        <v>0.75690000000000002</v>
      </c>
      <c r="M416" s="20">
        <v>0.81859999999999999</v>
      </c>
      <c r="N416" s="20">
        <v>0.87849999999999995</v>
      </c>
      <c r="O416" s="20">
        <v>0.93689999999999996</v>
      </c>
      <c r="P416" s="20">
        <v>0.99390000000000001</v>
      </c>
      <c r="Q416" s="20">
        <v>1.0495000000000001</v>
      </c>
      <c r="R416" s="20">
        <v>1.1040000000000001</v>
      </c>
      <c r="S416" s="20">
        <v>1.1573</v>
      </c>
      <c r="T416" s="20">
        <v>1.2096</v>
      </c>
      <c r="U416" s="20">
        <v>1.2609999999999999</v>
      </c>
      <c r="V416" s="20">
        <v>1.3113999999999999</v>
      </c>
      <c r="W416"/>
      <c r="X416"/>
      <c r="Y416"/>
      <c r="Z416"/>
    </row>
    <row r="417" spans="1:26" x14ac:dyDescent="0.2">
      <c r="A417" s="19">
        <v>0.41099999999999998</v>
      </c>
      <c r="B417" s="20">
        <v>0</v>
      </c>
      <c r="C417" s="20">
        <v>9.1200000000000003E-2</v>
      </c>
      <c r="D417" s="20">
        <v>0.17810000000000001</v>
      </c>
      <c r="E417" s="20">
        <v>0.2611</v>
      </c>
      <c r="F417" s="20">
        <v>0.34060000000000001</v>
      </c>
      <c r="G417" s="20">
        <v>0.41670000000000001</v>
      </c>
      <c r="H417" s="20">
        <v>0.48980000000000001</v>
      </c>
      <c r="I417" s="20">
        <v>0.56020000000000003</v>
      </c>
      <c r="J417" s="20">
        <v>0.62809999999999999</v>
      </c>
      <c r="K417" s="20">
        <v>0.69379999999999997</v>
      </c>
      <c r="L417" s="20">
        <v>0.75739999999999996</v>
      </c>
      <c r="M417" s="20">
        <v>0.81910000000000005</v>
      </c>
      <c r="N417" s="20">
        <v>0.87909999999999999</v>
      </c>
      <c r="O417" s="20">
        <v>0.9375</v>
      </c>
      <c r="P417" s="20">
        <v>0.99450000000000005</v>
      </c>
      <c r="Q417" s="20">
        <v>1.0502</v>
      </c>
      <c r="R417" s="20">
        <v>1.1046</v>
      </c>
      <c r="S417" s="20">
        <v>1.1579999999999999</v>
      </c>
      <c r="T417" s="20">
        <v>1.2102999999999999</v>
      </c>
      <c r="U417" s="20">
        <v>1.2616000000000001</v>
      </c>
      <c r="V417" s="20">
        <v>1.3121</v>
      </c>
      <c r="W417"/>
      <c r="X417"/>
      <c r="Y417"/>
      <c r="Z417"/>
    </row>
    <row r="418" spans="1:26" x14ac:dyDescent="0.2">
      <c r="A418" s="19">
        <v>0.41199999999999998</v>
      </c>
      <c r="B418" s="20">
        <v>0</v>
      </c>
      <c r="C418" s="20">
        <v>9.1300000000000006E-2</v>
      </c>
      <c r="D418" s="20">
        <v>0.17829999999999999</v>
      </c>
      <c r="E418" s="20">
        <v>0.26129999999999998</v>
      </c>
      <c r="F418" s="20">
        <v>0.34079999999999999</v>
      </c>
      <c r="G418" s="20">
        <v>0.41699999999999998</v>
      </c>
      <c r="H418" s="20">
        <v>0.49020000000000002</v>
      </c>
      <c r="I418" s="20">
        <v>0.56059999999999999</v>
      </c>
      <c r="J418" s="20">
        <v>0.62860000000000005</v>
      </c>
      <c r="K418" s="20">
        <v>0.69430000000000003</v>
      </c>
      <c r="L418" s="20">
        <v>0.75790000000000002</v>
      </c>
      <c r="M418" s="20">
        <v>0.8196</v>
      </c>
      <c r="N418" s="20">
        <v>0.87960000000000005</v>
      </c>
      <c r="O418" s="20">
        <v>0.93810000000000004</v>
      </c>
      <c r="P418" s="20">
        <v>0.99509999999999998</v>
      </c>
      <c r="Q418" s="20">
        <v>1.0508</v>
      </c>
      <c r="R418" s="20">
        <v>1.1052999999999999</v>
      </c>
      <c r="S418" s="20">
        <v>1.1586000000000001</v>
      </c>
      <c r="T418" s="20">
        <v>1.2109000000000001</v>
      </c>
      <c r="U418" s="20">
        <v>1.2623</v>
      </c>
      <c r="V418" s="20">
        <v>1.3127</v>
      </c>
      <c r="W418"/>
      <c r="X418"/>
      <c r="Y418"/>
      <c r="Z418"/>
    </row>
    <row r="419" spans="1:26" x14ac:dyDescent="0.2">
      <c r="A419" s="19">
        <v>0.41299999999999998</v>
      </c>
      <c r="B419" s="20">
        <v>0</v>
      </c>
      <c r="C419" s="20">
        <v>9.1300000000000006E-2</v>
      </c>
      <c r="D419" s="20">
        <v>0.1784</v>
      </c>
      <c r="E419" s="20">
        <v>0.26150000000000001</v>
      </c>
      <c r="F419" s="20">
        <v>0.34100000000000003</v>
      </c>
      <c r="G419" s="20">
        <v>0.4173</v>
      </c>
      <c r="H419" s="20">
        <v>0.49049999999999999</v>
      </c>
      <c r="I419" s="20">
        <v>0.56100000000000005</v>
      </c>
      <c r="J419" s="20">
        <v>0.629</v>
      </c>
      <c r="K419" s="20">
        <v>0.69469999999999998</v>
      </c>
      <c r="L419" s="20">
        <v>0.75839999999999996</v>
      </c>
      <c r="M419" s="20">
        <v>0.82010000000000005</v>
      </c>
      <c r="N419" s="20">
        <v>0.88019999999999998</v>
      </c>
      <c r="O419" s="20">
        <v>0.93869999999999998</v>
      </c>
      <c r="P419" s="20">
        <v>0.99570000000000003</v>
      </c>
      <c r="Q419" s="20">
        <v>1.0513999999999999</v>
      </c>
      <c r="R419" s="20">
        <v>1.1059000000000001</v>
      </c>
      <c r="S419" s="20">
        <v>1.1593</v>
      </c>
      <c r="T419" s="20">
        <v>1.2116</v>
      </c>
      <c r="U419" s="20">
        <v>1.2628999999999999</v>
      </c>
      <c r="V419" s="20">
        <v>1.3133999999999999</v>
      </c>
      <c r="W419"/>
      <c r="X419"/>
      <c r="Y419"/>
      <c r="Z419"/>
    </row>
    <row r="420" spans="1:26" x14ac:dyDescent="0.2">
      <c r="A420" s="19">
        <v>0.41399999999999998</v>
      </c>
      <c r="B420" s="20">
        <v>0</v>
      </c>
      <c r="C420" s="20">
        <v>9.1399999999999995E-2</v>
      </c>
      <c r="D420" s="20">
        <v>0.17849999999999999</v>
      </c>
      <c r="E420" s="20">
        <v>0.26169999999999999</v>
      </c>
      <c r="F420" s="20">
        <v>0.34129999999999999</v>
      </c>
      <c r="G420" s="20">
        <v>0.41760000000000003</v>
      </c>
      <c r="H420" s="20">
        <v>0.4909</v>
      </c>
      <c r="I420" s="20">
        <v>0.56140000000000001</v>
      </c>
      <c r="J420" s="20">
        <v>0.62939999999999996</v>
      </c>
      <c r="K420" s="20">
        <v>0.69520000000000004</v>
      </c>
      <c r="L420" s="20">
        <v>0.75890000000000002</v>
      </c>
      <c r="M420" s="20">
        <v>0.82069999999999999</v>
      </c>
      <c r="N420" s="20">
        <v>0.88070000000000004</v>
      </c>
      <c r="O420" s="20">
        <v>0.93920000000000003</v>
      </c>
      <c r="P420" s="20">
        <v>0.99629999999999996</v>
      </c>
      <c r="Q420" s="20">
        <v>1.052</v>
      </c>
      <c r="R420" s="20">
        <v>1.1065</v>
      </c>
      <c r="S420" s="20">
        <v>1.1598999999999999</v>
      </c>
      <c r="T420" s="20">
        <v>1.2121999999999999</v>
      </c>
      <c r="U420" s="20">
        <v>1.2636000000000001</v>
      </c>
      <c r="V420" s="20">
        <v>1.3140000000000001</v>
      </c>
      <c r="W420"/>
      <c r="X420"/>
      <c r="Y420"/>
      <c r="Z420"/>
    </row>
    <row r="421" spans="1:26" x14ac:dyDescent="0.2">
      <c r="A421" s="19">
        <v>0.41499999999999998</v>
      </c>
      <c r="B421" s="20">
        <v>0</v>
      </c>
      <c r="C421" s="20">
        <v>9.1499999999999998E-2</v>
      </c>
      <c r="D421" s="20">
        <v>0.1787</v>
      </c>
      <c r="E421" s="20">
        <v>0.26190000000000002</v>
      </c>
      <c r="F421" s="20">
        <v>0.34150000000000003</v>
      </c>
      <c r="G421" s="20">
        <v>0.41789999999999999</v>
      </c>
      <c r="H421" s="20">
        <v>0.49120000000000003</v>
      </c>
      <c r="I421" s="20">
        <v>0.56179999999999997</v>
      </c>
      <c r="J421" s="20">
        <v>0.62990000000000002</v>
      </c>
      <c r="K421" s="20">
        <v>0.69569999999999999</v>
      </c>
      <c r="L421" s="20">
        <v>0.75939999999999996</v>
      </c>
      <c r="M421" s="20">
        <v>0.82120000000000004</v>
      </c>
      <c r="N421" s="20">
        <v>0.88129999999999997</v>
      </c>
      <c r="O421" s="20">
        <v>0.93979999999999997</v>
      </c>
      <c r="P421" s="20">
        <v>0.99690000000000001</v>
      </c>
      <c r="Q421" s="20">
        <v>1.0526</v>
      </c>
      <c r="R421" s="20">
        <v>1.1071</v>
      </c>
      <c r="S421" s="20">
        <v>1.1605000000000001</v>
      </c>
      <c r="T421" s="20">
        <v>1.2129000000000001</v>
      </c>
      <c r="U421" s="20">
        <v>1.2642</v>
      </c>
      <c r="V421" s="20">
        <v>1.3147</v>
      </c>
      <c r="W421"/>
      <c r="X421"/>
      <c r="Y421"/>
      <c r="Z421"/>
    </row>
    <row r="422" spans="1:26" x14ac:dyDescent="0.2">
      <c r="A422" s="19">
        <v>0.41599999999999998</v>
      </c>
      <c r="B422" s="20">
        <v>0</v>
      </c>
      <c r="C422" s="20">
        <v>9.1499999999999998E-2</v>
      </c>
      <c r="D422" s="20">
        <v>0.17879999999999999</v>
      </c>
      <c r="E422" s="20">
        <v>0.2621</v>
      </c>
      <c r="F422" s="20">
        <v>0.34179999999999999</v>
      </c>
      <c r="G422" s="20">
        <v>0.41820000000000002</v>
      </c>
      <c r="H422" s="20">
        <v>0.49149999999999999</v>
      </c>
      <c r="I422" s="20">
        <v>0.56220000000000003</v>
      </c>
      <c r="J422" s="20">
        <v>0.63029999999999997</v>
      </c>
      <c r="K422" s="20">
        <v>0.69610000000000005</v>
      </c>
      <c r="L422" s="20">
        <v>0.75990000000000002</v>
      </c>
      <c r="M422" s="20">
        <v>0.82169999999999999</v>
      </c>
      <c r="N422" s="20">
        <v>0.88180000000000003</v>
      </c>
      <c r="O422" s="20">
        <v>0.94040000000000001</v>
      </c>
      <c r="P422" s="20">
        <v>0.99750000000000005</v>
      </c>
      <c r="Q422" s="20">
        <v>1.0531999999999999</v>
      </c>
      <c r="R422" s="20">
        <v>1.1077999999999999</v>
      </c>
      <c r="S422" s="20">
        <v>1.1612</v>
      </c>
      <c r="T422" s="20">
        <v>1.2135</v>
      </c>
      <c r="U422" s="20">
        <v>1.2648999999999999</v>
      </c>
      <c r="V422" s="20">
        <v>1.3152999999999999</v>
      </c>
      <c r="W422"/>
      <c r="X422"/>
      <c r="Y422"/>
      <c r="Z422"/>
    </row>
    <row r="423" spans="1:26" x14ac:dyDescent="0.2">
      <c r="A423" s="19">
        <v>0.41699999999999998</v>
      </c>
      <c r="B423" s="20">
        <v>0</v>
      </c>
      <c r="C423" s="20">
        <v>9.1600000000000001E-2</v>
      </c>
      <c r="D423" s="20">
        <v>0.1789</v>
      </c>
      <c r="E423" s="20">
        <v>0.26229999999999998</v>
      </c>
      <c r="F423" s="20">
        <v>0.34200000000000003</v>
      </c>
      <c r="G423" s="20">
        <v>0.41849999999999998</v>
      </c>
      <c r="H423" s="20">
        <v>0.4919</v>
      </c>
      <c r="I423" s="20">
        <v>0.5625</v>
      </c>
      <c r="J423" s="20">
        <v>0.63070000000000004</v>
      </c>
      <c r="K423" s="20">
        <v>0.6966</v>
      </c>
      <c r="L423" s="20">
        <v>0.76039999999999996</v>
      </c>
      <c r="M423" s="20">
        <v>0.82230000000000003</v>
      </c>
      <c r="N423" s="20">
        <v>0.88239999999999996</v>
      </c>
      <c r="O423" s="20">
        <v>0.94099999999999995</v>
      </c>
      <c r="P423" s="20">
        <v>0.99809999999999999</v>
      </c>
      <c r="Q423" s="20">
        <v>1.0539000000000001</v>
      </c>
      <c r="R423" s="20">
        <v>1.1084000000000001</v>
      </c>
      <c r="S423" s="20">
        <v>1.1617999999999999</v>
      </c>
      <c r="T423" s="20">
        <v>1.2141999999999999</v>
      </c>
      <c r="U423" s="20">
        <v>1.2655000000000001</v>
      </c>
      <c r="V423" s="20">
        <v>1.3160000000000001</v>
      </c>
      <c r="W423"/>
      <c r="X423"/>
      <c r="Y423"/>
      <c r="Z423"/>
    </row>
    <row r="424" spans="1:26" x14ac:dyDescent="0.2">
      <c r="A424" s="19">
        <v>0.41799999999999998</v>
      </c>
      <c r="B424" s="20">
        <v>0</v>
      </c>
      <c r="C424" s="20">
        <v>9.1700000000000004E-2</v>
      </c>
      <c r="D424" s="20">
        <v>0.17899999999999999</v>
      </c>
      <c r="E424" s="20">
        <v>0.26250000000000001</v>
      </c>
      <c r="F424" s="20">
        <v>0.34229999999999999</v>
      </c>
      <c r="G424" s="20">
        <v>0.41870000000000002</v>
      </c>
      <c r="H424" s="20">
        <v>0.49220000000000003</v>
      </c>
      <c r="I424" s="20">
        <v>0.56289999999999996</v>
      </c>
      <c r="J424" s="20">
        <v>0.63109999999999999</v>
      </c>
      <c r="K424" s="20">
        <v>0.69699999999999995</v>
      </c>
      <c r="L424" s="20">
        <v>0.76090000000000002</v>
      </c>
      <c r="M424" s="20">
        <v>0.82279999999999998</v>
      </c>
      <c r="N424" s="20">
        <v>0.88300000000000001</v>
      </c>
      <c r="O424" s="20">
        <v>0.9415</v>
      </c>
      <c r="P424" s="20">
        <v>0.99870000000000003</v>
      </c>
      <c r="Q424" s="20">
        <v>1.0545</v>
      </c>
      <c r="R424" s="20">
        <v>1.109</v>
      </c>
      <c r="S424" s="20">
        <v>1.1624000000000001</v>
      </c>
      <c r="T424" s="20">
        <v>1.2148000000000001</v>
      </c>
      <c r="U424" s="20">
        <v>1.2662</v>
      </c>
      <c r="V424" s="20">
        <v>1.3166</v>
      </c>
      <c r="W424"/>
      <c r="X424"/>
      <c r="Y424"/>
      <c r="Z424"/>
    </row>
    <row r="425" spans="1:26" x14ac:dyDescent="0.2">
      <c r="A425" s="19">
        <v>0.41899999999999998</v>
      </c>
      <c r="B425" s="20">
        <v>0</v>
      </c>
      <c r="C425" s="20">
        <v>9.1700000000000004E-2</v>
      </c>
      <c r="D425" s="20">
        <v>0.1792</v>
      </c>
      <c r="E425" s="20">
        <v>0.2626</v>
      </c>
      <c r="F425" s="20">
        <v>0.34250000000000003</v>
      </c>
      <c r="G425" s="20">
        <v>0.41899999999999998</v>
      </c>
      <c r="H425" s="20">
        <v>0.49259999999999998</v>
      </c>
      <c r="I425" s="20">
        <v>0.56330000000000002</v>
      </c>
      <c r="J425" s="20">
        <v>0.63160000000000005</v>
      </c>
      <c r="K425" s="20">
        <v>0.69750000000000001</v>
      </c>
      <c r="L425" s="20">
        <v>0.76139999999999997</v>
      </c>
      <c r="M425" s="20">
        <v>0.82330000000000003</v>
      </c>
      <c r="N425" s="20">
        <v>0.88349999999999995</v>
      </c>
      <c r="O425" s="20">
        <v>0.94210000000000005</v>
      </c>
      <c r="P425" s="20">
        <v>0.99929999999999997</v>
      </c>
      <c r="Q425" s="20">
        <v>1.0550999999999999</v>
      </c>
      <c r="R425" s="20">
        <v>1.1095999999999999</v>
      </c>
      <c r="S425" s="20">
        <v>1.1631</v>
      </c>
      <c r="T425" s="20">
        <v>1.2155</v>
      </c>
      <c r="U425" s="20">
        <v>1.2667999999999999</v>
      </c>
      <c r="V425" s="20">
        <v>1.3172999999999999</v>
      </c>
      <c r="W425"/>
      <c r="X425"/>
      <c r="Y425"/>
      <c r="Z425"/>
    </row>
    <row r="426" spans="1:26" x14ac:dyDescent="0.2">
      <c r="A426" s="19">
        <v>0.42</v>
      </c>
      <c r="B426" s="20">
        <v>0</v>
      </c>
      <c r="C426" s="20">
        <v>9.1800000000000007E-2</v>
      </c>
      <c r="D426" s="20">
        <v>0.17929999999999999</v>
      </c>
      <c r="E426" s="20">
        <v>0.26279999999999998</v>
      </c>
      <c r="F426" s="20">
        <v>0.3427</v>
      </c>
      <c r="G426" s="20">
        <v>0.41930000000000001</v>
      </c>
      <c r="H426" s="20">
        <v>0.4929</v>
      </c>
      <c r="I426" s="20">
        <v>0.56369999999999998</v>
      </c>
      <c r="J426" s="20">
        <v>0.63200000000000001</v>
      </c>
      <c r="K426" s="20">
        <v>0.69799999999999995</v>
      </c>
      <c r="L426" s="20">
        <v>0.76190000000000002</v>
      </c>
      <c r="M426" s="20">
        <v>0.82379999999999998</v>
      </c>
      <c r="N426" s="20">
        <v>0.8841</v>
      </c>
      <c r="O426" s="20">
        <v>0.94269999999999998</v>
      </c>
      <c r="P426" s="20">
        <v>0.99990000000000001</v>
      </c>
      <c r="Q426" s="20">
        <v>1.0557000000000001</v>
      </c>
      <c r="R426" s="20">
        <v>1.1103000000000001</v>
      </c>
      <c r="S426" s="20">
        <v>1.1637</v>
      </c>
      <c r="T426" s="20">
        <v>1.2161</v>
      </c>
      <c r="U426" s="20">
        <v>1.2675000000000001</v>
      </c>
      <c r="V426" s="20">
        <v>1.3179000000000001</v>
      </c>
      <c r="W426"/>
      <c r="X426"/>
      <c r="Y426"/>
      <c r="Z426"/>
    </row>
    <row r="427" spans="1:26" x14ac:dyDescent="0.2">
      <c r="A427" s="19">
        <v>0.42099999999999999</v>
      </c>
      <c r="B427" s="20">
        <v>0</v>
      </c>
      <c r="C427" s="20">
        <v>9.1899999999999996E-2</v>
      </c>
      <c r="D427" s="20">
        <v>0.1794</v>
      </c>
      <c r="E427" s="20">
        <v>0.26300000000000001</v>
      </c>
      <c r="F427" s="20">
        <v>0.34300000000000003</v>
      </c>
      <c r="G427" s="20">
        <v>0.41959999999999997</v>
      </c>
      <c r="H427" s="20">
        <v>0.49320000000000003</v>
      </c>
      <c r="I427" s="20">
        <v>0.56410000000000005</v>
      </c>
      <c r="J427" s="20">
        <v>0.63239999999999996</v>
      </c>
      <c r="K427" s="20">
        <v>0.69840000000000002</v>
      </c>
      <c r="L427" s="20">
        <v>0.76229999999999998</v>
      </c>
      <c r="M427" s="20">
        <v>0.82440000000000002</v>
      </c>
      <c r="N427" s="20">
        <v>0.88460000000000005</v>
      </c>
      <c r="O427" s="20">
        <v>0.94330000000000003</v>
      </c>
      <c r="P427" s="20">
        <v>1.0004</v>
      </c>
      <c r="Q427" s="20">
        <v>1.0563</v>
      </c>
      <c r="R427" s="20">
        <v>1.1109</v>
      </c>
      <c r="S427" s="20">
        <v>1.1642999999999999</v>
      </c>
      <c r="T427" s="20">
        <v>1.2166999999999999</v>
      </c>
      <c r="U427" s="20">
        <v>1.2681</v>
      </c>
      <c r="V427" s="20">
        <v>1.3186</v>
      </c>
      <c r="W427"/>
      <c r="X427"/>
      <c r="Y427"/>
      <c r="Z427"/>
    </row>
    <row r="428" spans="1:26" x14ac:dyDescent="0.2">
      <c r="A428" s="19">
        <v>0.42199999999999999</v>
      </c>
      <c r="B428" s="20">
        <v>0</v>
      </c>
      <c r="C428" s="20">
        <v>9.1899999999999996E-2</v>
      </c>
      <c r="D428" s="20">
        <v>0.17949999999999999</v>
      </c>
      <c r="E428" s="20">
        <v>0.26319999999999999</v>
      </c>
      <c r="F428" s="20">
        <v>0.34320000000000001</v>
      </c>
      <c r="G428" s="20">
        <v>0.4199</v>
      </c>
      <c r="H428" s="20">
        <v>0.49359999999999998</v>
      </c>
      <c r="I428" s="20">
        <v>0.5645</v>
      </c>
      <c r="J428" s="20">
        <v>0.63280000000000003</v>
      </c>
      <c r="K428" s="20">
        <v>0.69889999999999997</v>
      </c>
      <c r="L428" s="20">
        <v>0.76280000000000003</v>
      </c>
      <c r="M428" s="20">
        <v>0.82489999999999997</v>
      </c>
      <c r="N428" s="20">
        <v>0.88519999999999999</v>
      </c>
      <c r="O428" s="20">
        <v>0.94379999999999997</v>
      </c>
      <c r="P428" s="20">
        <v>1.0009999999999999</v>
      </c>
      <c r="Q428" s="20">
        <v>1.0569</v>
      </c>
      <c r="R428" s="20">
        <v>1.1114999999999999</v>
      </c>
      <c r="S428" s="20">
        <v>1.165</v>
      </c>
      <c r="T428" s="20">
        <v>1.2174</v>
      </c>
      <c r="U428" s="20">
        <v>1.2687999999999999</v>
      </c>
      <c r="V428" s="20">
        <v>1.3191999999999999</v>
      </c>
      <c r="W428"/>
      <c r="X428"/>
      <c r="Y428"/>
      <c r="Z428"/>
    </row>
    <row r="429" spans="1:26" x14ac:dyDescent="0.2">
      <c r="A429" s="19">
        <v>0.42299999999999999</v>
      </c>
      <c r="B429" s="20">
        <v>0</v>
      </c>
      <c r="C429" s="20">
        <v>9.1999999999999998E-2</v>
      </c>
      <c r="D429" s="20">
        <v>0.1797</v>
      </c>
      <c r="E429" s="20">
        <v>0.26340000000000002</v>
      </c>
      <c r="F429" s="20">
        <v>0.34339999999999998</v>
      </c>
      <c r="G429" s="20">
        <v>0.42020000000000002</v>
      </c>
      <c r="H429" s="20">
        <v>0.49390000000000001</v>
      </c>
      <c r="I429" s="20">
        <v>0.56479999999999997</v>
      </c>
      <c r="J429" s="20">
        <v>0.63319999999999999</v>
      </c>
      <c r="K429" s="20">
        <v>0.69930000000000003</v>
      </c>
      <c r="L429" s="20">
        <v>0.76329999999999998</v>
      </c>
      <c r="M429" s="20">
        <v>0.82540000000000002</v>
      </c>
      <c r="N429" s="20">
        <v>0.88570000000000004</v>
      </c>
      <c r="O429" s="20">
        <v>0.94440000000000002</v>
      </c>
      <c r="P429" s="20">
        <v>1.0016</v>
      </c>
      <c r="Q429" s="20">
        <v>1.0575000000000001</v>
      </c>
      <c r="R429" s="20">
        <v>1.1121000000000001</v>
      </c>
      <c r="S429" s="20">
        <v>1.1656</v>
      </c>
      <c r="T429" s="20">
        <v>1.218</v>
      </c>
      <c r="U429" s="20">
        <v>1.2694000000000001</v>
      </c>
      <c r="V429" s="20">
        <v>1.3198000000000001</v>
      </c>
      <c r="W429"/>
      <c r="X429"/>
      <c r="Y429"/>
      <c r="Z429"/>
    </row>
    <row r="430" spans="1:26" x14ac:dyDescent="0.2">
      <c r="A430" s="19">
        <v>0.42399999999999999</v>
      </c>
      <c r="B430" s="20">
        <v>0</v>
      </c>
      <c r="C430" s="20">
        <v>9.2100000000000001E-2</v>
      </c>
      <c r="D430" s="20">
        <v>0.17979999999999999</v>
      </c>
      <c r="E430" s="20">
        <v>0.2636</v>
      </c>
      <c r="F430" s="20">
        <v>0.34370000000000001</v>
      </c>
      <c r="G430" s="20">
        <v>0.42049999999999998</v>
      </c>
      <c r="H430" s="20">
        <v>0.49419999999999997</v>
      </c>
      <c r="I430" s="20">
        <v>0.56520000000000004</v>
      </c>
      <c r="J430" s="20">
        <v>0.63370000000000004</v>
      </c>
      <c r="K430" s="20">
        <v>0.69979999999999998</v>
      </c>
      <c r="L430" s="20">
        <v>0.76380000000000003</v>
      </c>
      <c r="M430" s="20">
        <v>0.82589999999999997</v>
      </c>
      <c r="N430" s="20">
        <v>0.88619999999999999</v>
      </c>
      <c r="O430" s="20">
        <v>0.94499999999999995</v>
      </c>
      <c r="P430" s="20">
        <v>1.0022</v>
      </c>
      <c r="Q430" s="20">
        <v>1.0581</v>
      </c>
      <c r="R430" s="20">
        <v>1.1128</v>
      </c>
      <c r="S430" s="20">
        <v>1.1661999999999999</v>
      </c>
      <c r="T430" s="20">
        <v>1.2185999999999999</v>
      </c>
      <c r="U430" s="20">
        <v>1.27</v>
      </c>
      <c r="V430" s="20">
        <v>1.3205</v>
      </c>
      <c r="W430"/>
      <c r="X430"/>
      <c r="Y430"/>
      <c r="Z430"/>
    </row>
    <row r="431" spans="1:26" x14ac:dyDescent="0.2">
      <c r="A431" s="19">
        <v>0.42499999999999999</v>
      </c>
      <c r="B431" s="20">
        <v>0</v>
      </c>
      <c r="C431" s="20">
        <v>9.2100000000000001E-2</v>
      </c>
      <c r="D431" s="20">
        <v>0.1799</v>
      </c>
      <c r="E431" s="20">
        <v>0.26369999999999999</v>
      </c>
      <c r="F431" s="20">
        <v>0.34389999999999998</v>
      </c>
      <c r="G431" s="20">
        <v>0.42080000000000001</v>
      </c>
      <c r="H431" s="20">
        <v>0.49459999999999998</v>
      </c>
      <c r="I431" s="20">
        <v>0.56559999999999999</v>
      </c>
      <c r="J431" s="20">
        <v>0.6341</v>
      </c>
      <c r="K431" s="20">
        <v>0.70030000000000003</v>
      </c>
      <c r="L431" s="20">
        <v>0.76429999999999998</v>
      </c>
      <c r="M431" s="20">
        <v>0.82640000000000002</v>
      </c>
      <c r="N431" s="20">
        <v>0.88680000000000003</v>
      </c>
      <c r="O431" s="20">
        <v>0.94550000000000001</v>
      </c>
      <c r="P431" s="20">
        <v>1.0027999999999999</v>
      </c>
      <c r="Q431" s="20">
        <v>1.0587</v>
      </c>
      <c r="R431" s="20">
        <v>1.1133999999999999</v>
      </c>
      <c r="S431" s="20">
        <v>1.1669</v>
      </c>
      <c r="T431" s="20">
        <v>1.2193000000000001</v>
      </c>
      <c r="U431" s="20">
        <v>1.2706999999999999</v>
      </c>
      <c r="V431" s="20">
        <v>1.3210999999999999</v>
      </c>
      <c r="W431"/>
      <c r="X431"/>
      <c r="Y431"/>
      <c r="Z431"/>
    </row>
    <row r="432" spans="1:26" x14ac:dyDescent="0.2">
      <c r="A432" s="19">
        <v>0.42599999999999999</v>
      </c>
      <c r="B432" s="20">
        <v>0</v>
      </c>
      <c r="C432" s="20">
        <v>9.2200000000000004E-2</v>
      </c>
      <c r="D432" s="20">
        <v>0.18010000000000001</v>
      </c>
      <c r="E432" s="20">
        <v>0.26390000000000002</v>
      </c>
      <c r="F432" s="20">
        <v>0.34420000000000001</v>
      </c>
      <c r="G432" s="20">
        <v>0.42109999999999997</v>
      </c>
      <c r="H432" s="20">
        <v>0.49490000000000001</v>
      </c>
      <c r="I432" s="20">
        <v>0.56599999999999995</v>
      </c>
      <c r="J432" s="20">
        <v>0.63449999999999995</v>
      </c>
      <c r="K432" s="20">
        <v>0.70069999999999999</v>
      </c>
      <c r="L432" s="20">
        <v>0.76480000000000004</v>
      </c>
      <c r="M432" s="20">
        <v>0.82699999999999996</v>
      </c>
      <c r="N432" s="20">
        <v>0.88729999999999998</v>
      </c>
      <c r="O432" s="20">
        <v>0.94610000000000005</v>
      </c>
      <c r="P432" s="20">
        <v>1.0034000000000001</v>
      </c>
      <c r="Q432" s="20">
        <v>1.0592999999999999</v>
      </c>
      <c r="R432" s="20">
        <v>1.1140000000000001</v>
      </c>
      <c r="S432" s="20">
        <v>1.1675</v>
      </c>
      <c r="T432" s="20">
        <v>1.2199</v>
      </c>
      <c r="U432" s="20">
        <v>1.2713000000000001</v>
      </c>
      <c r="V432" s="20">
        <v>1.3218000000000001</v>
      </c>
      <c r="W432"/>
      <c r="X432"/>
      <c r="Y432"/>
      <c r="Z432"/>
    </row>
    <row r="433" spans="1:26" x14ac:dyDescent="0.2">
      <c r="A433" s="19">
        <v>0.42699999999999999</v>
      </c>
      <c r="B433" s="20">
        <v>0</v>
      </c>
      <c r="C433" s="20">
        <v>9.2299999999999993E-2</v>
      </c>
      <c r="D433" s="20">
        <v>0.1802</v>
      </c>
      <c r="E433" s="20">
        <v>0.2641</v>
      </c>
      <c r="F433" s="20">
        <v>0.34439999999999998</v>
      </c>
      <c r="G433" s="20">
        <v>0.4214</v>
      </c>
      <c r="H433" s="20">
        <v>0.49519999999999997</v>
      </c>
      <c r="I433" s="20">
        <v>0.56640000000000001</v>
      </c>
      <c r="J433" s="20">
        <v>0.63490000000000002</v>
      </c>
      <c r="K433" s="20">
        <v>0.70120000000000005</v>
      </c>
      <c r="L433" s="20">
        <v>0.76529999999999998</v>
      </c>
      <c r="M433" s="20">
        <v>0.82750000000000001</v>
      </c>
      <c r="N433" s="20">
        <v>0.88790000000000002</v>
      </c>
      <c r="O433" s="20">
        <v>0.94669999999999999</v>
      </c>
      <c r="P433" s="20">
        <v>1.004</v>
      </c>
      <c r="Q433" s="20">
        <v>1.0599000000000001</v>
      </c>
      <c r="R433" s="20">
        <v>1.1146</v>
      </c>
      <c r="S433" s="20">
        <v>1.1680999999999999</v>
      </c>
      <c r="T433" s="20">
        <v>1.2204999999999999</v>
      </c>
      <c r="U433" s="20">
        <v>1.272</v>
      </c>
      <c r="V433" s="20">
        <v>1.3224</v>
      </c>
      <c r="W433"/>
      <c r="X433"/>
      <c r="Y433"/>
      <c r="Z433"/>
    </row>
    <row r="434" spans="1:26" x14ac:dyDescent="0.2">
      <c r="A434" s="19">
        <v>0.42799999999999999</v>
      </c>
      <c r="B434" s="20">
        <v>0</v>
      </c>
      <c r="C434" s="20">
        <v>9.2299999999999993E-2</v>
      </c>
      <c r="D434" s="20">
        <v>0.18029999999999999</v>
      </c>
      <c r="E434" s="20">
        <v>0.26429999999999998</v>
      </c>
      <c r="F434" s="20">
        <v>0.34460000000000002</v>
      </c>
      <c r="G434" s="20">
        <v>0.42159999999999997</v>
      </c>
      <c r="H434" s="20">
        <v>0.49559999999999998</v>
      </c>
      <c r="I434" s="20">
        <v>0.56669999999999998</v>
      </c>
      <c r="J434" s="20">
        <v>0.63529999999999998</v>
      </c>
      <c r="K434" s="20">
        <v>0.7016</v>
      </c>
      <c r="L434" s="20">
        <v>0.76580000000000004</v>
      </c>
      <c r="M434" s="20">
        <v>0.82799999999999996</v>
      </c>
      <c r="N434" s="20">
        <v>0.88839999999999997</v>
      </c>
      <c r="O434" s="20">
        <v>0.94720000000000004</v>
      </c>
      <c r="P434" s="20">
        <v>1.0045999999999999</v>
      </c>
      <c r="Q434" s="20">
        <v>1.0605</v>
      </c>
      <c r="R434" s="20">
        <v>1.1152</v>
      </c>
      <c r="S434" s="20">
        <v>1.1687000000000001</v>
      </c>
      <c r="T434" s="20">
        <v>1.2212000000000001</v>
      </c>
      <c r="U434" s="20">
        <v>1.2726</v>
      </c>
      <c r="V434" s="20">
        <v>1.323</v>
      </c>
      <c r="W434"/>
      <c r="X434"/>
      <c r="Y434"/>
      <c r="Z434"/>
    </row>
    <row r="435" spans="1:26" x14ac:dyDescent="0.2">
      <c r="A435" s="19">
        <v>0.42899999999999999</v>
      </c>
      <c r="B435" s="20">
        <v>0</v>
      </c>
      <c r="C435" s="20">
        <v>9.2399999999999996E-2</v>
      </c>
      <c r="D435" s="20">
        <v>0.1804</v>
      </c>
      <c r="E435" s="20">
        <v>0.26450000000000001</v>
      </c>
      <c r="F435" s="20">
        <v>0.34489999999999998</v>
      </c>
      <c r="G435" s="20">
        <v>0.4219</v>
      </c>
      <c r="H435" s="20">
        <v>0.49590000000000001</v>
      </c>
      <c r="I435" s="20">
        <v>0.56710000000000005</v>
      </c>
      <c r="J435" s="20">
        <v>0.63580000000000003</v>
      </c>
      <c r="K435" s="20">
        <v>0.70209999999999995</v>
      </c>
      <c r="L435" s="20">
        <v>0.76629999999999998</v>
      </c>
      <c r="M435" s="20">
        <v>0.82850000000000001</v>
      </c>
      <c r="N435" s="20">
        <v>0.88900000000000001</v>
      </c>
      <c r="O435" s="20">
        <v>0.94779999999999998</v>
      </c>
      <c r="P435" s="20">
        <v>1.0052000000000001</v>
      </c>
      <c r="Q435" s="20">
        <v>1.0610999999999999</v>
      </c>
      <c r="R435" s="20">
        <v>1.1157999999999999</v>
      </c>
      <c r="S435" s="20">
        <v>1.1694</v>
      </c>
      <c r="T435" s="20">
        <v>1.2218</v>
      </c>
      <c r="U435" s="20">
        <v>1.2732000000000001</v>
      </c>
      <c r="V435" s="20">
        <v>1.3237000000000001</v>
      </c>
      <c r="W435"/>
      <c r="X435"/>
      <c r="Y435"/>
      <c r="Z435"/>
    </row>
    <row r="436" spans="1:26" x14ac:dyDescent="0.2">
      <c r="A436" s="19">
        <v>0.43</v>
      </c>
      <c r="B436" s="20">
        <v>0</v>
      </c>
      <c r="C436" s="20">
        <v>9.2499999999999999E-2</v>
      </c>
      <c r="D436" s="20">
        <v>0.18060000000000001</v>
      </c>
      <c r="E436" s="20">
        <v>0.26469999999999999</v>
      </c>
      <c r="F436" s="20">
        <v>0.34510000000000002</v>
      </c>
      <c r="G436" s="20">
        <v>0.42220000000000002</v>
      </c>
      <c r="H436" s="20">
        <v>0.49630000000000002</v>
      </c>
      <c r="I436" s="20">
        <v>0.5675</v>
      </c>
      <c r="J436" s="20">
        <v>0.63619999999999999</v>
      </c>
      <c r="K436" s="20">
        <v>0.70250000000000001</v>
      </c>
      <c r="L436" s="20">
        <v>0.76670000000000005</v>
      </c>
      <c r="M436" s="20">
        <v>0.82899999999999996</v>
      </c>
      <c r="N436" s="20">
        <v>0.88949999999999996</v>
      </c>
      <c r="O436" s="20">
        <v>0.94840000000000002</v>
      </c>
      <c r="P436" s="20">
        <v>1.0057</v>
      </c>
      <c r="Q436" s="20">
        <v>1.0617000000000001</v>
      </c>
      <c r="R436" s="20">
        <v>1.1164000000000001</v>
      </c>
      <c r="S436" s="20">
        <v>1.17</v>
      </c>
      <c r="T436" s="20">
        <v>1.2223999999999999</v>
      </c>
      <c r="U436" s="20">
        <v>1.2739</v>
      </c>
      <c r="V436" s="20">
        <v>1.3243</v>
      </c>
      <c r="W436"/>
      <c r="X436"/>
      <c r="Y436"/>
      <c r="Z436"/>
    </row>
    <row r="437" spans="1:26" x14ac:dyDescent="0.2">
      <c r="A437" s="19">
        <v>0.43099999999999999</v>
      </c>
      <c r="B437" s="20">
        <v>0</v>
      </c>
      <c r="C437" s="20">
        <v>9.2499999999999999E-2</v>
      </c>
      <c r="D437" s="20">
        <v>0.1807</v>
      </c>
      <c r="E437" s="20">
        <v>0.26479999999999998</v>
      </c>
      <c r="F437" s="20">
        <v>0.3453</v>
      </c>
      <c r="G437" s="20">
        <v>0.42249999999999999</v>
      </c>
      <c r="H437" s="20">
        <v>0.49659999999999999</v>
      </c>
      <c r="I437" s="20">
        <v>0.56789999999999996</v>
      </c>
      <c r="J437" s="20">
        <v>0.63660000000000005</v>
      </c>
      <c r="K437" s="20">
        <v>0.70299999999999996</v>
      </c>
      <c r="L437" s="20">
        <v>0.76719999999999999</v>
      </c>
      <c r="M437" s="20">
        <v>0.82950000000000002</v>
      </c>
      <c r="N437" s="20">
        <v>0.8901</v>
      </c>
      <c r="O437" s="20">
        <v>0.94889999999999997</v>
      </c>
      <c r="P437" s="20">
        <v>1.0063</v>
      </c>
      <c r="Q437" s="20">
        <v>1.0623</v>
      </c>
      <c r="R437" s="20">
        <v>1.1171</v>
      </c>
      <c r="S437" s="20">
        <v>1.1706000000000001</v>
      </c>
      <c r="T437" s="20">
        <v>1.2231000000000001</v>
      </c>
      <c r="U437" s="20">
        <v>1.2745</v>
      </c>
      <c r="V437" s="20">
        <v>1.3249</v>
      </c>
      <c r="W437"/>
      <c r="X437"/>
      <c r="Y437"/>
      <c r="Z437"/>
    </row>
    <row r="438" spans="1:26" x14ac:dyDescent="0.2">
      <c r="A438" s="19">
        <v>0.432</v>
      </c>
      <c r="B438" s="20">
        <v>0</v>
      </c>
      <c r="C438" s="20">
        <v>9.2600000000000002E-2</v>
      </c>
      <c r="D438" s="20">
        <v>0.18079999999999999</v>
      </c>
      <c r="E438" s="20">
        <v>0.26500000000000001</v>
      </c>
      <c r="F438" s="20">
        <v>0.34560000000000002</v>
      </c>
      <c r="G438" s="20">
        <v>0.42280000000000001</v>
      </c>
      <c r="H438" s="20">
        <v>0.49690000000000001</v>
      </c>
      <c r="I438" s="20">
        <v>0.56820000000000004</v>
      </c>
      <c r="J438" s="20">
        <v>0.63700000000000001</v>
      </c>
      <c r="K438" s="20">
        <v>0.70340000000000003</v>
      </c>
      <c r="L438" s="20">
        <v>0.76770000000000005</v>
      </c>
      <c r="M438" s="20">
        <v>0.83</v>
      </c>
      <c r="N438" s="20">
        <v>0.89059999999999995</v>
      </c>
      <c r="O438" s="20">
        <v>0.94950000000000001</v>
      </c>
      <c r="P438" s="20">
        <v>1.0068999999999999</v>
      </c>
      <c r="Q438" s="20">
        <v>1.0629</v>
      </c>
      <c r="R438" s="20">
        <v>1.1176999999999999</v>
      </c>
      <c r="S438" s="20">
        <v>1.1712</v>
      </c>
      <c r="T438" s="20">
        <v>1.2237</v>
      </c>
      <c r="U438" s="20">
        <v>1.2750999999999999</v>
      </c>
      <c r="V438" s="20">
        <v>1.3255999999999999</v>
      </c>
      <c r="W438"/>
      <c r="X438"/>
      <c r="Y438"/>
      <c r="Z438"/>
    </row>
    <row r="439" spans="1:26" x14ac:dyDescent="0.2">
      <c r="A439" s="19">
        <v>0.433</v>
      </c>
      <c r="B439" s="20">
        <v>0</v>
      </c>
      <c r="C439" s="20">
        <v>9.2600000000000002E-2</v>
      </c>
      <c r="D439" s="20">
        <v>0.18090000000000001</v>
      </c>
      <c r="E439" s="20">
        <v>0.26519999999999999</v>
      </c>
      <c r="F439" s="20">
        <v>0.3458</v>
      </c>
      <c r="G439" s="20">
        <v>0.42309999999999998</v>
      </c>
      <c r="H439" s="20">
        <v>0.49730000000000002</v>
      </c>
      <c r="I439" s="20">
        <v>0.56859999999999999</v>
      </c>
      <c r="J439" s="20">
        <v>0.63739999999999997</v>
      </c>
      <c r="K439" s="20">
        <v>0.70389999999999997</v>
      </c>
      <c r="L439" s="20">
        <v>0.76819999999999999</v>
      </c>
      <c r="M439" s="20">
        <v>0.8306</v>
      </c>
      <c r="N439" s="20">
        <v>0.8911</v>
      </c>
      <c r="O439" s="20">
        <v>0.95009999999999994</v>
      </c>
      <c r="P439" s="20">
        <v>1.0075000000000001</v>
      </c>
      <c r="Q439" s="20">
        <v>1.0634999999999999</v>
      </c>
      <c r="R439" s="20">
        <v>1.1183000000000001</v>
      </c>
      <c r="S439" s="20">
        <v>1.1718</v>
      </c>
      <c r="T439" s="20">
        <v>1.2242999999999999</v>
      </c>
      <c r="U439" s="20">
        <v>1.2757000000000001</v>
      </c>
      <c r="V439" s="20">
        <v>1.3262</v>
      </c>
      <c r="W439"/>
      <c r="X439"/>
      <c r="Y439"/>
      <c r="Z439"/>
    </row>
    <row r="440" spans="1:26" x14ac:dyDescent="0.2">
      <c r="A440" s="19">
        <v>0.434</v>
      </c>
      <c r="B440" s="20">
        <v>0</v>
      </c>
      <c r="C440" s="20">
        <v>9.2700000000000005E-2</v>
      </c>
      <c r="D440" s="20">
        <v>0.18110000000000001</v>
      </c>
      <c r="E440" s="20">
        <v>0.26540000000000002</v>
      </c>
      <c r="F440" s="20">
        <v>0.34610000000000002</v>
      </c>
      <c r="G440" s="20">
        <v>0.4234</v>
      </c>
      <c r="H440" s="20">
        <v>0.49759999999999999</v>
      </c>
      <c r="I440" s="20">
        <v>0.56899999999999995</v>
      </c>
      <c r="J440" s="20">
        <v>0.63780000000000003</v>
      </c>
      <c r="K440" s="20">
        <v>0.70430000000000004</v>
      </c>
      <c r="L440" s="20">
        <v>0.76870000000000005</v>
      </c>
      <c r="M440" s="20">
        <v>0.83109999999999995</v>
      </c>
      <c r="N440" s="20">
        <v>0.89170000000000005</v>
      </c>
      <c r="O440" s="20">
        <v>0.9506</v>
      </c>
      <c r="P440" s="20">
        <v>1.0081</v>
      </c>
      <c r="Q440" s="20">
        <v>1.0641</v>
      </c>
      <c r="R440" s="20">
        <v>1.1189</v>
      </c>
      <c r="S440" s="20">
        <v>1.1725000000000001</v>
      </c>
      <c r="T440" s="20">
        <v>1.2249000000000001</v>
      </c>
      <c r="U440" s="20">
        <v>1.2764</v>
      </c>
      <c r="V440" s="20">
        <v>1.3268</v>
      </c>
      <c r="W440"/>
      <c r="X440"/>
      <c r="Y440"/>
      <c r="Z440"/>
    </row>
    <row r="441" spans="1:26" x14ac:dyDescent="0.2">
      <c r="A441" s="19">
        <v>0.435</v>
      </c>
      <c r="B441" s="20">
        <v>0</v>
      </c>
      <c r="C441" s="20">
        <v>9.2799999999999994E-2</v>
      </c>
      <c r="D441" s="20">
        <v>0.1812</v>
      </c>
      <c r="E441" s="20">
        <v>0.2656</v>
      </c>
      <c r="F441" s="20">
        <v>0.3463</v>
      </c>
      <c r="G441" s="20">
        <v>0.42359999999999998</v>
      </c>
      <c r="H441" s="20">
        <v>0.49790000000000001</v>
      </c>
      <c r="I441" s="20">
        <v>0.56940000000000002</v>
      </c>
      <c r="J441" s="20">
        <v>0.63829999999999998</v>
      </c>
      <c r="K441" s="20">
        <v>0.70479999999999998</v>
      </c>
      <c r="L441" s="20">
        <v>0.76919999999999999</v>
      </c>
      <c r="M441" s="20">
        <v>0.83160000000000001</v>
      </c>
      <c r="N441" s="20">
        <v>0.89219999999999999</v>
      </c>
      <c r="O441" s="20">
        <v>0.95120000000000005</v>
      </c>
      <c r="P441" s="20">
        <v>1.0085999999999999</v>
      </c>
      <c r="Q441" s="20">
        <v>1.0647</v>
      </c>
      <c r="R441" s="20">
        <v>1.1194999999999999</v>
      </c>
      <c r="S441" s="20">
        <v>1.1731</v>
      </c>
      <c r="T441" s="20">
        <v>1.2256</v>
      </c>
      <c r="U441" s="20">
        <v>1.2769999999999999</v>
      </c>
      <c r="V441" s="20">
        <v>1.3274999999999999</v>
      </c>
      <c r="W441"/>
      <c r="X441"/>
      <c r="Y441"/>
      <c r="Z441"/>
    </row>
    <row r="442" spans="1:26" x14ac:dyDescent="0.2">
      <c r="A442" s="19">
        <v>0.436</v>
      </c>
      <c r="B442" s="20">
        <v>0</v>
      </c>
      <c r="C442" s="20">
        <v>9.2799999999999994E-2</v>
      </c>
      <c r="D442" s="20">
        <v>0.18129999999999999</v>
      </c>
      <c r="E442" s="20">
        <v>0.26579999999999998</v>
      </c>
      <c r="F442" s="20">
        <v>0.34649999999999997</v>
      </c>
      <c r="G442" s="20">
        <v>0.4239</v>
      </c>
      <c r="H442" s="20">
        <v>0.49819999999999998</v>
      </c>
      <c r="I442" s="20">
        <v>0.56969999999999998</v>
      </c>
      <c r="J442" s="20">
        <v>0.63870000000000005</v>
      </c>
      <c r="K442" s="20">
        <v>0.70520000000000005</v>
      </c>
      <c r="L442" s="20">
        <v>0.76970000000000005</v>
      </c>
      <c r="M442" s="20">
        <v>0.83209999999999995</v>
      </c>
      <c r="N442" s="20">
        <v>0.89270000000000005</v>
      </c>
      <c r="O442" s="20">
        <v>0.95169999999999999</v>
      </c>
      <c r="P442" s="20">
        <v>1.0092000000000001</v>
      </c>
      <c r="Q442" s="20">
        <v>1.0652999999999999</v>
      </c>
      <c r="R442" s="20">
        <v>1.1201000000000001</v>
      </c>
      <c r="S442" s="20">
        <v>1.1737</v>
      </c>
      <c r="T442" s="20">
        <v>1.2262</v>
      </c>
      <c r="U442" s="20">
        <v>1.2776000000000001</v>
      </c>
      <c r="V442" s="20">
        <v>1.3281000000000001</v>
      </c>
      <c r="W442"/>
      <c r="X442"/>
      <c r="Y442"/>
      <c r="Z442"/>
    </row>
    <row r="443" spans="1:26" x14ac:dyDescent="0.2">
      <c r="A443" s="19">
        <v>0.437</v>
      </c>
      <c r="B443" s="20">
        <v>0</v>
      </c>
      <c r="C443" s="20">
        <v>9.2899999999999996E-2</v>
      </c>
      <c r="D443" s="20">
        <v>0.18140000000000001</v>
      </c>
      <c r="E443" s="20">
        <v>0.26590000000000003</v>
      </c>
      <c r="F443" s="20">
        <v>0.3468</v>
      </c>
      <c r="G443" s="20">
        <v>0.42420000000000002</v>
      </c>
      <c r="H443" s="20">
        <v>0.49859999999999999</v>
      </c>
      <c r="I443" s="20">
        <v>0.57010000000000005</v>
      </c>
      <c r="J443" s="20">
        <v>0.6391</v>
      </c>
      <c r="K443" s="20">
        <v>0.70569999999999999</v>
      </c>
      <c r="L443" s="20">
        <v>0.77010000000000001</v>
      </c>
      <c r="M443" s="20">
        <v>0.83260000000000001</v>
      </c>
      <c r="N443" s="20">
        <v>0.89329999999999998</v>
      </c>
      <c r="O443" s="20">
        <v>0.95230000000000004</v>
      </c>
      <c r="P443" s="20">
        <v>1.0098</v>
      </c>
      <c r="Q443" s="20">
        <v>1.0659000000000001</v>
      </c>
      <c r="R443" s="20">
        <v>1.1207</v>
      </c>
      <c r="S443" s="20">
        <v>1.1742999999999999</v>
      </c>
      <c r="T443" s="20">
        <v>1.2267999999999999</v>
      </c>
      <c r="U443" s="20">
        <v>1.2783</v>
      </c>
      <c r="V443" s="20">
        <v>1.3287</v>
      </c>
      <c r="W443"/>
      <c r="X443"/>
      <c r="Y443"/>
      <c r="Z443"/>
    </row>
    <row r="444" spans="1:26" x14ac:dyDescent="0.2">
      <c r="A444" s="19">
        <v>0.438</v>
      </c>
      <c r="B444" s="20">
        <v>0</v>
      </c>
      <c r="C444" s="20">
        <v>9.2999999999999999E-2</v>
      </c>
      <c r="D444" s="20">
        <v>0.18149999999999999</v>
      </c>
      <c r="E444" s="20">
        <v>0.2661</v>
      </c>
      <c r="F444" s="20">
        <v>0.34699999999999998</v>
      </c>
      <c r="G444" s="20">
        <v>0.42449999999999999</v>
      </c>
      <c r="H444" s="20">
        <v>0.49890000000000001</v>
      </c>
      <c r="I444" s="20">
        <v>0.57050000000000001</v>
      </c>
      <c r="J444" s="20">
        <v>0.63949999999999996</v>
      </c>
      <c r="K444" s="20">
        <v>0.70609999999999995</v>
      </c>
      <c r="L444" s="20">
        <v>0.77059999999999995</v>
      </c>
      <c r="M444" s="20">
        <v>0.83309999999999995</v>
      </c>
      <c r="N444" s="20">
        <v>0.89380000000000004</v>
      </c>
      <c r="O444" s="20">
        <v>0.95289999999999997</v>
      </c>
      <c r="P444" s="20">
        <v>1.0104</v>
      </c>
      <c r="Q444" s="20">
        <v>1.0665</v>
      </c>
      <c r="R444" s="20">
        <v>1.1213</v>
      </c>
      <c r="S444" s="20">
        <v>1.1749000000000001</v>
      </c>
      <c r="T444" s="20">
        <v>1.2274</v>
      </c>
      <c r="U444" s="20">
        <v>1.2788999999999999</v>
      </c>
      <c r="V444" s="20">
        <v>1.3293999999999999</v>
      </c>
      <c r="W444"/>
      <c r="X444"/>
      <c r="Y444"/>
      <c r="Z444"/>
    </row>
    <row r="445" spans="1:26" x14ac:dyDescent="0.2">
      <c r="A445" s="19">
        <v>0.439</v>
      </c>
      <c r="B445" s="20">
        <v>0</v>
      </c>
      <c r="C445" s="20">
        <v>9.2999999999999999E-2</v>
      </c>
      <c r="D445" s="20">
        <v>0.1817</v>
      </c>
      <c r="E445" s="20">
        <v>0.26629999999999998</v>
      </c>
      <c r="F445" s="20">
        <v>0.34720000000000001</v>
      </c>
      <c r="G445" s="20">
        <v>0.42480000000000001</v>
      </c>
      <c r="H445" s="20">
        <v>0.49919999999999998</v>
      </c>
      <c r="I445" s="20">
        <v>0.57089999999999996</v>
      </c>
      <c r="J445" s="20">
        <v>0.63990000000000002</v>
      </c>
      <c r="K445" s="20">
        <v>0.70660000000000001</v>
      </c>
      <c r="L445" s="20">
        <v>0.77110000000000001</v>
      </c>
      <c r="M445" s="20">
        <v>0.83360000000000001</v>
      </c>
      <c r="N445" s="20">
        <v>0.89429999999999998</v>
      </c>
      <c r="O445" s="20">
        <v>0.95340000000000003</v>
      </c>
      <c r="P445" s="20">
        <v>1.0108999999999999</v>
      </c>
      <c r="Q445" s="20">
        <v>1.0670999999999999</v>
      </c>
      <c r="R445" s="20">
        <v>1.1218999999999999</v>
      </c>
      <c r="S445" s="20">
        <v>1.1755</v>
      </c>
      <c r="T445" s="20">
        <v>1.228</v>
      </c>
      <c r="U445" s="20">
        <v>1.2795000000000001</v>
      </c>
      <c r="V445" s="20">
        <v>1.33</v>
      </c>
      <c r="W445"/>
      <c r="X445"/>
      <c r="Y445"/>
      <c r="Z445"/>
    </row>
    <row r="446" spans="1:26" x14ac:dyDescent="0.2">
      <c r="A446" s="19">
        <v>0.44</v>
      </c>
      <c r="B446" s="20">
        <v>0</v>
      </c>
      <c r="C446" s="20">
        <v>9.3100000000000002E-2</v>
      </c>
      <c r="D446" s="20">
        <v>0.18179999999999999</v>
      </c>
      <c r="E446" s="20">
        <v>0.26650000000000001</v>
      </c>
      <c r="F446" s="20">
        <v>0.34749999999999998</v>
      </c>
      <c r="G446" s="20">
        <v>0.42509999999999998</v>
      </c>
      <c r="H446" s="20">
        <v>0.49959999999999999</v>
      </c>
      <c r="I446" s="20">
        <v>0.57120000000000004</v>
      </c>
      <c r="J446" s="20">
        <v>0.64029999999999998</v>
      </c>
      <c r="K446" s="20">
        <v>0.70699999999999996</v>
      </c>
      <c r="L446" s="20">
        <v>0.77159999999999995</v>
      </c>
      <c r="M446" s="20">
        <v>0.83409999999999995</v>
      </c>
      <c r="N446" s="20">
        <v>0.89490000000000003</v>
      </c>
      <c r="O446" s="20">
        <v>0.95399999999999996</v>
      </c>
      <c r="P446" s="20">
        <v>1.0115000000000001</v>
      </c>
      <c r="Q446" s="20">
        <v>1.0677000000000001</v>
      </c>
      <c r="R446" s="20">
        <v>1.1225000000000001</v>
      </c>
      <c r="S446" s="20">
        <v>1.1761999999999999</v>
      </c>
      <c r="T446" s="20">
        <v>1.2286999999999999</v>
      </c>
      <c r="U446" s="20">
        <v>1.2801</v>
      </c>
      <c r="V446" s="20">
        <v>1.3306</v>
      </c>
      <c r="W446"/>
      <c r="X446"/>
      <c r="Y446"/>
      <c r="Z446"/>
    </row>
    <row r="447" spans="1:26" x14ac:dyDescent="0.2">
      <c r="A447" s="19">
        <v>0.441</v>
      </c>
      <c r="B447" s="20">
        <v>0</v>
      </c>
      <c r="C447" s="20">
        <v>9.3200000000000005E-2</v>
      </c>
      <c r="D447" s="20">
        <v>0.18190000000000001</v>
      </c>
      <c r="E447" s="20">
        <v>0.26669999999999999</v>
      </c>
      <c r="F447" s="20">
        <v>0.34770000000000001</v>
      </c>
      <c r="G447" s="20">
        <v>0.42530000000000001</v>
      </c>
      <c r="H447" s="20">
        <v>0.49990000000000001</v>
      </c>
      <c r="I447" s="20">
        <v>0.5716</v>
      </c>
      <c r="J447" s="20">
        <v>0.64070000000000005</v>
      </c>
      <c r="K447" s="20">
        <v>0.70750000000000002</v>
      </c>
      <c r="L447" s="20">
        <v>0.77200000000000002</v>
      </c>
      <c r="M447" s="20">
        <v>0.83460000000000001</v>
      </c>
      <c r="N447" s="20">
        <v>0.89539999999999997</v>
      </c>
      <c r="O447" s="20">
        <v>0.95450000000000002</v>
      </c>
      <c r="P447" s="20">
        <v>1.0121</v>
      </c>
      <c r="Q447" s="20">
        <v>1.0683</v>
      </c>
      <c r="R447" s="20">
        <v>1.1231</v>
      </c>
      <c r="S447" s="20">
        <v>1.1768000000000001</v>
      </c>
      <c r="T447" s="20">
        <v>1.2293000000000001</v>
      </c>
      <c r="U447" s="20">
        <v>1.2807999999999999</v>
      </c>
      <c r="V447" s="20">
        <v>1.3311999999999999</v>
      </c>
      <c r="W447"/>
      <c r="X447"/>
      <c r="Y447"/>
      <c r="Z447"/>
    </row>
    <row r="448" spans="1:26" x14ac:dyDescent="0.2">
      <c r="A448" s="19">
        <v>0.442</v>
      </c>
      <c r="B448" s="20">
        <v>0</v>
      </c>
      <c r="C448" s="20">
        <v>9.3200000000000005E-2</v>
      </c>
      <c r="D448" s="20">
        <v>0.182</v>
      </c>
      <c r="E448" s="20">
        <v>0.26679999999999998</v>
      </c>
      <c r="F448" s="20">
        <v>0.34789999999999999</v>
      </c>
      <c r="G448" s="20">
        <v>0.42559999999999998</v>
      </c>
      <c r="H448" s="20">
        <v>0.50019999999999998</v>
      </c>
      <c r="I448" s="20">
        <v>0.57199999999999995</v>
      </c>
      <c r="J448" s="20">
        <v>0.6411</v>
      </c>
      <c r="K448" s="20">
        <v>0.70789999999999997</v>
      </c>
      <c r="L448" s="20">
        <v>0.77249999999999996</v>
      </c>
      <c r="M448" s="20">
        <v>0.83509999999999995</v>
      </c>
      <c r="N448" s="20">
        <v>0.89590000000000003</v>
      </c>
      <c r="O448" s="20">
        <v>0.95509999999999995</v>
      </c>
      <c r="P448" s="20">
        <v>1.0126999999999999</v>
      </c>
      <c r="Q448" s="20">
        <v>1.0688</v>
      </c>
      <c r="R448" s="20">
        <v>1.1236999999999999</v>
      </c>
      <c r="S448" s="20">
        <v>1.1774</v>
      </c>
      <c r="T448" s="20">
        <v>1.2299</v>
      </c>
      <c r="U448" s="20">
        <v>1.2814000000000001</v>
      </c>
      <c r="V448" s="20">
        <v>1.3318000000000001</v>
      </c>
      <c r="W448"/>
      <c r="X448"/>
      <c r="Y448"/>
      <c r="Z448"/>
    </row>
    <row r="449" spans="1:26" x14ac:dyDescent="0.2">
      <c r="A449" s="19">
        <v>0.443</v>
      </c>
      <c r="B449" s="20">
        <v>0</v>
      </c>
      <c r="C449" s="20">
        <v>9.3299999999999994E-2</v>
      </c>
      <c r="D449" s="20">
        <v>0.1822</v>
      </c>
      <c r="E449" s="20">
        <v>0.26700000000000002</v>
      </c>
      <c r="F449" s="20">
        <v>0.34820000000000001</v>
      </c>
      <c r="G449" s="20">
        <v>0.4259</v>
      </c>
      <c r="H449" s="20">
        <v>0.50049999999999994</v>
      </c>
      <c r="I449" s="20">
        <v>0.57230000000000003</v>
      </c>
      <c r="J449" s="20">
        <v>0.64149999999999996</v>
      </c>
      <c r="K449" s="20">
        <v>0.70840000000000003</v>
      </c>
      <c r="L449" s="20">
        <v>0.77300000000000002</v>
      </c>
      <c r="M449" s="20">
        <v>0.8357</v>
      </c>
      <c r="N449" s="20">
        <v>0.89649999999999996</v>
      </c>
      <c r="O449" s="20">
        <v>0.9556</v>
      </c>
      <c r="P449" s="20">
        <v>1.0132000000000001</v>
      </c>
      <c r="Q449" s="20">
        <v>1.0693999999999999</v>
      </c>
      <c r="R449" s="20">
        <v>1.1243000000000001</v>
      </c>
      <c r="S449" s="20">
        <v>1.1779999999999999</v>
      </c>
      <c r="T449" s="20">
        <v>1.2304999999999999</v>
      </c>
      <c r="U449" s="20">
        <v>1.282</v>
      </c>
      <c r="V449" s="20">
        <v>1.3325</v>
      </c>
      <c r="W449"/>
      <c r="X449"/>
      <c r="Y449"/>
      <c r="Z449"/>
    </row>
    <row r="450" spans="1:26" x14ac:dyDescent="0.2">
      <c r="A450" s="19">
        <v>0.44400000000000001</v>
      </c>
      <c r="B450" s="20">
        <v>0</v>
      </c>
      <c r="C450" s="20">
        <v>9.3299999999999994E-2</v>
      </c>
      <c r="D450" s="20">
        <v>0.18229999999999999</v>
      </c>
      <c r="E450" s="20">
        <v>0.26719999999999999</v>
      </c>
      <c r="F450" s="20">
        <v>0.34839999999999999</v>
      </c>
      <c r="G450" s="20">
        <v>0.42620000000000002</v>
      </c>
      <c r="H450" s="20">
        <v>0.50090000000000001</v>
      </c>
      <c r="I450" s="20">
        <v>0.57269999999999999</v>
      </c>
      <c r="J450" s="20">
        <v>0.64190000000000003</v>
      </c>
      <c r="K450" s="20">
        <v>0.70879999999999999</v>
      </c>
      <c r="L450" s="20">
        <v>0.77349999999999997</v>
      </c>
      <c r="M450" s="20">
        <v>0.83620000000000005</v>
      </c>
      <c r="N450" s="20">
        <v>0.89700000000000002</v>
      </c>
      <c r="O450" s="20">
        <v>0.95620000000000005</v>
      </c>
      <c r="P450" s="20">
        <v>1.0138</v>
      </c>
      <c r="Q450" s="20">
        <v>1.07</v>
      </c>
      <c r="R450" s="20">
        <v>1.1249</v>
      </c>
      <c r="S450" s="20">
        <v>1.1786000000000001</v>
      </c>
      <c r="T450" s="20">
        <v>1.2311000000000001</v>
      </c>
      <c r="U450" s="20">
        <v>1.2826</v>
      </c>
      <c r="V450" s="20">
        <v>1.3331</v>
      </c>
      <c r="W450"/>
      <c r="X450"/>
      <c r="Y450"/>
      <c r="Z450"/>
    </row>
    <row r="451" spans="1:26" x14ac:dyDescent="0.2">
      <c r="A451" s="19">
        <v>0.44500000000000001</v>
      </c>
      <c r="B451" s="20">
        <v>0</v>
      </c>
      <c r="C451" s="20">
        <v>9.3399999999999997E-2</v>
      </c>
      <c r="D451" s="20">
        <v>0.18240000000000001</v>
      </c>
      <c r="E451" s="20">
        <v>0.26740000000000003</v>
      </c>
      <c r="F451" s="20">
        <v>0.34860000000000002</v>
      </c>
      <c r="G451" s="20">
        <v>0.42649999999999999</v>
      </c>
      <c r="H451" s="20">
        <v>0.50119999999999998</v>
      </c>
      <c r="I451" s="20">
        <v>0.57310000000000005</v>
      </c>
      <c r="J451" s="20">
        <v>0.64239999999999997</v>
      </c>
      <c r="K451" s="20">
        <v>0.70920000000000005</v>
      </c>
      <c r="L451" s="20">
        <v>0.77400000000000002</v>
      </c>
      <c r="M451" s="20">
        <v>0.8367</v>
      </c>
      <c r="N451" s="20">
        <v>0.89749999999999996</v>
      </c>
      <c r="O451" s="20">
        <v>0.95669999999999999</v>
      </c>
      <c r="P451" s="20">
        <v>1.0144</v>
      </c>
      <c r="Q451" s="20">
        <v>1.0706</v>
      </c>
      <c r="R451" s="20">
        <v>1.1254999999999999</v>
      </c>
      <c r="S451" s="20">
        <v>1.1792</v>
      </c>
      <c r="T451" s="20">
        <v>1.2317</v>
      </c>
      <c r="U451" s="20">
        <v>1.2831999999999999</v>
      </c>
      <c r="V451" s="20">
        <v>1.3337000000000001</v>
      </c>
      <c r="W451"/>
      <c r="X451"/>
      <c r="Y451"/>
      <c r="Z451"/>
    </row>
    <row r="452" spans="1:26" x14ac:dyDescent="0.2">
      <c r="A452" s="19">
        <v>0.44600000000000001</v>
      </c>
      <c r="B452" s="20">
        <v>0</v>
      </c>
      <c r="C452" s="20">
        <v>9.35E-2</v>
      </c>
      <c r="D452" s="20">
        <v>0.1825</v>
      </c>
      <c r="E452" s="20">
        <v>0.26750000000000002</v>
      </c>
      <c r="F452" s="20">
        <v>0.3488</v>
      </c>
      <c r="G452" s="20">
        <v>0.42670000000000002</v>
      </c>
      <c r="H452" s="20">
        <v>0.50149999999999995</v>
      </c>
      <c r="I452" s="20">
        <v>0.57340000000000002</v>
      </c>
      <c r="J452" s="20">
        <v>0.64280000000000004</v>
      </c>
      <c r="K452" s="20">
        <v>0.7097</v>
      </c>
      <c r="L452" s="20">
        <v>0.77439999999999998</v>
      </c>
      <c r="M452" s="20">
        <v>0.83720000000000006</v>
      </c>
      <c r="N452" s="20">
        <v>0.89810000000000001</v>
      </c>
      <c r="O452" s="20">
        <v>0.95730000000000004</v>
      </c>
      <c r="P452" s="20">
        <v>1.0148999999999999</v>
      </c>
      <c r="Q452" s="20">
        <v>1.0711999999999999</v>
      </c>
      <c r="R452" s="20">
        <v>1.1261000000000001</v>
      </c>
      <c r="S452" s="20">
        <v>1.1798</v>
      </c>
      <c r="T452" s="20">
        <v>1.2323999999999999</v>
      </c>
      <c r="U452" s="20">
        <v>1.2838000000000001</v>
      </c>
      <c r="V452" s="20">
        <v>1.3343</v>
      </c>
      <c r="W452"/>
      <c r="X452"/>
      <c r="Y452"/>
      <c r="Z452"/>
    </row>
    <row r="453" spans="1:26" x14ac:dyDescent="0.2">
      <c r="A453" s="19">
        <v>0.44700000000000001</v>
      </c>
      <c r="B453" s="20">
        <v>0</v>
      </c>
      <c r="C453" s="20">
        <v>9.35E-2</v>
      </c>
      <c r="D453" s="20">
        <v>0.1827</v>
      </c>
      <c r="E453" s="20">
        <v>0.26769999999999999</v>
      </c>
      <c r="F453" s="20">
        <v>0.34910000000000002</v>
      </c>
      <c r="G453" s="20">
        <v>0.42699999999999999</v>
      </c>
      <c r="H453" s="20">
        <v>0.50180000000000002</v>
      </c>
      <c r="I453" s="20">
        <v>0.57379999999999998</v>
      </c>
      <c r="J453" s="20">
        <v>0.64319999999999999</v>
      </c>
      <c r="K453" s="20">
        <v>0.71009999999999995</v>
      </c>
      <c r="L453" s="20">
        <v>0.77490000000000003</v>
      </c>
      <c r="M453" s="20">
        <v>0.8377</v>
      </c>
      <c r="N453" s="20">
        <v>0.89859999999999995</v>
      </c>
      <c r="O453" s="20">
        <v>0.95779999999999998</v>
      </c>
      <c r="P453" s="20">
        <v>1.0155000000000001</v>
      </c>
      <c r="Q453" s="20">
        <v>1.0718000000000001</v>
      </c>
      <c r="R453" s="20">
        <v>1.1267</v>
      </c>
      <c r="S453" s="20">
        <v>1.1803999999999999</v>
      </c>
      <c r="T453" s="20">
        <v>1.2330000000000001</v>
      </c>
      <c r="U453" s="20">
        <v>1.2845</v>
      </c>
      <c r="V453" s="20">
        <v>1.3349</v>
      </c>
      <c r="W453"/>
      <c r="X453"/>
      <c r="Y453"/>
      <c r="Z453"/>
    </row>
    <row r="454" spans="1:26" x14ac:dyDescent="0.2">
      <c r="A454" s="19">
        <v>0.44800000000000001</v>
      </c>
      <c r="B454" s="20">
        <v>0</v>
      </c>
      <c r="C454" s="20">
        <v>9.3600000000000003E-2</v>
      </c>
      <c r="D454" s="20">
        <v>0.18279999999999999</v>
      </c>
      <c r="E454" s="20">
        <v>0.26790000000000003</v>
      </c>
      <c r="F454" s="20">
        <v>0.3493</v>
      </c>
      <c r="G454" s="20">
        <v>0.42730000000000001</v>
      </c>
      <c r="H454" s="20">
        <v>0.50219999999999998</v>
      </c>
      <c r="I454" s="20">
        <v>0.57420000000000004</v>
      </c>
      <c r="J454" s="20">
        <v>0.64359999999999995</v>
      </c>
      <c r="K454" s="20">
        <v>0.71060000000000001</v>
      </c>
      <c r="L454" s="20">
        <v>0.77539999999999998</v>
      </c>
      <c r="M454" s="20">
        <v>0.83819999999999995</v>
      </c>
      <c r="N454" s="20">
        <v>0.89910000000000001</v>
      </c>
      <c r="O454" s="20">
        <v>0.95840000000000003</v>
      </c>
      <c r="P454" s="20">
        <v>1.0161</v>
      </c>
      <c r="Q454" s="20">
        <v>1.0724</v>
      </c>
      <c r="R454" s="20">
        <v>1.1273</v>
      </c>
      <c r="S454" s="20">
        <v>1.181</v>
      </c>
      <c r="T454" s="20">
        <v>1.2336</v>
      </c>
      <c r="U454" s="20">
        <v>1.2850999999999999</v>
      </c>
      <c r="V454" s="20">
        <v>1.3355999999999999</v>
      </c>
      <c r="W454"/>
      <c r="X454"/>
      <c r="Y454"/>
      <c r="Z454"/>
    </row>
    <row r="455" spans="1:26" x14ac:dyDescent="0.2">
      <c r="A455" s="19">
        <v>0.44900000000000001</v>
      </c>
      <c r="B455" s="20">
        <v>0</v>
      </c>
      <c r="C455" s="20">
        <v>9.3700000000000006E-2</v>
      </c>
      <c r="D455" s="20">
        <v>0.18290000000000001</v>
      </c>
      <c r="E455" s="20">
        <v>0.2681</v>
      </c>
      <c r="F455" s="20">
        <v>0.34949999999999998</v>
      </c>
      <c r="G455" s="20">
        <v>0.42759999999999998</v>
      </c>
      <c r="H455" s="20">
        <v>0.50249999999999995</v>
      </c>
      <c r="I455" s="20">
        <v>0.5746</v>
      </c>
      <c r="J455" s="20">
        <v>0.64400000000000002</v>
      </c>
      <c r="K455" s="20">
        <v>0.71099999999999997</v>
      </c>
      <c r="L455" s="20">
        <v>0.77580000000000005</v>
      </c>
      <c r="M455" s="20">
        <v>0.8387</v>
      </c>
      <c r="N455" s="20">
        <v>0.89959999999999996</v>
      </c>
      <c r="O455" s="20">
        <v>0.95889999999999997</v>
      </c>
      <c r="P455" s="20">
        <v>1.0165999999999999</v>
      </c>
      <c r="Q455" s="20">
        <v>1.0729</v>
      </c>
      <c r="R455" s="20">
        <v>1.1278999999999999</v>
      </c>
      <c r="S455" s="20">
        <v>1.1816</v>
      </c>
      <c r="T455" s="20">
        <v>1.2342</v>
      </c>
      <c r="U455" s="20">
        <v>1.2857000000000001</v>
      </c>
      <c r="V455" s="20">
        <v>1.3362000000000001</v>
      </c>
      <c r="W455"/>
      <c r="X455"/>
      <c r="Y455"/>
      <c r="Z455"/>
    </row>
    <row r="456" spans="1:26" x14ac:dyDescent="0.2">
      <c r="A456" s="19">
        <v>0.45</v>
      </c>
      <c r="B456" s="20">
        <v>0</v>
      </c>
      <c r="C456" s="20">
        <v>9.3700000000000006E-2</v>
      </c>
      <c r="D456" s="20">
        <v>0.183</v>
      </c>
      <c r="E456" s="20">
        <v>0.26829999999999998</v>
      </c>
      <c r="F456" s="20">
        <v>0.3498</v>
      </c>
      <c r="G456" s="20">
        <v>0.4279</v>
      </c>
      <c r="H456" s="20">
        <v>0.50280000000000002</v>
      </c>
      <c r="I456" s="20">
        <v>0.57489999999999997</v>
      </c>
      <c r="J456" s="20">
        <v>0.64439999999999997</v>
      </c>
      <c r="K456" s="20">
        <v>0.71150000000000002</v>
      </c>
      <c r="L456" s="20">
        <v>0.77629999999999999</v>
      </c>
      <c r="M456" s="20">
        <v>0.83919999999999995</v>
      </c>
      <c r="N456" s="20">
        <v>0.9002</v>
      </c>
      <c r="O456" s="20">
        <v>0.95950000000000002</v>
      </c>
      <c r="P456" s="20">
        <v>1.0172000000000001</v>
      </c>
      <c r="Q456" s="20">
        <v>1.0734999999999999</v>
      </c>
      <c r="R456" s="20">
        <v>1.1285000000000001</v>
      </c>
      <c r="S456" s="20">
        <v>1.1821999999999999</v>
      </c>
      <c r="T456" s="20">
        <v>1.2347999999999999</v>
      </c>
      <c r="U456" s="20">
        <v>1.2863</v>
      </c>
      <c r="V456" s="20">
        <v>1.3368</v>
      </c>
      <c r="W456"/>
      <c r="X456"/>
      <c r="Y456"/>
      <c r="Z456"/>
    </row>
    <row r="457" spans="1:26" x14ac:dyDescent="0.2">
      <c r="A457" s="19">
        <v>0.45100000000000001</v>
      </c>
      <c r="B457" s="20">
        <v>0</v>
      </c>
      <c r="C457" s="20">
        <v>9.3799999999999994E-2</v>
      </c>
      <c r="D457" s="20">
        <v>0.18310000000000001</v>
      </c>
      <c r="E457" s="20">
        <v>0.26840000000000003</v>
      </c>
      <c r="F457" s="20">
        <v>0.35</v>
      </c>
      <c r="G457" s="20">
        <v>0.42809999999999998</v>
      </c>
      <c r="H457" s="20">
        <v>0.50309999999999999</v>
      </c>
      <c r="I457" s="20">
        <v>0.57530000000000003</v>
      </c>
      <c r="J457" s="20">
        <v>0.64480000000000004</v>
      </c>
      <c r="K457" s="20">
        <v>0.71189999999999998</v>
      </c>
      <c r="L457" s="20">
        <v>0.77680000000000005</v>
      </c>
      <c r="M457" s="20">
        <v>0.8397</v>
      </c>
      <c r="N457" s="20">
        <v>0.90069999999999995</v>
      </c>
      <c r="O457" s="20">
        <v>0.96</v>
      </c>
      <c r="P457" s="20">
        <v>1.0178</v>
      </c>
      <c r="Q457" s="20">
        <v>1.0741000000000001</v>
      </c>
      <c r="R457" s="20">
        <v>1.1291</v>
      </c>
      <c r="S457" s="20">
        <v>1.1828000000000001</v>
      </c>
      <c r="T457" s="20">
        <v>1.2354000000000001</v>
      </c>
      <c r="U457" s="20">
        <v>1.2868999999999999</v>
      </c>
      <c r="V457" s="20">
        <v>1.3373999999999999</v>
      </c>
      <c r="W457"/>
      <c r="X457"/>
      <c r="Y457"/>
      <c r="Z457"/>
    </row>
    <row r="458" spans="1:26" x14ac:dyDescent="0.2">
      <c r="A458" s="19">
        <v>0.45200000000000001</v>
      </c>
      <c r="B458" s="20">
        <v>0</v>
      </c>
      <c r="C458" s="20">
        <v>9.3799999999999994E-2</v>
      </c>
      <c r="D458" s="20">
        <v>0.18329999999999999</v>
      </c>
      <c r="E458" s="20">
        <v>0.26860000000000001</v>
      </c>
      <c r="F458" s="20">
        <v>0.35020000000000001</v>
      </c>
      <c r="G458" s="20">
        <v>0.4284</v>
      </c>
      <c r="H458" s="20">
        <v>0.50349999999999995</v>
      </c>
      <c r="I458" s="20">
        <v>0.5756</v>
      </c>
      <c r="J458" s="20">
        <v>0.6452</v>
      </c>
      <c r="K458" s="20">
        <v>0.71230000000000004</v>
      </c>
      <c r="L458" s="20">
        <v>0.77729999999999999</v>
      </c>
      <c r="M458" s="20">
        <v>0.84019999999999995</v>
      </c>
      <c r="N458" s="20">
        <v>0.9012</v>
      </c>
      <c r="O458" s="20">
        <v>0.96060000000000001</v>
      </c>
      <c r="P458" s="20">
        <v>1.0183</v>
      </c>
      <c r="Q458" s="20">
        <v>1.0747</v>
      </c>
      <c r="R458" s="20">
        <v>1.1296999999999999</v>
      </c>
      <c r="S458" s="20">
        <v>1.1834</v>
      </c>
      <c r="T458" s="20">
        <v>1.236</v>
      </c>
      <c r="U458" s="20">
        <v>1.2875000000000001</v>
      </c>
      <c r="V458" s="20">
        <v>1.3380000000000001</v>
      </c>
      <c r="W458"/>
      <c r="X458"/>
      <c r="Y458"/>
      <c r="Z458"/>
    </row>
    <row r="459" spans="1:26" x14ac:dyDescent="0.2">
      <c r="A459" s="19">
        <v>0.45300000000000001</v>
      </c>
      <c r="B459" s="20">
        <v>0</v>
      </c>
      <c r="C459" s="20">
        <v>9.3899999999999997E-2</v>
      </c>
      <c r="D459" s="20">
        <v>0.18340000000000001</v>
      </c>
      <c r="E459" s="20">
        <v>0.26879999999999998</v>
      </c>
      <c r="F459" s="20">
        <v>0.35049999999999998</v>
      </c>
      <c r="G459" s="20">
        <v>0.42870000000000003</v>
      </c>
      <c r="H459" s="20">
        <v>0.50380000000000003</v>
      </c>
      <c r="I459" s="20">
        <v>0.57599999999999996</v>
      </c>
      <c r="J459" s="20">
        <v>0.64559999999999995</v>
      </c>
      <c r="K459" s="20">
        <v>0.71279999999999999</v>
      </c>
      <c r="L459" s="20">
        <v>0.77769999999999995</v>
      </c>
      <c r="M459" s="20">
        <v>0.8407</v>
      </c>
      <c r="N459" s="20">
        <v>0.90169999999999995</v>
      </c>
      <c r="O459" s="20">
        <v>0.96109999999999995</v>
      </c>
      <c r="P459" s="20">
        <v>1.0188999999999999</v>
      </c>
      <c r="Q459" s="20">
        <v>1.0752999999999999</v>
      </c>
      <c r="R459" s="20">
        <v>1.1303000000000001</v>
      </c>
      <c r="S459" s="20">
        <v>1.1839999999999999</v>
      </c>
      <c r="T459" s="20">
        <v>1.2365999999999999</v>
      </c>
      <c r="U459" s="20">
        <v>1.2881</v>
      </c>
      <c r="V459" s="20">
        <v>1.3386</v>
      </c>
      <c r="W459"/>
      <c r="X459"/>
      <c r="Y459"/>
      <c r="Z459"/>
    </row>
    <row r="460" spans="1:26" x14ac:dyDescent="0.2">
      <c r="A460" s="19">
        <v>0.45400000000000001</v>
      </c>
      <c r="B460" s="20">
        <v>0</v>
      </c>
      <c r="C460" s="20">
        <v>9.4E-2</v>
      </c>
      <c r="D460" s="20">
        <v>0.1835</v>
      </c>
      <c r="E460" s="20">
        <v>0.26900000000000002</v>
      </c>
      <c r="F460" s="20">
        <v>0.35070000000000001</v>
      </c>
      <c r="G460" s="20">
        <v>0.42899999999999999</v>
      </c>
      <c r="H460" s="20">
        <v>0.50409999999999999</v>
      </c>
      <c r="I460" s="20">
        <v>0.57640000000000002</v>
      </c>
      <c r="J460" s="20">
        <v>0.64600000000000002</v>
      </c>
      <c r="K460" s="20">
        <v>0.71319999999999995</v>
      </c>
      <c r="L460" s="20">
        <v>0.7782</v>
      </c>
      <c r="M460" s="20">
        <v>0.84119999999999995</v>
      </c>
      <c r="N460" s="20">
        <v>0.90229999999999999</v>
      </c>
      <c r="O460" s="20">
        <v>0.96160000000000001</v>
      </c>
      <c r="P460" s="20">
        <v>1.0195000000000001</v>
      </c>
      <c r="Q460" s="20">
        <v>1.0758000000000001</v>
      </c>
      <c r="R460" s="20">
        <v>1.1308</v>
      </c>
      <c r="S460" s="20">
        <v>1.1846000000000001</v>
      </c>
      <c r="T460" s="20">
        <v>1.2372000000000001</v>
      </c>
      <c r="U460" s="20">
        <v>1.2887</v>
      </c>
      <c r="V460" s="20">
        <v>1.3391999999999999</v>
      </c>
      <c r="W460"/>
      <c r="X460"/>
      <c r="Y460"/>
      <c r="Z460"/>
    </row>
    <row r="461" spans="1:26" x14ac:dyDescent="0.2">
      <c r="A461" s="19">
        <v>0.45500000000000002</v>
      </c>
      <c r="B461" s="20">
        <v>0</v>
      </c>
      <c r="C461" s="20">
        <v>9.4E-2</v>
      </c>
      <c r="D461" s="20">
        <v>0.18360000000000001</v>
      </c>
      <c r="E461" s="20">
        <v>0.26910000000000001</v>
      </c>
      <c r="F461" s="20">
        <v>0.35089999999999999</v>
      </c>
      <c r="G461" s="20">
        <v>0.42920000000000003</v>
      </c>
      <c r="H461" s="20">
        <v>0.50439999999999996</v>
      </c>
      <c r="I461" s="20">
        <v>0.57669999999999999</v>
      </c>
      <c r="J461" s="20">
        <v>0.64639999999999997</v>
      </c>
      <c r="K461" s="20">
        <v>0.71360000000000001</v>
      </c>
      <c r="L461" s="20">
        <v>0.77869999999999995</v>
      </c>
      <c r="M461" s="20">
        <v>0.8417</v>
      </c>
      <c r="N461" s="20">
        <v>0.90280000000000005</v>
      </c>
      <c r="O461" s="20">
        <v>0.96220000000000006</v>
      </c>
      <c r="P461" s="20">
        <v>1.02</v>
      </c>
      <c r="Q461" s="20">
        <v>1.0764</v>
      </c>
      <c r="R461" s="20">
        <v>1.1314</v>
      </c>
      <c r="S461" s="20">
        <v>1.1852</v>
      </c>
      <c r="T461" s="20">
        <v>1.2378</v>
      </c>
      <c r="U461" s="20">
        <v>1.2894000000000001</v>
      </c>
      <c r="V461" s="20">
        <v>1.3398000000000001</v>
      </c>
      <c r="W461"/>
      <c r="X461"/>
      <c r="Y461"/>
      <c r="Z461"/>
    </row>
    <row r="462" spans="1:26" x14ac:dyDescent="0.2">
      <c r="A462" s="19">
        <v>0.45600000000000002</v>
      </c>
      <c r="B462" s="20">
        <v>0</v>
      </c>
      <c r="C462" s="20">
        <v>9.4100000000000003E-2</v>
      </c>
      <c r="D462" s="20">
        <v>0.1837</v>
      </c>
      <c r="E462" s="20">
        <v>0.26929999999999998</v>
      </c>
      <c r="F462" s="20">
        <v>0.35110000000000002</v>
      </c>
      <c r="G462" s="20">
        <v>0.42949999999999999</v>
      </c>
      <c r="H462" s="20">
        <v>0.50480000000000003</v>
      </c>
      <c r="I462" s="20">
        <v>0.57709999999999995</v>
      </c>
      <c r="J462" s="20">
        <v>0.64680000000000004</v>
      </c>
      <c r="K462" s="20">
        <v>0.71409999999999996</v>
      </c>
      <c r="L462" s="20">
        <v>0.77910000000000001</v>
      </c>
      <c r="M462" s="20">
        <v>0.84209999999999996</v>
      </c>
      <c r="N462" s="20">
        <v>0.90329999999999999</v>
      </c>
      <c r="O462" s="20">
        <v>0.9627</v>
      </c>
      <c r="P462" s="20">
        <v>1.0206</v>
      </c>
      <c r="Q462" s="20">
        <v>1.077</v>
      </c>
      <c r="R462" s="20">
        <v>1.1319999999999999</v>
      </c>
      <c r="S462" s="20">
        <v>1.1858</v>
      </c>
      <c r="T462" s="20">
        <v>1.2383999999999999</v>
      </c>
      <c r="U462" s="20">
        <v>1.29</v>
      </c>
      <c r="V462" s="20">
        <v>1.3405</v>
      </c>
      <c r="W462"/>
      <c r="X462"/>
      <c r="Y462"/>
      <c r="Z462"/>
    </row>
    <row r="463" spans="1:26" x14ac:dyDescent="0.2">
      <c r="A463" s="19">
        <v>0.45700000000000002</v>
      </c>
      <c r="B463" s="20">
        <v>0</v>
      </c>
      <c r="C463" s="20">
        <v>9.4200000000000006E-2</v>
      </c>
      <c r="D463" s="20">
        <v>0.18390000000000001</v>
      </c>
      <c r="E463" s="20">
        <v>0.26950000000000002</v>
      </c>
      <c r="F463" s="20">
        <v>0.35139999999999999</v>
      </c>
      <c r="G463" s="20">
        <v>0.42980000000000002</v>
      </c>
      <c r="H463" s="20">
        <v>0.50509999999999999</v>
      </c>
      <c r="I463" s="20">
        <v>0.57750000000000001</v>
      </c>
      <c r="J463" s="20">
        <v>0.6472</v>
      </c>
      <c r="K463" s="20">
        <v>0.71450000000000002</v>
      </c>
      <c r="L463" s="20">
        <v>0.77959999999999996</v>
      </c>
      <c r="M463" s="20">
        <v>0.84260000000000002</v>
      </c>
      <c r="N463" s="20">
        <v>0.90380000000000005</v>
      </c>
      <c r="O463" s="20">
        <v>0.96330000000000005</v>
      </c>
      <c r="P463" s="20">
        <v>1.0210999999999999</v>
      </c>
      <c r="Q463" s="20">
        <v>1.0775999999999999</v>
      </c>
      <c r="R463" s="20">
        <v>1.1326000000000001</v>
      </c>
      <c r="S463" s="20">
        <v>1.1863999999999999</v>
      </c>
      <c r="T463" s="20">
        <v>1.2390000000000001</v>
      </c>
      <c r="U463" s="20">
        <v>1.2906</v>
      </c>
      <c r="V463" s="20">
        <v>1.3411</v>
      </c>
      <c r="W463"/>
      <c r="X463"/>
      <c r="Y463"/>
      <c r="Z463"/>
    </row>
    <row r="464" spans="1:26" x14ac:dyDescent="0.2">
      <c r="A464" s="19">
        <v>0.45800000000000002</v>
      </c>
      <c r="B464" s="20">
        <v>0</v>
      </c>
      <c r="C464" s="20">
        <v>9.4200000000000006E-2</v>
      </c>
      <c r="D464" s="20">
        <v>0.184</v>
      </c>
      <c r="E464" s="20">
        <v>0.2697</v>
      </c>
      <c r="F464" s="20">
        <v>0.35160000000000002</v>
      </c>
      <c r="G464" s="20">
        <v>0.43009999999999998</v>
      </c>
      <c r="H464" s="20">
        <v>0.50539999999999996</v>
      </c>
      <c r="I464" s="20">
        <v>0.57779999999999998</v>
      </c>
      <c r="J464" s="20">
        <v>0.64759999999999995</v>
      </c>
      <c r="K464" s="20">
        <v>0.71489999999999998</v>
      </c>
      <c r="L464" s="20">
        <v>0.78010000000000002</v>
      </c>
      <c r="M464" s="20">
        <v>0.84309999999999996</v>
      </c>
      <c r="N464" s="20">
        <v>0.90429999999999999</v>
      </c>
      <c r="O464" s="20">
        <v>0.96379999999999999</v>
      </c>
      <c r="P464" s="20">
        <v>1.0217000000000001</v>
      </c>
      <c r="Q464" s="20">
        <v>1.0781000000000001</v>
      </c>
      <c r="R464" s="20">
        <v>1.1332</v>
      </c>
      <c r="S464" s="20">
        <v>1.1870000000000001</v>
      </c>
      <c r="T464" s="20">
        <v>1.2396</v>
      </c>
      <c r="U464" s="20">
        <v>1.2911999999999999</v>
      </c>
      <c r="V464" s="20">
        <v>1.3416999999999999</v>
      </c>
      <c r="W464"/>
      <c r="X464"/>
      <c r="Y464"/>
      <c r="Z464"/>
    </row>
    <row r="465" spans="1:26" x14ac:dyDescent="0.2">
      <c r="A465" s="19">
        <v>0.45900000000000002</v>
      </c>
      <c r="B465" s="20">
        <v>0</v>
      </c>
      <c r="C465" s="20">
        <v>9.4299999999999995E-2</v>
      </c>
      <c r="D465" s="20">
        <v>0.18410000000000001</v>
      </c>
      <c r="E465" s="20">
        <v>0.26979999999999998</v>
      </c>
      <c r="F465" s="20">
        <v>0.3518</v>
      </c>
      <c r="G465" s="20">
        <v>0.43030000000000002</v>
      </c>
      <c r="H465" s="20">
        <v>0.50570000000000004</v>
      </c>
      <c r="I465" s="20">
        <v>0.57820000000000005</v>
      </c>
      <c r="J465" s="20">
        <v>0.64800000000000002</v>
      </c>
      <c r="K465" s="20">
        <v>0.71540000000000004</v>
      </c>
      <c r="L465" s="20">
        <v>0.78049999999999997</v>
      </c>
      <c r="M465" s="20">
        <v>0.84360000000000002</v>
      </c>
      <c r="N465" s="20">
        <v>0.90480000000000005</v>
      </c>
      <c r="O465" s="20">
        <v>0.96430000000000005</v>
      </c>
      <c r="P465" s="20">
        <v>1.0223</v>
      </c>
      <c r="Q465" s="20">
        <v>1.0787</v>
      </c>
      <c r="R465" s="20">
        <v>1.1337999999999999</v>
      </c>
      <c r="S465" s="20">
        <v>1.1876</v>
      </c>
      <c r="T465" s="20">
        <v>1.2402</v>
      </c>
      <c r="U465" s="20">
        <v>1.2918000000000001</v>
      </c>
      <c r="V465" s="20">
        <v>1.3423</v>
      </c>
      <c r="W465"/>
      <c r="X465"/>
      <c r="Y465"/>
      <c r="Z465"/>
    </row>
    <row r="466" spans="1:26" x14ac:dyDescent="0.2">
      <c r="A466" s="19">
        <v>0.46</v>
      </c>
      <c r="B466" s="20">
        <v>0</v>
      </c>
      <c r="C466" s="20">
        <v>9.4299999999999995E-2</v>
      </c>
      <c r="D466" s="20">
        <v>0.1842</v>
      </c>
      <c r="E466" s="20">
        <v>0.27</v>
      </c>
      <c r="F466" s="20">
        <v>0.35199999999999998</v>
      </c>
      <c r="G466" s="20">
        <v>0.43059999999999998</v>
      </c>
      <c r="H466" s="20">
        <v>0.50600000000000001</v>
      </c>
      <c r="I466" s="20">
        <v>0.57850000000000001</v>
      </c>
      <c r="J466" s="20">
        <v>0.64839999999999998</v>
      </c>
      <c r="K466" s="20">
        <v>0.71579999999999999</v>
      </c>
      <c r="L466" s="20">
        <v>0.78100000000000003</v>
      </c>
      <c r="M466" s="20">
        <v>0.84409999999999996</v>
      </c>
      <c r="N466" s="20">
        <v>0.90539999999999998</v>
      </c>
      <c r="O466" s="20">
        <v>0.96489999999999998</v>
      </c>
      <c r="P466" s="20">
        <v>1.0227999999999999</v>
      </c>
      <c r="Q466" s="20">
        <v>1.0792999999999999</v>
      </c>
      <c r="R466" s="20">
        <v>1.1344000000000001</v>
      </c>
      <c r="S466" s="20">
        <v>1.1881999999999999</v>
      </c>
      <c r="T466" s="20">
        <v>1.2407999999999999</v>
      </c>
      <c r="U466" s="20">
        <v>1.2924</v>
      </c>
      <c r="V466" s="20">
        <v>1.3429</v>
      </c>
      <c r="W466"/>
      <c r="X466"/>
      <c r="Y466"/>
      <c r="Z466"/>
    </row>
    <row r="467" spans="1:26" x14ac:dyDescent="0.2">
      <c r="A467" s="19">
        <v>0.46100000000000002</v>
      </c>
      <c r="B467" s="20">
        <v>0</v>
      </c>
      <c r="C467" s="20">
        <v>9.4399999999999998E-2</v>
      </c>
      <c r="D467" s="20">
        <v>0.18429999999999999</v>
      </c>
      <c r="E467" s="20">
        <v>0.2702</v>
      </c>
      <c r="F467" s="20">
        <v>0.3523</v>
      </c>
      <c r="G467" s="20">
        <v>0.43090000000000001</v>
      </c>
      <c r="H467" s="20">
        <v>0.50629999999999997</v>
      </c>
      <c r="I467" s="20">
        <v>0.57889999999999997</v>
      </c>
      <c r="J467" s="20">
        <v>0.64880000000000004</v>
      </c>
      <c r="K467" s="20">
        <v>0.71619999999999995</v>
      </c>
      <c r="L467" s="20">
        <v>0.78139999999999998</v>
      </c>
      <c r="M467" s="20">
        <v>0.84460000000000002</v>
      </c>
      <c r="N467" s="20">
        <v>0.90590000000000004</v>
      </c>
      <c r="O467" s="20">
        <v>0.96540000000000004</v>
      </c>
      <c r="P467" s="20">
        <v>1.0234000000000001</v>
      </c>
      <c r="Q467" s="20">
        <v>1.0798000000000001</v>
      </c>
      <c r="R467" s="20">
        <v>1.1349</v>
      </c>
      <c r="S467" s="20">
        <v>1.1888000000000001</v>
      </c>
      <c r="T467" s="20">
        <v>1.2414000000000001</v>
      </c>
      <c r="U467" s="20">
        <v>1.2929999999999999</v>
      </c>
      <c r="V467" s="20">
        <v>1.3434999999999999</v>
      </c>
      <c r="W467"/>
      <c r="X467"/>
      <c r="Y467"/>
      <c r="Z467"/>
    </row>
    <row r="468" spans="1:26" x14ac:dyDescent="0.2">
      <c r="A468" s="19">
        <v>0.46200000000000002</v>
      </c>
      <c r="B468" s="20">
        <v>0</v>
      </c>
      <c r="C468" s="20">
        <v>9.4500000000000001E-2</v>
      </c>
      <c r="D468" s="20">
        <v>0.1845</v>
      </c>
      <c r="E468" s="20">
        <v>0.27039999999999997</v>
      </c>
      <c r="F468" s="20">
        <v>0.35249999999999998</v>
      </c>
      <c r="G468" s="20">
        <v>0.43120000000000003</v>
      </c>
      <c r="H468" s="20">
        <v>0.50670000000000004</v>
      </c>
      <c r="I468" s="20">
        <v>0.57930000000000004</v>
      </c>
      <c r="J468" s="20">
        <v>0.6492</v>
      </c>
      <c r="K468" s="20">
        <v>0.7167</v>
      </c>
      <c r="L468" s="20">
        <v>0.78190000000000004</v>
      </c>
      <c r="M468" s="20">
        <v>0.84509999999999996</v>
      </c>
      <c r="N468" s="20">
        <v>0.90639999999999998</v>
      </c>
      <c r="O468" s="20">
        <v>0.96599999999999997</v>
      </c>
      <c r="P468" s="20">
        <v>1.0239</v>
      </c>
      <c r="Q468" s="20">
        <v>1.0804</v>
      </c>
      <c r="R468" s="20">
        <v>1.1355</v>
      </c>
      <c r="S468" s="20">
        <v>1.1894</v>
      </c>
      <c r="T468" s="20">
        <v>1.242</v>
      </c>
      <c r="U468" s="20">
        <v>1.2936000000000001</v>
      </c>
      <c r="V468" s="20">
        <v>1.3441000000000001</v>
      </c>
      <c r="W468"/>
      <c r="X468"/>
      <c r="Y468"/>
      <c r="Z468"/>
    </row>
    <row r="469" spans="1:26" x14ac:dyDescent="0.2">
      <c r="A469" s="19">
        <v>0.46300000000000002</v>
      </c>
      <c r="B469" s="20">
        <v>0</v>
      </c>
      <c r="C469" s="20">
        <v>9.4500000000000001E-2</v>
      </c>
      <c r="D469" s="20">
        <v>0.18459999999999999</v>
      </c>
      <c r="E469" s="20">
        <v>0.27050000000000002</v>
      </c>
      <c r="F469" s="20">
        <v>0.35270000000000001</v>
      </c>
      <c r="G469" s="20">
        <v>0.43140000000000001</v>
      </c>
      <c r="H469" s="20">
        <v>0.50700000000000001</v>
      </c>
      <c r="I469" s="20">
        <v>0.5796</v>
      </c>
      <c r="J469" s="20">
        <v>0.64959999999999996</v>
      </c>
      <c r="K469" s="20">
        <v>0.71709999999999996</v>
      </c>
      <c r="L469" s="20">
        <v>0.78239999999999998</v>
      </c>
      <c r="M469" s="20">
        <v>0.84560000000000002</v>
      </c>
      <c r="N469" s="20">
        <v>0.90690000000000004</v>
      </c>
      <c r="O469" s="20">
        <v>0.96650000000000003</v>
      </c>
      <c r="P469" s="20">
        <v>1.0245</v>
      </c>
      <c r="Q469" s="20">
        <v>1.081</v>
      </c>
      <c r="R469" s="20">
        <v>1.1361000000000001</v>
      </c>
      <c r="S469" s="20">
        <v>1.19</v>
      </c>
      <c r="T469" s="20">
        <v>1.2425999999999999</v>
      </c>
      <c r="U469" s="20">
        <v>1.2942</v>
      </c>
      <c r="V469" s="20">
        <v>1.3447</v>
      </c>
      <c r="W469"/>
      <c r="X469"/>
      <c r="Y469"/>
      <c r="Z469"/>
    </row>
    <row r="470" spans="1:26" x14ac:dyDescent="0.2">
      <c r="A470" s="19">
        <v>0.46400000000000002</v>
      </c>
      <c r="B470" s="20">
        <v>0</v>
      </c>
      <c r="C470" s="20">
        <v>9.4600000000000004E-2</v>
      </c>
      <c r="D470" s="20">
        <v>0.1847</v>
      </c>
      <c r="E470" s="20">
        <v>0.2707</v>
      </c>
      <c r="F470" s="20">
        <v>0.35289999999999999</v>
      </c>
      <c r="G470" s="20">
        <v>0.43169999999999997</v>
      </c>
      <c r="H470" s="20">
        <v>0.50729999999999997</v>
      </c>
      <c r="I470" s="20">
        <v>0.57999999999999996</v>
      </c>
      <c r="J470" s="20">
        <v>0.65</v>
      </c>
      <c r="K470" s="20">
        <v>0.71750000000000003</v>
      </c>
      <c r="L470" s="20">
        <v>0.78280000000000005</v>
      </c>
      <c r="M470" s="20">
        <v>0.84609999999999996</v>
      </c>
      <c r="N470" s="20">
        <v>0.90739999999999998</v>
      </c>
      <c r="O470" s="20">
        <v>0.96699999999999997</v>
      </c>
      <c r="P470" s="20">
        <v>1.0249999999999999</v>
      </c>
      <c r="Q470" s="20">
        <v>1.0814999999999999</v>
      </c>
      <c r="R470" s="20">
        <v>1.1367</v>
      </c>
      <c r="S470" s="20">
        <v>1.1906000000000001</v>
      </c>
      <c r="T470" s="20">
        <v>1.2432000000000001</v>
      </c>
      <c r="U470" s="20">
        <v>1.2948</v>
      </c>
      <c r="V470" s="20">
        <v>1.3452999999999999</v>
      </c>
      <c r="W470"/>
      <c r="X470"/>
      <c r="Y470"/>
      <c r="Z470"/>
    </row>
    <row r="471" spans="1:26" x14ac:dyDescent="0.2">
      <c r="A471" s="19">
        <v>0.46500000000000002</v>
      </c>
      <c r="B471" s="20">
        <v>0</v>
      </c>
      <c r="C471" s="20">
        <v>9.4600000000000004E-2</v>
      </c>
      <c r="D471" s="20">
        <v>0.18479999999999999</v>
      </c>
      <c r="E471" s="20">
        <v>0.27089999999999997</v>
      </c>
      <c r="F471" s="20">
        <v>0.35320000000000001</v>
      </c>
      <c r="G471" s="20">
        <v>0.432</v>
      </c>
      <c r="H471" s="20">
        <v>0.50760000000000005</v>
      </c>
      <c r="I471" s="20">
        <v>0.58030000000000004</v>
      </c>
      <c r="J471" s="20">
        <v>0.65039999999999998</v>
      </c>
      <c r="K471" s="20">
        <v>0.71799999999999997</v>
      </c>
      <c r="L471" s="20">
        <v>0.7833</v>
      </c>
      <c r="M471" s="20">
        <v>0.84660000000000002</v>
      </c>
      <c r="N471" s="20">
        <v>0.90790000000000004</v>
      </c>
      <c r="O471" s="20">
        <v>0.96760000000000002</v>
      </c>
      <c r="P471" s="20">
        <v>1.0256000000000001</v>
      </c>
      <c r="Q471" s="20">
        <v>1.0821000000000001</v>
      </c>
      <c r="R471" s="20">
        <v>1.1373</v>
      </c>
      <c r="S471" s="20">
        <v>1.1911</v>
      </c>
      <c r="T471" s="20">
        <v>1.2438</v>
      </c>
      <c r="U471" s="20">
        <v>1.2954000000000001</v>
      </c>
      <c r="V471" s="20">
        <v>1.3459000000000001</v>
      </c>
      <c r="W471"/>
      <c r="X471"/>
      <c r="Y471"/>
      <c r="Z471"/>
    </row>
    <row r="472" spans="1:26" x14ac:dyDescent="0.2">
      <c r="A472" s="19">
        <v>0.46600000000000003</v>
      </c>
      <c r="B472" s="20">
        <v>0</v>
      </c>
      <c r="C472" s="20">
        <v>9.4700000000000006E-2</v>
      </c>
      <c r="D472" s="20">
        <v>0.18490000000000001</v>
      </c>
      <c r="E472" s="20">
        <v>0.27100000000000002</v>
      </c>
      <c r="F472" s="20">
        <v>0.35339999999999999</v>
      </c>
      <c r="G472" s="20">
        <v>0.43230000000000002</v>
      </c>
      <c r="H472" s="20">
        <v>0.50790000000000002</v>
      </c>
      <c r="I472" s="20">
        <v>0.58069999999999999</v>
      </c>
      <c r="J472" s="20">
        <v>0.65080000000000005</v>
      </c>
      <c r="K472" s="20">
        <v>0.71840000000000004</v>
      </c>
      <c r="L472" s="20">
        <v>0.78380000000000005</v>
      </c>
      <c r="M472" s="20">
        <v>0.84709999999999996</v>
      </c>
      <c r="N472" s="20">
        <v>0.90839999999999999</v>
      </c>
      <c r="O472" s="20">
        <v>0.96809999999999996</v>
      </c>
      <c r="P472" s="20">
        <v>1.0261</v>
      </c>
      <c r="Q472" s="20">
        <v>1.0827</v>
      </c>
      <c r="R472" s="20">
        <v>1.1377999999999999</v>
      </c>
      <c r="S472" s="20">
        <v>1.1917</v>
      </c>
      <c r="T472" s="20">
        <v>1.2444</v>
      </c>
      <c r="U472" s="20">
        <v>1.296</v>
      </c>
      <c r="V472" s="20">
        <v>1.3465</v>
      </c>
      <c r="W472"/>
      <c r="X472"/>
      <c r="Y472"/>
      <c r="Z472"/>
    </row>
    <row r="473" spans="1:26" x14ac:dyDescent="0.2">
      <c r="A473" s="19">
        <v>0.46700000000000003</v>
      </c>
      <c r="B473" s="20">
        <v>0</v>
      </c>
      <c r="C473" s="20">
        <v>9.4799999999999995E-2</v>
      </c>
      <c r="D473" s="20">
        <v>0.185</v>
      </c>
      <c r="E473" s="20">
        <v>0.2712</v>
      </c>
      <c r="F473" s="20">
        <v>0.35360000000000003</v>
      </c>
      <c r="G473" s="20">
        <v>0.4325</v>
      </c>
      <c r="H473" s="20">
        <v>0.50819999999999999</v>
      </c>
      <c r="I473" s="20">
        <v>0.58099999999999996</v>
      </c>
      <c r="J473" s="20">
        <v>0.6512</v>
      </c>
      <c r="K473" s="20">
        <v>0.71879999999999999</v>
      </c>
      <c r="L473" s="20">
        <v>0.78420000000000001</v>
      </c>
      <c r="M473" s="20">
        <v>0.84750000000000003</v>
      </c>
      <c r="N473" s="20">
        <v>0.90900000000000003</v>
      </c>
      <c r="O473" s="20">
        <v>0.96860000000000002</v>
      </c>
      <c r="P473" s="20">
        <v>1.0266999999999999</v>
      </c>
      <c r="Q473" s="20">
        <v>1.0831999999999999</v>
      </c>
      <c r="R473" s="20">
        <v>1.1384000000000001</v>
      </c>
      <c r="S473" s="20">
        <v>1.1922999999999999</v>
      </c>
      <c r="T473" s="20">
        <v>1.2450000000000001</v>
      </c>
      <c r="U473" s="20">
        <v>1.2966</v>
      </c>
      <c r="V473" s="20">
        <v>1.3471</v>
      </c>
      <c r="W473"/>
      <c r="X473"/>
      <c r="Y473"/>
      <c r="Z473"/>
    </row>
    <row r="474" spans="1:26" x14ac:dyDescent="0.2">
      <c r="A474" s="19">
        <v>0.46800000000000003</v>
      </c>
      <c r="B474" s="20">
        <v>0</v>
      </c>
      <c r="C474" s="20">
        <v>9.4799999999999995E-2</v>
      </c>
      <c r="D474" s="20">
        <v>0.1852</v>
      </c>
      <c r="E474" s="20">
        <v>0.27139999999999997</v>
      </c>
      <c r="F474" s="20">
        <v>0.3538</v>
      </c>
      <c r="G474" s="20">
        <v>0.43280000000000002</v>
      </c>
      <c r="H474" s="20">
        <v>0.50860000000000005</v>
      </c>
      <c r="I474" s="20">
        <v>0.58140000000000003</v>
      </c>
      <c r="J474" s="20">
        <v>0.65159999999999996</v>
      </c>
      <c r="K474" s="20">
        <v>0.71919999999999995</v>
      </c>
      <c r="L474" s="20">
        <v>0.78469999999999995</v>
      </c>
      <c r="M474" s="20">
        <v>0.84799999999999998</v>
      </c>
      <c r="N474" s="20">
        <v>0.90949999999999998</v>
      </c>
      <c r="O474" s="20">
        <v>0.96919999999999995</v>
      </c>
      <c r="P474" s="20">
        <v>1.0271999999999999</v>
      </c>
      <c r="Q474" s="20">
        <v>1.0838000000000001</v>
      </c>
      <c r="R474" s="20">
        <v>1.139</v>
      </c>
      <c r="S474" s="20">
        <v>1.1929000000000001</v>
      </c>
      <c r="T474" s="20">
        <v>1.2456</v>
      </c>
      <c r="U474" s="20">
        <v>1.2971999999999999</v>
      </c>
      <c r="V474" s="20">
        <v>1.3476999999999999</v>
      </c>
      <c r="W474"/>
      <c r="X474"/>
      <c r="Y474"/>
      <c r="Z474"/>
    </row>
    <row r="475" spans="1:26" x14ac:dyDescent="0.2">
      <c r="A475" s="19">
        <v>0.46899999999999997</v>
      </c>
      <c r="B475" s="20">
        <v>0</v>
      </c>
      <c r="C475" s="20">
        <v>9.4899999999999998E-2</v>
      </c>
      <c r="D475" s="20">
        <v>0.18529999999999999</v>
      </c>
      <c r="E475" s="20">
        <v>0.27160000000000001</v>
      </c>
      <c r="F475" s="20">
        <v>0.35410000000000003</v>
      </c>
      <c r="G475" s="20">
        <v>0.43309999999999998</v>
      </c>
      <c r="H475" s="20">
        <v>0.50890000000000002</v>
      </c>
      <c r="I475" s="20">
        <v>0.58179999999999998</v>
      </c>
      <c r="J475" s="20">
        <v>0.65190000000000003</v>
      </c>
      <c r="K475" s="20">
        <v>0.71970000000000001</v>
      </c>
      <c r="L475" s="20">
        <v>0.78510000000000002</v>
      </c>
      <c r="M475" s="20">
        <v>0.84850000000000003</v>
      </c>
      <c r="N475" s="20">
        <v>0.91</v>
      </c>
      <c r="O475" s="20">
        <v>0.96970000000000001</v>
      </c>
      <c r="P475" s="20">
        <v>1.0278</v>
      </c>
      <c r="Q475" s="20">
        <v>1.0844</v>
      </c>
      <c r="R475" s="20">
        <v>1.1395999999999999</v>
      </c>
      <c r="S475" s="20">
        <v>1.1935</v>
      </c>
      <c r="T475" s="20">
        <v>1.2462</v>
      </c>
      <c r="U475" s="20">
        <v>1.2978000000000001</v>
      </c>
      <c r="V475" s="20">
        <v>1.3483000000000001</v>
      </c>
      <c r="W475"/>
      <c r="X475"/>
      <c r="Y475"/>
      <c r="Z475"/>
    </row>
    <row r="476" spans="1:26" x14ac:dyDescent="0.2">
      <c r="A476" s="19">
        <v>0.47</v>
      </c>
      <c r="B476" s="20">
        <v>0</v>
      </c>
      <c r="C476" s="20">
        <v>9.4899999999999998E-2</v>
      </c>
      <c r="D476" s="20">
        <v>0.18540000000000001</v>
      </c>
      <c r="E476" s="20">
        <v>0.2717</v>
      </c>
      <c r="F476" s="20">
        <v>0.3543</v>
      </c>
      <c r="G476" s="20">
        <v>0.43330000000000002</v>
      </c>
      <c r="H476" s="20">
        <v>0.50919999999999999</v>
      </c>
      <c r="I476" s="20">
        <v>0.58209999999999995</v>
      </c>
      <c r="J476" s="20">
        <v>0.65229999999999999</v>
      </c>
      <c r="K476" s="20">
        <v>0.72009999999999996</v>
      </c>
      <c r="L476" s="20">
        <v>0.78559999999999997</v>
      </c>
      <c r="M476" s="20">
        <v>0.84899999999999998</v>
      </c>
      <c r="N476" s="20">
        <v>0.91049999999999998</v>
      </c>
      <c r="O476" s="20">
        <v>0.97019999999999995</v>
      </c>
      <c r="P476" s="20">
        <v>1.0283</v>
      </c>
      <c r="Q476" s="20">
        <v>1.0849</v>
      </c>
      <c r="R476" s="20">
        <v>1.1400999999999999</v>
      </c>
      <c r="S476" s="20">
        <v>1.1940999999999999</v>
      </c>
      <c r="T476" s="20">
        <v>1.2467999999999999</v>
      </c>
      <c r="U476" s="20">
        <v>1.2984</v>
      </c>
      <c r="V476" s="20">
        <v>1.3489</v>
      </c>
      <c r="W476"/>
      <c r="X476"/>
      <c r="Y476"/>
      <c r="Z476"/>
    </row>
    <row r="477" spans="1:26" x14ac:dyDescent="0.2">
      <c r="A477" s="19">
        <v>0.47099999999999997</v>
      </c>
      <c r="B477" s="20">
        <v>0</v>
      </c>
      <c r="C477" s="20">
        <v>9.5000000000000001E-2</v>
      </c>
      <c r="D477" s="20">
        <v>0.1855</v>
      </c>
      <c r="E477" s="20">
        <v>0.27189999999999998</v>
      </c>
      <c r="F477" s="20">
        <v>0.35449999999999998</v>
      </c>
      <c r="G477" s="20">
        <v>0.43359999999999999</v>
      </c>
      <c r="H477" s="20">
        <v>0.50949999999999995</v>
      </c>
      <c r="I477" s="20">
        <v>0.58250000000000002</v>
      </c>
      <c r="J477" s="20">
        <v>0.65269999999999995</v>
      </c>
      <c r="K477" s="20">
        <v>0.72050000000000003</v>
      </c>
      <c r="L477" s="20">
        <v>0.78600000000000003</v>
      </c>
      <c r="M477" s="20">
        <v>0.84950000000000003</v>
      </c>
      <c r="N477" s="20">
        <v>0.91100000000000003</v>
      </c>
      <c r="O477" s="20">
        <v>0.97070000000000001</v>
      </c>
      <c r="P477" s="20">
        <v>1.0288999999999999</v>
      </c>
      <c r="Q477" s="20">
        <v>1.0854999999999999</v>
      </c>
      <c r="R477" s="20">
        <v>1.1407</v>
      </c>
      <c r="S477" s="20">
        <v>1.1946000000000001</v>
      </c>
      <c r="T477" s="20">
        <v>1.2474000000000001</v>
      </c>
      <c r="U477" s="20">
        <v>1.2988999999999999</v>
      </c>
      <c r="V477" s="20">
        <v>1.3494999999999999</v>
      </c>
      <c r="W477"/>
      <c r="X477"/>
      <c r="Y477"/>
      <c r="Z477"/>
    </row>
    <row r="478" spans="1:26" x14ac:dyDescent="0.2">
      <c r="A478" s="19">
        <v>0.47199999999999998</v>
      </c>
      <c r="B478" s="20">
        <v>0</v>
      </c>
      <c r="C478" s="20">
        <v>9.5100000000000004E-2</v>
      </c>
      <c r="D478" s="20">
        <v>0.18559999999999999</v>
      </c>
      <c r="E478" s="20">
        <v>0.27210000000000001</v>
      </c>
      <c r="F478" s="20">
        <v>0.35470000000000002</v>
      </c>
      <c r="G478" s="20">
        <v>0.43390000000000001</v>
      </c>
      <c r="H478" s="20">
        <v>0.50980000000000003</v>
      </c>
      <c r="I478" s="20">
        <v>0.58279999999999998</v>
      </c>
      <c r="J478" s="20">
        <v>0.65310000000000001</v>
      </c>
      <c r="K478" s="20">
        <v>0.72089999999999999</v>
      </c>
      <c r="L478" s="20">
        <v>0.78649999999999998</v>
      </c>
      <c r="M478" s="20">
        <v>0.85</v>
      </c>
      <c r="N478" s="20">
        <v>0.91149999999999998</v>
      </c>
      <c r="O478" s="20">
        <v>0.97130000000000005</v>
      </c>
      <c r="P478" s="20">
        <v>1.0294000000000001</v>
      </c>
      <c r="Q478" s="20">
        <v>1.0861000000000001</v>
      </c>
      <c r="R478" s="20">
        <v>1.1413</v>
      </c>
      <c r="S478" s="20">
        <v>1.1952</v>
      </c>
      <c r="T478" s="20">
        <v>1.248</v>
      </c>
      <c r="U478" s="20">
        <v>1.2995000000000001</v>
      </c>
      <c r="V478" s="20">
        <v>1.3501000000000001</v>
      </c>
      <c r="W478"/>
      <c r="X478"/>
      <c r="Y478"/>
      <c r="Z478"/>
    </row>
    <row r="479" spans="1:26" x14ac:dyDescent="0.2">
      <c r="A479" s="19">
        <v>0.47299999999999998</v>
      </c>
      <c r="B479" s="20">
        <v>0</v>
      </c>
      <c r="C479" s="20">
        <v>9.5100000000000004E-2</v>
      </c>
      <c r="D479" s="20">
        <v>0.18579999999999999</v>
      </c>
      <c r="E479" s="20">
        <v>0.27229999999999999</v>
      </c>
      <c r="F479" s="20">
        <v>0.35489999999999999</v>
      </c>
      <c r="G479" s="20">
        <v>0.43409999999999999</v>
      </c>
      <c r="H479" s="20">
        <v>0.5101</v>
      </c>
      <c r="I479" s="20">
        <v>0.58320000000000005</v>
      </c>
      <c r="J479" s="20">
        <v>0.65349999999999997</v>
      </c>
      <c r="K479" s="20">
        <v>0.72140000000000004</v>
      </c>
      <c r="L479" s="20">
        <v>0.78690000000000004</v>
      </c>
      <c r="M479" s="20">
        <v>0.85040000000000004</v>
      </c>
      <c r="N479" s="20">
        <v>0.91200000000000003</v>
      </c>
      <c r="O479" s="20">
        <v>0.9718</v>
      </c>
      <c r="P479" s="20">
        <v>1.03</v>
      </c>
      <c r="Q479" s="20">
        <v>1.0866</v>
      </c>
      <c r="R479" s="20">
        <v>1.1418999999999999</v>
      </c>
      <c r="S479" s="20">
        <v>1.1958</v>
      </c>
      <c r="T479" s="20">
        <v>1.2484999999999999</v>
      </c>
      <c r="U479" s="20">
        <v>1.3001</v>
      </c>
      <c r="V479" s="20">
        <v>1.3506</v>
      </c>
      <c r="W479"/>
      <c r="X479"/>
      <c r="Y479"/>
      <c r="Z479"/>
    </row>
    <row r="480" spans="1:26" x14ac:dyDescent="0.2">
      <c r="A480" s="19">
        <v>0.47399999999999998</v>
      </c>
      <c r="B480" s="20">
        <v>0</v>
      </c>
      <c r="C480" s="20">
        <v>9.5200000000000007E-2</v>
      </c>
      <c r="D480" s="20">
        <v>0.18590000000000001</v>
      </c>
      <c r="E480" s="20">
        <v>0.27239999999999998</v>
      </c>
      <c r="F480" s="20">
        <v>0.35520000000000002</v>
      </c>
      <c r="G480" s="20">
        <v>0.43440000000000001</v>
      </c>
      <c r="H480" s="20">
        <v>0.51039999999999996</v>
      </c>
      <c r="I480" s="20">
        <v>0.58350000000000002</v>
      </c>
      <c r="J480" s="20">
        <v>0.65390000000000004</v>
      </c>
      <c r="K480" s="20">
        <v>0.7218</v>
      </c>
      <c r="L480" s="20">
        <v>0.78739999999999999</v>
      </c>
      <c r="M480" s="20">
        <v>0.85089999999999999</v>
      </c>
      <c r="N480" s="20">
        <v>0.91249999999999998</v>
      </c>
      <c r="O480" s="20">
        <v>0.97230000000000005</v>
      </c>
      <c r="P480" s="20">
        <v>1.0305</v>
      </c>
      <c r="Q480" s="20">
        <v>1.0871999999999999</v>
      </c>
      <c r="R480" s="20">
        <v>1.1424000000000001</v>
      </c>
      <c r="S480" s="20">
        <v>1.1963999999999999</v>
      </c>
      <c r="T480" s="20">
        <v>1.2491000000000001</v>
      </c>
      <c r="U480" s="20">
        <v>1.3007</v>
      </c>
      <c r="V480" s="20">
        <v>1.3512</v>
      </c>
      <c r="W480"/>
      <c r="X480"/>
      <c r="Y480"/>
      <c r="Z480"/>
    </row>
    <row r="481" spans="1:26" x14ac:dyDescent="0.2">
      <c r="A481" s="19">
        <v>0.47499999999999998</v>
      </c>
      <c r="B481" s="20">
        <v>0</v>
      </c>
      <c r="C481" s="20">
        <v>9.5200000000000007E-2</v>
      </c>
      <c r="D481" s="20">
        <v>0.186</v>
      </c>
      <c r="E481" s="20">
        <v>0.27260000000000001</v>
      </c>
      <c r="F481" s="20">
        <v>0.35539999999999999</v>
      </c>
      <c r="G481" s="20">
        <v>0.43469999999999998</v>
      </c>
      <c r="H481" s="20">
        <v>0.51080000000000003</v>
      </c>
      <c r="I481" s="20">
        <v>0.58389999999999997</v>
      </c>
      <c r="J481" s="20">
        <v>0.65429999999999999</v>
      </c>
      <c r="K481" s="20">
        <v>0.72219999999999995</v>
      </c>
      <c r="L481" s="20">
        <v>0.78790000000000004</v>
      </c>
      <c r="M481" s="20">
        <v>0.85140000000000005</v>
      </c>
      <c r="N481" s="20">
        <v>0.91300000000000003</v>
      </c>
      <c r="O481" s="20">
        <v>0.9728</v>
      </c>
      <c r="P481" s="20">
        <v>1.0309999999999999</v>
      </c>
      <c r="Q481" s="20">
        <v>1.0876999999999999</v>
      </c>
      <c r="R481" s="20">
        <v>1.143</v>
      </c>
      <c r="S481" s="20">
        <v>1.1970000000000001</v>
      </c>
      <c r="T481" s="20">
        <v>1.2497</v>
      </c>
      <c r="U481" s="20">
        <v>1.3012999999999999</v>
      </c>
      <c r="V481" s="20">
        <v>1.3517999999999999</v>
      </c>
      <c r="W481"/>
      <c r="X481"/>
      <c r="Y481"/>
      <c r="Z481"/>
    </row>
    <row r="482" spans="1:26" x14ac:dyDescent="0.2">
      <c r="A482" s="19">
        <v>0.47599999999999998</v>
      </c>
      <c r="B482" s="20">
        <v>0</v>
      </c>
      <c r="C482" s="20">
        <v>9.5299999999999996E-2</v>
      </c>
      <c r="D482" s="20">
        <v>0.18609999999999999</v>
      </c>
      <c r="E482" s="20">
        <v>0.27279999999999999</v>
      </c>
      <c r="F482" s="20">
        <v>0.35560000000000003</v>
      </c>
      <c r="G482" s="20">
        <v>0.43490000000000001</v>
      </c>
      <c r="H482" s="20">
        <v>0.5111</v>
      </c>
      <c r="I482" s="20">
        <v>0.58420000000000005</v>
      </c>
      <c r="J482" s="20">
        <v>0.65469999999999995</v>
      </c>
      <c r="K482" s="20">
        <v>0.72260000000000002</v>
      </c>
      <c r="L482" s="20">
        <v>0.7883</v>
      </c>
      <c r="M482" s="20">
        <v>0.85189999999999999</v>
      </c>
      <c r="N482" s="20">
        <v>0.91349999999999998</v>
      </c>
      <c r="O482" s="20">
        <v>0.97340000000000004</v>
      </c>
      <c r="P482" s="20">
        <v>1.0316000000000001</v>
      </c>
      <c r="Q482" s="20">
        <v>1.0883</v>
      </c>
      <c r="R482" s="20">
        <v>1.1435999999999999</v>
      </c>
      <c r="S482" s="20">
        <v>1.1975</v>
      </c>
      <c r="T482" s="20">
        <v>1.2503</v>
      </c>
      <c r="U482" s="20">
        <v>1.3019000000000001</v>
      </c>
      <c r="V482" s="20">
        <v>1.3524</v>
      </c>
      <c r="W482"/>
      <c r="X482"/>
      <c r="Y482"/>
      <c r="Z482"/>
    </row>
    <row r="483" spans="1:26" x14ac:dyDescent="0.2">
      <c r="A483" s="19">
        <v>0.47699999999999998</v>
      </c>
      <c r="B483" s="20">
        <v>0</v>
      </c>
      <c r="C483" s="20">
        <v>9.5399999999999999E-2</v>
      </c>
      <c r="D483" s="20">
        <v>0.1862</v>
      </c>
      <c r="E483" s="20">
        <v>0.27289999999999998</v>
      </c>
      <c r="F483" s="20">
        <v>0.35580000000000001</v>
      </c>
      <c r="G483" s="20">
        <v>0.43519999999999998</v>
      </c>
      <c r="H483" s="20">
        <v>0.51139999999999997</v>
      </c>
      <c r="I483" s="20">
        <v>0.58460000000000001</v>
      </c>
      <c r="J483" s="20">
        <v>0.65510000000000002</v>
      </c>
      <c r="K483" s="20">
        <v>0.72309999999999997</v>
      </c>
      <c r="L483" s="20">
        <v>0.78879999999999995</v>
      </c>
      <c r="M483" s="20">
        <v>0.85240000000000005</v>
      </c>
      <c r="N483" s="20">
        <v>0.91400000000000003</v>
      </c>
      <c r="O483" s="20">
        <v>0.97389999999999999</v>
      </c>
      <c r="P483" s="20">
        <v>1.0321</v>
      </c>
      <c r="Q483" s="20">
        <v>1.0888</v>
      </c>
      <c r="R483" s="20">
        <v>1.1440999999999999</v>
      </c>
      <c r="S483" s="20">
        <v>1.1980999999999999</v>
      </c>
      <c r="T483" s="20">
        <v>1.2508999999999999</v>
      </c>
      <c r="U483" s="20">
        <v>1.3025</v>
      </c>
      <c r="V483" s="20">
        <v>1.353</v>
      </c>
      <c r="W483"/>
      <c r="X483"/>
      <c r="Y483"/>
      <c r="Z483"/>
    </row>
    <row r="484" spans="1:26" x14ac:dyDescent="0.2">
      <c r="A484" s="19">
        <v>0.47799999999999998</v>
      </c>
      <c r="B484" s="20">
        <v>0</v>
      </c>
      <c r="C484" s="20">
        <v>9.5399999999999999E-2</v>
      </c>
      <c r="D484" s="20">
        <v>0.18629999999999999</v>
      </c>
      <c r="E484" s="20">
        <v>0.27310000000000001</v>
      </c>
      <c r="F484" s="20">
        <v>0.35599999999999998</v>
      </c>
      <c r="G484" s="20">
        <v>0.4355</v>
      </c>
      <c r="H484" s="20">
        <v>0.51170000000000004</v>
      </c>
      <c r="I484" s="20">
        <v>0.58489999999999998</v>
      </c>
      <c r="J484" s="20">
        <v>0.65549999999999997</v>
      </c>
      <c r="K484" s="20">
        <v>0.72350000000000003</v>
      </c>
      <c r="L484" s="20">
        <v>0.78920000000000001</v>
      </c>
      <c r="M484" s="20">
        <v>0.8528</v>
      </c>
      <c r="N484" s="20">
        <v>0.91449999999999998</v>
      </c>
      <c r="O484" s="20">
        <v>0.97440000000000004</v>
      </c>
      <c r="P484" s="20">
        <v>1.0327</v>
      </c>
      <c r="Q484" s="20">
        <v>1.0893999999999999</v>
      </c>
      <c r="R484" s="20">
        <v>1.1447000000000001</v>
      </c>
      <c r="S484" s="20">
        <v>1.1987000000000001</v>
      </c>
      <c r="T484" s="20">
        <v>1.2515000000000001</v>
      </c>
      <c r="U484" s="20">
        <v>1.3030999999999999</v>
      </c>
      <c r="V484" s="20">
        <v>1.3535999999999999</v>
      </c>
      <c r="W484"/>
      <c r="X484"/>
      <c r="Y484"/>
      <c r="Z484"/>
    </row>
    <row r="485" spans="1:26" x14ac:dyDescent="0.2">
      <c r="A485" s="19">
        <v>0.47899999999999998</v>
      </c>
      <c r="B485" s="20">
        <v>0</v>
      </c>
      <c r="C485" s="20">
        <v>9.5500000000000002E-2</v>
      </c>
      <c r="D485" s="20">
        <v>0.1865</v>
      </c>
      <c r="E485" s="20">
        <v>0.27329999999999999</v>
      </c>
      <c r="F485" s="20">
        <v>0.35630000000000001</v>
      </c>
      <c r="G485" s="20">
        <v>0.43569999999999998</v>
      </c>
      <c r="H485" s="20">
        <v>0.51200000000000001</v>
      </c>
      <c r="I485" s="20">
        <v>0.58530000000000004</v>
      </c>
      <c r="J485" s="20">
        <v>0.65580000000000005</v>
      </c>
      <c r="K485" s="20">
        <v>0.72389999999999999</v>
      </c>
      <c r="L485" s="20">
        <v>0.78969999999999996</v>
      </c>
      <c r="M485" s="20">
        <v>0.85329999999999995</v>
      </c>
      <c r="N485" s="20">
        <v>0.91500000000000004</v>
      </c>
      <c r="O485" s="20">
        <v>0.97489999999999999</v>
      </c>
      <c r="P485" s="20">
        <v>1.0331999999999999</v>
      </c>
      <c r="Q485" s="20">
        <v>1.0899000000000001</v>
      </c>
      <c r="R485" s="20">
        <v>1.1453</v>
      </c>
      <c r="S485" s="20">
        <v>1.1993</v>
      </c>
      <c r="T485" s="20">
        <v>1.252</v>
      </c>
      <c r="U485" s="20">
        <v>1.3037000000000001</v>
      </c>
      <c r="V485" s="20">
        <v>1.3542000000000001</v>
      </c>
      <c r="W485"/>
      <c r="X485"/>
      <c r="Y485"/>
      <c r="Z485"/>
    </row>
    <row r="486" spans="1:26" x14ac:dyDescent="0.2">
      <c r="A486" s="19">
        <v>0.48</v>
      </c>
      <c r="B486" s="20">
        <v>0</v>
      </c>
      <c r="C486" s="20">
        <v>9.5500000000000002E-2</v>
      </c>
      <c r="D486" s="20">
        <v>0.18659999999999999</v>
      </c>
      <c r="E486" s="20">
        <v>0.27339999999999998</v>
      </c>
      <c r="F486" s="20">
        <v>0.35649999999999998</v>
      </c>
      <c r="G486" s="20">
        <v>0.436</v>
      </c>
      <c r="H486" s="20">
        <v>0.51229999999999998</v>
      </c>
      <c r="I486" s="20">
        <v>0.58560000000000001</v>
      </c>
      <c r="J486" s="20">
        <v>0.65620000000000001</v>
      </c>
      <c r="K486" s="20">
        <v>0.72430000000000005</v>
      </c>
      <c r="L486" s="20">
        <v>0.79010000000000002</v>
      </c>
      <c r="M486" s="20">
        <v>0.8538</v>
      </c>
      <c r="N486" s="20">
        <v>0.91549999999999998</v>
      </c>
      <c r="O486" s="20">
        <v>0.97550000000000003</v>
      </c>
      <c r="P486" s="20">
        <v>1.0337000000000001</v>
      </c>
      <c r="Q486" s="20">
        <v>1.0905</v>
      </c>
      <c r="R486" s="20">
        <v>1.1457999999999999</v>
      </c>
      <c r="S486" s="20">
        <v>1.1998</v>
      </c>
      <c r="T486" s="20">
        <v>1.2525999999999999</v>
      </c>
      <c r="U486" s="20">
        <v>1.3042</v>
      </c>
      <c r="V486" s="20">
        <v>1.3548</v>
      </c>
      <c r="W486"/>
      <c r="X486"/>
      <c r="Y486"/>
      <c r="Z486"/>
    </row>
    <row r="487" spans="1:26" x14ac:dyDescent="0.2">
      <c r="A487" s="19">
        <v>0.48099999999999998</v>
      </c>
      <c r="B487" s="20">
        <v>0</v>
      </c>
      <c r="C487" s="20">
        <v>9.5600000000000004E-2</v>
      </c>
      <c r="D487" s="20">
        <v>0.1867</v>
      </c>
      <c r="E487" s="20">
        <v>0.27360000000000001</v>
      </c>
      <c r="F487" s="20">
        <v>0.35670000000000002</v>
      </c>
      <c r="G487" s="20">
        <v>0.43630000000000002</v>
      </c>
      <c r="H487" s="20">
        <v>0.51259999999999994</v>
      </c>
      <c r="I487" s="20">
        <v>0.58599999999999997</v>
      </c>
      <c r="J487" s="20">
        <v>0.65659999999999996</v>
      </c>
      <c r="K487" s="20">
        <v>0.72470000000000001</v>
      </c>
      <c r="L487" s="20">
        <v>0.79059999999999997</v>
      </c>
      <c r="M487" s="20">
        <v>0.85429999999999995</v>
      </c>
      <c r="N487" s="20">
        <v>0.91600000000000004</v>
      </c>
      <c r="O487" s="20">
        <v>0.97599999999999998</v>
      </c>
      <c r="P487" s="20">
        <v>1.0343</v>
      </c>
      <c r="Q487" s="20">
        <v>1.0911</v>
      </c>
      <c r="R487" s="20">
        <v>1.1464000000000001</v>
      </c>
      <c r="S487" s="20">
        <v>1.2003999999999999</v>
      </c>
      <c r="T487" s="20">
        <v>1.2532000000000001</v>
      </c>
      <c r="U487" s="20">
        <v>1.3048</v>
      </c>
      <c r="V487" s="20">
        <v>1.3552999999999999</v>
      </c>
      <c r="W487"/>
      <c r="X487"/>
      <c r="Y487"/>
      <c r="Z487"/>
    </row>
    <row r="488" spans="1:26" x14ac:dyDescent="0.2">
      <c r="A488" s="19">
        <v>0.48199999999999998</v>
      </c>
      <c r="B488" s="20">
        <v>0</v>
      </c>
      <c r="C488" s="20">
        <v>9.5699999999999993E-2</v>
      </c>
      <c r="D488" s="20">
        <v>0.18679999999999999</v>
      </c>
      <c r="E488" s="20">
        <v>0.27379999999999999</v>
      </c>
      <c r="F488" s="20">
        <v>0.3569</v>
      </c>
      <c r="G488" s="20">
        <v>0.4365</v>
      </c>
      <c r="H488" s="20">
        <v>0.51290000000000002</v>
      </c>
      <c r="I488" s="20">
        <v>0.58630000000000004</v>
      </c>
      <c r="J488" s="20">
        <v>0.65700000000000003</v>
      </c>
      <c r="K488" s="20">
        <v>0.72519999999999996</v>
      </c>
      <c r="L488" s="20">
        <v>0.79100000000000004</v>
      </c>
      <c r="M488" s="20">
        <v>0.85470000000000002</v>
      </c>
      <c r="N488" s="20">
        <v>0.91649999999999998</v>
      </c>
      <c r="O488" s="20">
        <v>0.97650000000000003</v>
      </c>
      <c r="P488" s="20">
        <v>1.0347999999999999</v>
      </c>
      <c r="Q488" s="20">
        <v>1.0915999999999999</v>
      </c>
      <c r="R488" s="20">
        <v>1.147</v>
      </c>
      <c r="S488" s="20">
        <v>1.2010000000000001</v>
      </c>
      <c r="T488" s="20">
        <v>1.2538</v>
      </c>
      <c r="U488" s="20">
        <v>1.3053999999999999</v>
      </c>
      <c r="V488" s="20">
        <v>1.3559000000000001</v>
      </c>
      <c r="W488"/>
      <c r="X488"/>
      <c r="Y488"/>
      <c r="Z488"/>
    </row>
    <row r="489" spans="1:26" x14ac:dyDescent="0.2">
      <c r="A489" s="19">
        <v>0.48299999999999998</v>
      </c>
      <c r="B489" s="20">
        <v>0</v>
      </c>
      <c r="C489" s="20">
        <v>9.5699999999999993E-2</v>
      </c>
      <c r="D489" s="20">
        <v>0.18690000000000001</v>
      </c>
      <c r="E489" s="20">
        <v>0.27389999999999998</v>
      </c>
      <c r="F489" s="20">
        <v>0.35709999999999997</v>
      </c>
      <c r="G489" s="20">
        <v>0.43680000000000002</v>
      </c>
      <c r="H489" s="20">
        <v>0.51319999999999999</v>
      </c>
      <c r="I489" s="20">
        <v>0.5867</v>
      </c>
      <c r="J489" s="20">
        <v>0.65739999999999998</v>
      </c>
      <c r="K489" s="20">
        <v>0.72560000000000002</v>
      </c>
      <c r="L489" s="20">
        <v>0.79149999999999998</v>
      </c>
      <c r="M489" s="20">
        <v>0.85519999999999996</v>
      </c>
      <c r="N489" s="20">
        <v>0.91700000000000004</v>
      </c>
      <c r="O489" s="20">
        <v>0.97699999999999998</v>
      </c>
      <c r="P489" s="20">
        <v>1.0354000000000001</v>
      </c>
      <c r="Q489" s="20">
        <v>1.0922000000000001</v>
      </c>
      <c r="R489" s="20">
        <v>1.1475</v>
      </c>
      <c r="S489" s="20">
        <v>1.2016</v>
      </c>
      <c r="T489" s="20">
        <v>1.2544</v>
      </c>
      <c r="U489" s="20">
        <v>1.306</v>
      </c>
      <c r="V489" s="20">
        <v>1.3565</v>
      </c>
      <c r="W489"/>
      <c r="X489"/>
      <c r="Y489"/>
      <c r="Z489"/>
    </row>
    <row r="490" spans="1:26" x14ac:dyDescent="0.2">
      <c r="A490" s="19">
        <v>0.48399999999999999</v>
      </c>
      <c r="B490" s="20">
        <v>0</v>
      </c>
      <c r="C490" s="20">
        <v>9.5799999999999996E-2</v>
      </c>
      <c r="D490" s="20">
        <v>0.187</v>
      </c>
      <c r="E490" s="20">
        <v>0.27410000000000001</v>
      </c>
      <c r="F490" s="20">
        <v>0.3574</v>
      </c>
      <c r="G490" s="20">
        <v>0.43709999999999999</v>
      </c>
      <c r="H490" s="20">
        <v>0.51349999999999996</v>
      </c>
      <c r="I490" s="20">
        <v>0.58699999999999997</v>
      </c>
      <c r="J490" s="20">
        <v>0.65780000000000005</v>
      </c>
      <c r="K490" s="20">
        <v>0.72599999999999998</v>
      </c>
      <c r="L490" s="20">
        <v>0.79190000000000005</v>
      </c>
      <c r="M490" s="20">
        <v>0.85570000000000002</v>
      </c>
      <c r="N490" s="20">
        <v>0.91749999999999998</v>
      </c>
      <c r="O490" s="20">
        <v>0.97750000000000004</v>
      </c>
      <c r="P490" s="20">
        <v>1.0359</v>
      </c>
      <c r="Q490" s="20">
        <v>1.0927</v>
      </c>
      <c r="R490" s="20">
        <v>1.1480999999999999</v>
      </c>
      <c r="S490" s="20">
        <v>1.2020999999999999</v>
      </c>
      <c r="T490" s="20">
        <v>1.2548999999999999</v>
      </c>
      <c r="U490" s="20">
        <v>1.3066</v>
      </c>
      <c r="V490" s="20">
        <v>1.3571</v>
      </c>
      <c r="W490"/>
      <c r="X490"/>
      <c r="Y490"/>
      <c r="Z490"/>
    </row>
    <row r="491" spans="1:26" x14ac:dyDescent="0.2">
      <c r="A491" s="19">
        <v>0.48499999999999999</v>
      </c>
      <c r="B491" s="20">
        <v>0</v>
      </c>
      <c r="C491" s="20">
        <v>9.5799999999999996E-2</v>
      </c>
      <c r="D491" s="20">
        <v>0.18709999999999999</v>
      </c>
      <c r="E491" s="20">
        <v>0.27429999999999999</v>
      </c>
      <c r="F491" s="20">
        <v>0.35759999999999997</v>
      </c>
      <c r="G491" s="20">
        <v>0.43730000000000002</v>
      </c>
      <c r="H491" s="20">
        <v>0.51380000000000003</v>
      </c>
      <c r="I491" s="20">
        <v>0.58740000000000003</v>
      </c>
      <c r="J491" s="20">
        <v>0.65810000000000002</v>
      </c>
      <c r="K491" s="20">
        <v>0.72640000000000005</v>
      </c>
      <c r="L491" s="20">
        <v>0.7923</v>
      </c>
      <c r="M491" s="20">
        <v>0.85619999999999996</v>
      </c>
      <c r="N491" s="20">
        <v>0.91800000000000004</v>
      </c>
      <c r="O491" s="20">
        <v>0.97809999999999997</v>
      </c>
      <c r="P491" s="20">
        <v>1.0364</v>
      </c>
      <c r="Q491" s="20">
        <v>1.0932999999999999</v>
      </c>
      <c r="R491" s="20">
        <v>1.1486000000000001</v>
      </c>
      <c r="S491" s="20">
        <v>1.2027000000000001</v>
      </c>
      <c r="T491" s="20">
        <v>1.2555000000000001</v>
      </c>
      <c r="U491" s="20">
        <v>1.3070999999999999</v>
      </c>
      <c r="V491" s="20">
        <v>1.3576999999999999</v>
      </c>
      <c r="W491"/>
      <c r="X491"/>
      <c r="Y491"/>
      <c r="Z491"/>
    </row>
    <row r="492" spans="1:26" x14ac:dyDescent="0.2">
      <c r="A492" s="19">
        <v>0.48599999999999999</v>
      </c>
      <c r="B492" s="20">
        <v>0</v>
      </c>
      <c r="C492" s="20">
        <v>9.5899999999999999E-2</v>
      </c>
      <c r="D492" s="20">
        <v>0.18729999999999999</v>
      </c>
      <c r="E492" s="20">
        <v>0.27439999999999998</v>
      </c>
      <c r="F492" s="20">
        <v>0.35780000000000001</v>
      </c>
      <c r="G492" s="20">
        <v>0.43759999999999999</v>
      </c>
      <c r="H492" s="20">
        <v>0.5141</v>
      </c>
      <c r="I492" s="20">
        <v>0.5877</v>
      </c>
      <c r="J492" s="20">
        <v>0.65849999999999997</v>
      </c>
      <c r="K492" s="20">
        <v>0.7268</v>
      </c>
      <c r="L492" s="20">
        <v>0.79279999999999995</v>
      </c>
      <c r="M492" s="20">
        <v>0.85660000000000003</v>
      </c>
      <c r="N492" s="20">
        <v>0.91849999999999998</v>
      </c>
      <c r="O492" s="20">
        <v>0.97860000000000003</v>
      </c>
      <c r="P492" s="20">
        <v>1.0369999999999999</v>
      </c>
      <c r="Q492" s="20">
        <v>1.0938000000000001</v>
      </c>
      <c r="R492" s="20">
        <v>1.1492</v>
      </c>
      <c r="S492" s="20">
        <v>1.2033</v>
      </c>
      <c r="T492" s="20">
        <v>1.2561</v>
      </c>
      <c r="U492" s="20">
        <v>1.3077000000000001</v>
      </c>
      <c r="V492" s="20">
        <v>1.3582000000000001</v>
      </c>
      <c r="W492"/>
      <c r="X492"/>
      <c r="Y492"/>
      <c r="Z492"/>
    </row>
    <row r="493" spans="1:26" x14ac:dyDescent="0.2">
      <c r="A493" s="19">
        <v>0.48699999999999999</v>
      </c>
      <c r="B493" s="20">
        <v>0</v>
      </c>
      <c r="C493" s="20">
        <v>9.6000000000000002E-2</v>
      </c>
      <c r="D493" s="20">
        <v>0.18740000000000001</v>
      </c>
      <c r="E493" s="20">
        <v>0.27460000000000001</v>
      </c>
      <c r="F493" s="20">
        <v>0.35799999999999998</v>
      </c>
      <c r="G493" s="20">
        <v>0.43790000000000001</v>
      </c>
      <c r="H493" s="20">
        <v>0.51439999999999997</v>
      </c>
      <c r="I493" s="20">
        <v>0.58809999999999996</v>
      </c>
      <c r="J493" s="20">
        <v>0.65890000000000004</v>
      </c>
      <c r="K493" s="20">
        <v>0.72719999999999996</v>
      </c>
      <c r="L493" s="20">
        <v>0.79320000000000002</v>
      </c>
      <c r="M493" s="20">
        <v>0.85709999999999997</v>
      </c>
      <c r="N493" s="20">
        <v>0.91900000000000004</v>
      </c>
      <c r="O493" s="20">
        <v>0.97909999999999997</v>
      </c>
      <c r="P493" s="20">
        <v>1.0375000000000001</v>
      </c>
      <c r="Q493" s="20">
        <v>1.0943000000000001</v>
      </c>
      <c r="R493" s="20">
        <v>1.1497999999999999</v>
      </c>
      <c r="S493" s="20">
        <v>1.2038</v>
      </c>
      <c r="T493" s="20">
        <v>1.2566999999999999</v>
      </c>
      <c r="U493" s="20">
        <v>1.3083</v>
      </c>
      <c r="V493" s="20">
        <v>1.3588</v>
      </c>
      <c r="W493"/>
      <c r="X493"/>
      <c r="Y493"/>
      <c r="Z493"/>
    </row>
    <row r="494" spans="1:26" x14ac:dyDescent="0.2">
      <c r="A494" s="19">
        <v>0.48799999999999999</v>
      </c>
      <c r="B494" s="20">
        <v>0</v>
      </c>
      <c r="C494" s="20">
        <v>9.6000000000000002E-2</v>
      </c>
      <c r="D494" s="20">
        <v>0.1875</v>
      </c>
      <c r="E494" s="20">
        <v>0.27479999999999999</v>
      </c>
      <c r="F494" s="20">
        <v>0.35820000000000002</v>
      </c>
      <c r="G494" s="20">
        <v>0.43809999999999999</v>
      </c>
      <c r="H494" s="20">
        <v>0.51480000000000004</v>
      </c>
      <c r="I494" s="20">
        <v>0.58840000000000003</v>
      </c>
      <c r="J494" s="20">
        <v>0.6593</v>
      </c>
      <c r="K494" s="20">
        <v>0.72760000000000002</v>
      </c>
      <c r="L494" s="20">
        <v>0.79369999999999996</v>
      </c>
      <c r="M494" s="20">
        <v>0.85760000000000003</v>
      </c>
      <c r="N494" s="20">
        <v>0.91949999999999998</v>
      </c>
      <c r="O494" s="20">
        <v>0.97960000000000003</v>
      </c>
      <c r="P494" s="20">
        <v>1.038</v>
      </c>
      <c r="Q494" s="20">
        <v>1.0949</v>
      </c>
      <c r="R494" s="20">
        <v>1.1503000000000001</v>
      </c>
      <c r="S494" s="20">
        <v>1.2043999999999999</v>
      </c>
      <c r="T494" s="20">
        <v>1.2572000000000001</v>
      </c>
      <c r="U494" s="20">
        <v>1.3089</v>
      </c>
      <c r="V494" s="20">
        <v>1.3593999999999999</v>
      </c>
      <c r="W494"/>
      <c r="X494"/>
      <c r="Y494"/>
      <c r="Z494"/>
    </row>
    <row r="495" spans="1:26" x14ac:dyDescent="0.2">
      <c r="A495" s="19">
        <v>0.48899999999999999</v>
      </c>
      <c r="B495" s="20">
        <v>0</v>
      </c>
      <c r="C495" s="20">
        <v>9.6100000000000005E-2</v>
      </c>
      <c r="D495" s="20">
        <v>0.18759999999999999</v>
      </c>
      <c r="E495" s="20">
        <v>0.27489999999999998</v>
      </c>
      <c r="F495" s="20">
        <v>0.3584</v>
      </c>
      <c r="G495" s="20">
        <v>0.43840000000000001</v>
      </c>
      <c r="H495" s="20">
        <v>0.5151</v>
      </c>
      <c r="I495" s="20">
        <v>0.5887</v>
      </c>
      <c r="J495" s="20">
        <v>0.65969999999999995</v>
      </c>
      <c r="K495" s="20">
        <v>0.72809999999999997</v>
      </c>
      <c r="L495" s="20">
        <v>0.79410000000000003</v>
      </c>
      <c r="M495" s="20">
        <v>0.85799999999999998</v>
      </c>
      <c r="N495" s="20">
        <v>0.92</v>
      </c>
      <c r="O495" s="20">
        <v>0.98009999999999997</v>
      </c>
      <c r="P495" s="20">
        <v>1.0386</v>
      </c>
      <c r="Q495" s="20">
        <v>1.0953999999999999</v>
      </c>
      <c r="R495" s="20">
        <v>1.1509</v>
      </c>
      <c r="S495" s="20">
        <v>1.2050000000000001</v>
      </c>
      <c r="T495" s="20">
        <v>1.2578</v>
      </c>
      <c r="U495" s="20">
        <v>1.3093999999999999</v>
      </c>
      <c r="V495" s="20">
        <v>1.36</v>
      </c>
      <c r="W495"/>
      <c r="X495"/>
      <c r="Y495"/>
      <c r="Z495"/>
    </row>
    <row r="496" spans="1:26" x14ac:dyDescent="0.2">
      <c r="A496" s="19">
        <v>0.49</v>
      </c>
      <c r="B496" s="20">
        <v>0</v>
      </c>
      <c r="C496" s="20">
        <v>9.6100000000000005E-2</v>
      </c>
      <c r="D496" s="20">
        <v>0.18770000000000001</v>
      </c>
      <c r="E496" s="20">
        <v>0.27510000000000001</v>
      </c>
      <c r="F496" s="20">
        <v>0.35870000000000002</v>
      </c>
      <c r="G496" s="20">
        <v>0.43859999999999999</v>
      </c>
      <c r="H496" s="20">
        <v>0.51539999999999997</v>
      </c>
      <c r="I496" s="20">
        <v>0.58909999999999996</v>
      </c>
      <c r="J496" s="20">
        <v>0.66</v>
      </c>
      <c r="K496" s="20">
        <v>0.72850000000000004</v>
      </c>
      <c r="L496" s="20">
        <v>0.79459999999999997</v>
      </c>
      <c r="M496" s="20">
        <v>0.85850000000000004</v>
      </c>
      <c r="N496" s="20">
        <v>0.92049999999999998</v>
      </c>
      <c r="O496" s="20">
        <v>0.98060000000000003</v>
      </c>
      <c r="P496" s="20">
        <v>1.0390999999999999</v>
      </c>
      <c r="Q496" s="20">
        <v>1.0960000000000001</v>
      </c>
      <c r="R496" s="20">
        <v>1.1514</v>
      </c>
      <c r="S496" s="20">
        <v>1.2055</v>
      </c>
      <c r="T496" s="20">
        <v>1.2584</v>
      </c>
      <c r="U496" s="20">
        <v>1.31</v>
      </c>
      <c r="V496" s="20">
        <v>1.3606</v>
      </c>
      <c r="W496"/>
      <c r="X496"/>
      <c r="Y496"/>
      <c r="Z496"/>
    </row>
    <row r="497" spans="1:26" x14ac:dyDescent="0.2">
      <c r="A497" s="19">
        <v>0.49099999999999999</v>
      </c>
      <c r="B497" s="20">
        <v>0</v>
      </c>
      <c r="C497" s="20">
        <v>9.6199999999999994E-2</v>
      </c>
      <c r="D497" s="20">
        <v>0.18779999999999999</v>
      </c>
      <c r="E497" s="20">
        <v>0.27529999999999999</v>
      </c>
      <c r="F497" s="20">
        <v>0.3589</v>
      </c>
      <c r="G497" s="20">
        <v>0.43890000000000001</v>
      </c>
      <c r="H497" s="20">
        <v>0.51570000000000005</v>
      </c>
      <c r="I497" s="20">
        <v>0.58940000000000003</v>
      </c>
      <c r="J497" s="20">
        <v>0.66039999999999999</v>
      </c>
      <c r="K497" s="20">
        <v>0.72889999999999999</v>
      </c>
      <c r="L497" s="20">
        <v>0.79500000000000004</v>
      </c>
      <c r="M497" s="20">
        <v>0.85899999999999999</v>
      </c>
      <c r="N497" s="20">
        <v>0.92100000000000004</v>
      </c>
      <c r="O497" s="20">
        <v>0.98109999999999997</v>
      </c>
      <c r="P497" s="20">
        <v>1.0396000000000001</v>
      </c>
      <c r="Q497" s="20">
        <v>1.0965</v>
      </c>
      <c r="R497" s="20">
        <v>1.1519999999999999</v>
      </c>
      <c r="S497" s="20">
        <v>1.2060999999999999</v>
      </c>
      <c r="T497" s="20">
        <v>1.2588999999999999</v>
      </c>
      <c r="U497" s="20">
        <v>1.3106</v>
      </c>
      <c r="V497" s="20">
        <v>1.3611</v>
      </c>
      <c r="W497"/>
      <c r="X497"/>
      <c r="Y497"/>
      <c r="Z497"/>
    </row>
    <row r="498" spans="1:26" x14ac:dyDescent="0.2">
      <c r="A498" s="19">
        <v>0.49199999999999999</v>
      </c>
      <c r="B498" s="20">
        <v>0</v>
      </c>
      <c r="C498" s="20">
        <v>9.6199999999999994E-2</v>
      </c>
      <c r="D498" s="20">
        <v>0.18790000000000001</v>
      </c>
      <c r="E498" s="20">
        <v>0.27539999999999998</v>
      </c>
      <c r="F498" s="20">
        <v>0.35909999999999997</v>
      </c>
      <c r="G498" s="20">
        <v>0.43919999999999998</v>
      </c>
      <c r="H498" s="20">
        <v>0.51600000000000001</v>
      </c>
      <c r="I498" s="20">
        <v>0.58979999999999999</v>
      </c>
      <c r="J498" s="20">
        <v>0.66080000000000005</v>
      </c>
      <c r="K498" s="20">
        <v>0.72929999999999995</v>
      </c>
      <c r="L498" s="20">
        <v>0.7954</v>
      </c>
      <c r="M498" s="20">
        <v>0.85940000000000005</v>
      </c>
      <c r="N498" s="20">
        <v>0.92149999999999999</v>
      </c>
      <c r="O498" s="20">
        <v>0.98160000000000003</v>
      </c>
      <c r="P498" s="20">
        <v>1.0401</v>
      </c>
      <c r="Q498" s="20">
        <v>1.0971</v>
      </c>
      <c r="R498" s="20">
        <v>1.1525000000000001</v>
      </c>
      <c r="S498" s="20">
        <v>1.2067000000000001</v>
      </c>
      <c r="T498" s="20">
        <v>1.2595000000000001</v>
      </c>
      <c r="U498" s="20">
        <v>1.3111999999999999</v>
      </c>
      <c r="V498" s="20">
        <v>1.3616999999999999</v>
      </c>
      <c r="W498"/>
      <c r="X498"/>
      <c r="Y498"/>
      <c r="Z498"/>
    </row>
    <row r="499" spans="1:26" x14ac:dyDescent="0.2">
      <c r="A499" s="19">
        <v>0.49299999999999999</v>
      </c>
      <c r="B499" s="20">
        <v>0</v>
      </c>
      <c r="C499" s="20">
        <v>9.6299999999999997E-2</v>
      </c>
      <c r="D499" s="20">
        <v>0.18809999999999999</v>
      </c>
      <c r="E499" s="20">
        <v>0.27560000000000001</v>
      </c>
      <c r="F499" s="20">
        <v>0.35930000000000001</v>
      </c>
      <c r="G499" s="20">
        <v>0.43940000000000001</v>
      </c>
      <c r="H499" s="20">
        <v>0.51629999999999998</v>
      </c>
      <c r="I499" s="20">
        <v>0.59009999999999996</v>
      </c>
      <c r="J499" s="20">
        <v>0.66120000000000001</v>
      </c>
      <c r="K499" s="20">
        <v>0.72970000000000002</v>
      </c>
      <c r="L499" s="20">
        <v>0.79590000000000005</v>
      </c>
      <c r="M499" s="20">
        <v>0.8599</v>
      </c>
      <c r="N499" s="20">
        <v>0.92190000000000005</v>
      </c>
      <c r="O499" s="20">
        <v>0.98219999999999996</v>
      </c>
      <c r="P499" s="20">
        <v>1.0407</v>
      </c>
      <c r="Q499" s="20">
        <v>1.0975999999999999</v>
      </c>
      <c r="R499" s="20">
        <v>1.1531</v>
      </c>
      <c r="S499" s="20">
        <v>1.2072000000000001</v>
      </c>
      <c r="T499" s="20">
        <v>1.2601</v>
      </c>
      <c r="U499" s="20">
        <v>1.3117000000000001</v>
      </c>
      <c r="V499" s="20">
        <v>1.3623000000000001</v>
      </c>
      <c r="W499"/>
      <c r="X499"/>
      <c r="Y499"/>
      <c r="Z499"/>
    </row>
    <row r="500" spans="1:26" x14ac:dyDescent="0.2">
      <c r="A500" s="19">
        <v>0.49399999999999999</v>
      </c>
      <c r="B500" s="20">
        <v>0</v>
      </c>
      <c r="C500" s="20">
        <v>9.64E-2</v>
      </c>
      <c r="D500" s="20">
        <v>0.18820000000000001</v>
      </c>
      <c r="E500" s="20">
        <v>0.27579999999999999</v>
      </c>
      <c r="F500" s="20">
        <v>0.35949999999999999</v>
      </c>
      <c r="G500" s="20">
        <v>0.43969999999999998</v>
      </c>
      <c r="H500" s="20">
        <v>0.51659999999999995</v>
      </c>
      <c r="I500" s="20">
        <v>0.59050000000000002</v>
      </c>
      <c r="J500" s="20">
        <v>0.66159999999999997</v>
      </c>
      <c r="K500" s="20">
        <v>0.73009999999999997</v>
      </c>
      <c r="L500" s="20">
        <v>0.79630000000000001</v>
      </c>
      <c r="M500" s="20">
        <v>0.86040000000000005</v>
      </c>
      <c r="N500" s="20">
        <v>0.9224</v>
      </c>
      <c r="O500" s="20">
        <v>0.98270000000000002</v>
      </c>
      <c r="P500" s="20">
        <v>1.0411999999999999</v>
      </c>
      <c r="Q500" s="20">
        <v>1.0982000000000001</v>
      </c>
      <c r="R500" s="20">
        <v>1.1536</v>
      </c>
      <c r="S500" s="20">
        <v>1.2078</v>
      </c>
      <c r="T500" s="20">
        <v>1.2605999999999999</v>
      </c>
      <c r="U500" s="20">
        <v>1.3123</v>
      </c>
      <c r="V500" s="20">
        <v>1.3628</v>
      </c>
      <c r="W500"/>
      <c r="X500"/>
      <c r="Y500"/>
      <c r="Z500"/>
    </row>
    <row r="501" spans="1:26" x14ac:dyDescent="0.2">
      <c r="A501" s="19">
        <v>0.495</v>
      </c>
      <c r="B501" s="20">
        <v>0</v>
      </c>
      <c r="C501" s="20">
        <v>9.64E-2</v>
      </c>
      <c r="D501" s="20">
        <v>0.1883</v>
      </c>
      <c r="E501" s="20">
        <v>0.27589999999999998</v>
      </c>
      <c r="F501" s="20">
        <v>0.35970000000000002</v>
      </c>
      <c r="G501" s="20">
        <v>0.43990000000000001</v>
      </c>
      <c r="H501" s="20">
        <v>0.51690000000000003</v>
      </c>
      <c r="I501" s="20">
        <v>0.59079999999999999</v>
      </c>
      <c r="J501" s="20">
        <v>0.66190000000000004</v>
      </c>
      <c r="K501" s="20">
        <v>0.73050000000000004</v>
      </c>
      <c r="L501" s="20">
        <v>0.79679999999999995</v>
      </c>
      <c r="M501" s="20">
        <v>0.86080000000000001</v>
      </c>
      <c r="N501" s="20">
        <v>0.92290000000000005</v>
      </c>
      <c r="O501" s="20">
        <v>0.98319999999999996</v>
      </c>
      <c r="P501" s="20">
        <v>1.0417000000000001</v>
      </c>
      <c r="Q501" s="20">
        <v>1.0987</v>
      </c>
      <c r="R501" s="20">
        <v>1.1541999999999999</v>
      </c>
      <c r="S501" s="20">
        <v>1.2082999999999999</v>
      </c>
      <c r="T501" s="20">
        <v>1.2612000000000001</v>
      </c>
      <c r="U501" s="20">
        <v>1.3129</v>
      </c>
      <c r="V501" s="20">
        <v>1.3633999999999999</v>
      </c>
      <c r="W501"/>
      <c r="X501"/>
      <c r="Y501"/>
      <c r="Z501"/>
    </row>
    <row r="502" spans="1:26" x14ac:dyDescent="0.2">
      <c r="A502" s="19">
        <v>0.496</v>
      </c>
      <c r="B502" s="20">
        <v>0</v>
      </c>
      <c r="C502" s="20">
        <v>9.6500000000000002E-2</v>
      </c>
      <c r="D502" s="20">
        <v>0.18840000000000001</v>
      </c>
      <c r="E502" s="20">
        <v>0.27610000000000001</v>
      </c>
      <c r="F502" s="20">
        <v>0.3599</v>
      </c>
      <c r="G502" s="20">
        <v>0.44019999999999998</v>
      </c>
      <c r="H502" s="20">
        <v>0.51719999999999999</v>
      </c>
      <c r="I502" s="20">
        <v>0.59109999999999996</v>
      </c>
      <c r="J502" s="20">
        <v>0.6623</v>
      </c>
      <c r="K502" s="20">
        <v>0.73089999999999999</v>
      </c>
      <c r="L502" s="20">
        <v>0.79720000000000002</v>
      </c>
      <c r="M502" s="20">
        <v>0.86129999999999995</v>
      </c>
      <c r="N502" s="20">
        <v>0.9234</v>
      </c>
      <c r="O502" s="20">
        <v>0.98370000000000002</v>
      </c>
      <c r="P502" s="20">
        <v>1.0422</v>
      </c>
      <c r="Q502" s="20">
        <v>1.0992</v>
      </c>
      <c r="R502" s="20">
        <v>1.1548</v>
      </c>
      <c r="S502" s="20">
        <v>1.2089000000000001</v>
      </c>
      <c r="T502" s="20">
        <v>1.2618</v>
      </c>
      <c r="U502" s="20">
        <v>1.3134999999999999</v>
      </c>
      <c r="V502" s="20">
        <v>1.3640000000000001</v>
      </c>
      <c r="W502"/>
      <c r="X502"/>
      <c r="Y502"/>
      <c r="Z502"/>
    </row>
    <row r="503" spans="1:26" x14ac:dyDescent="0.2">
      <c r="A503" s="19">
        <v>0.497</v>
      </c>
      <c r="B503" s="20">
        <v>0</v>
      </c>
      <c r="C503" s="20">
        <v>9.6500000000000002E-2</v>
      </c>
      <c r="D503" s="20">
        <v>0.1885</v>
      </c>
      <c r="E503" s="20">
        <v>0.27629999999999999</v>
      </c>
      <c r="F503" s="20">
        <v>0.36009999999999998</v>
      </c>
      <c r="G503" s="20">
        <v>0.4405</v>
      </c>
      <c r="H503" s="20">
        <v>0.51749999999999996</v>
      </c>
      <c r="I503" s="20">
        <v>0.59150000000000003</v>
      </c>
      <c r="J503" s="20">
        <v>0.66269999999999996</v>
      </c>
      <c r="K503" s="20">
        <v>0.73129999999999995</v>
      </c>
      <c r="L503" s="20">
        <v>0.79759999999999998</v>
      </c>
      <c r="M503" s="20">
        <v>0.86180000000000001</v>
      </c>
      <c r="N503" s="20">
        <v>0.92390000000000005</v>
      </c>
      <c r="O503" s="20">
        <v>0.98419999999999996</v>
      </c>
      <c r="P503" s="20">
        <v>1.0427999999999999</v>
      </c>
      <c r="Q503" s="20">
        <v>1.0998000000000001</v>
      </c>
      <c r="R503" s="20">
        <v>1.1553</v>
      </c>
      <c r="S503" s="20">
        <v>1.2095</v>
      </c>
      <c r="T503" s="20">
        <v>1.2623</v>
      </c>
      <c r="U503" s="20">
        <v>1.3140000000000001</v>
      </c>
      <c r="V503" s="20">
        <v>1.3646</v>
      </c>
      <c r="W503"/>
      <c r="X503"/>
      <c r="Y503"/>
      <c r="Z503"/>
    </row>
    <row r="504" spans="1:26" x14ac:dyDescent="0.2">
      <c r="A504" s="19">
        <v>0.498</v>
      </c>
      <c r="B504" s="20">
        <v>0</v>
      </c>
      <c r="C504" s="20">
        <v>9.6600000000000005E-2</v>
      </c>
      <c r="D504" s="20">
        <v>0.18859999999999999</v>
      </c>
      <c r="E504" s="20">
        <v>0.27639999999999998</v>
      </c>
      <c r="F504" s="20">
        <v>0.3604</v>
      </c>
      <c r="G504" s="20">
        <v>0.44069999999999998</v>
      </c>
      <c r="H504" s="20">
        <v>0.51780000000000004</v>
      </c>
      <c r="I504" s="20">
        <v>0.59179999999999999</v>
      </c>
      <c r="J504" s="20">
        <v>0.66310000000000002</v>
      </c>
      <c r="K504" s="20">
        <v>0.73170000000000002</v>
      </c>
      <c r="L504" s="20">
        <v>0.79810000000000003</v>
      </c>
      <c r="M504" s="20">
        <v>0.86219999999999997</v>
      </c>
      <c r="N504" s="20">
        <v>0.9244</v>
      </c>
      <c r="O504" s="20">
        <v>0.98470000000000002</v>
      </c>
      <c r="P504" s="20">
        <v>1.0432999999999999</v>
      </c>
      <c r="Q504" s="20">
        <v>1.1003000000000001</v>
      </c>
      <c r="R504" s="20">
        <v>1.1557999999999999</v>
      </c>
      <c r="S504" s="20">
        <v>1.21</v>
      </c>
      <c r="T504" s="20">
        <v>1.2628999999999999</v>
      </c>
      <c r="U504" s="20">
        <v>1.3146</v>
      </c>
      <c r="V504" s="20">
        <v>1.3651</v>
      </c>
      <c r="W504"/>
      <c r="X504"/>
      <c r="Y504"/>
      <c r="Z504"/>
    </row>
    <row r="505" spans="1:26" x14ac:dyDescent="0.2">
      <c r="A505" s="19">
        <v>0.499</v>
      </c>
      <c r="B505" s="20">
        <v>0</v>
      </c>
      <c r="C505" s="20">
        <v>9.6699999999999994E-2</v>
      </c>
      <c r="D505" s="20">
        <v>0.18870000000000001</v>
      </c>
      <c r="E505" s="20">
        <v>0.27660000000000001</v>
      </c>
      <c r="F505" s="20">
        <v>0.36059999999999998</v>
      </c>
      <c r="G505" s="20">
        <v>0.441</v>
      </c>
      <c r="H505" s="20">
        <v>0.5181</v>
      </c>
      <c r="I505" s="20">
        <v>0.59209999999999996</v>
      </c>
      <c r="J505" s="20">
        <v>0.66339999999999999</v>
      </c>
      <c r="K505" s="20">
        <v>0.73219999999999996</v>
      </c>
      <c r="L505" s="20">
        <v>0.79849999999999999</v>
      </c>
      <c r="M505" s="20">
        <v>0.86270000000000002</v>
      </c>
      <c r="N505" s="20">
        <v>0.92490000000000006</v>
      </c>
      <c r="O505" s="20">
        <v>0.98519999999999996</v>
      </c>
      <c r="P505" s="20">
        <v>1.0438000000000001</v>
      </c>
      <c r="Q505" s="20">
        <v>1.1008</v>
      </c>
      <c r="R505" s="20">
        <v>1.1564000000000001</v>
      </c>
      <c r="S505" s="20">
        <v>1.2105999999999999</v>
      </c>
      <c r="T505" s="20">
        <v>1.2635000000000001</v>
      </c>
      <c r="U505" s="20">
        <v>1.3151999999999999</v>
      </c>
      <c r="V505" s="20">
        <v>1.3656999999999999</v>
      </c>
      <c r="W505"/>
      <c r="X505"/>
      <c r="Y505"/>
      <c r="Z505"/>
    </row>
    <row r="506" spans="1:26" x14ac:dyDescent="0.2">
      <c r="A506" s="19">
        <v>0.5</v>
      </c>
      <c r="B506" s="20">
        <v>0</v>
      </c>
      <c r="C506" s="20">
        <v>9.6699999999999994E-2</v>
      </c>
      <c r="D506" s="20">
        <v>0.1888</v>
      </c>
      <c r="E506" s="20">
        <v>0.27679999999999999</v>
      </c>
      <c r="F506" s="20">
        <v>0.36080000000000001</v>
      </c>
      <c r="G506" s="20">
        <v>0.44119999999999998</v>
      </c>
      <c r="H506" s="20">
        <v>0.51839999999999997</v>
      </c>
      <c r="I506" s="20">
        <v>0.59250000000000003</v>
      </c>
      <c r="J506" s="20">
        <v>0.66379999999999995</v>
      </c>
      <c r="K506" s="20">
        <v>0.73260000000000003</v>
      </c>
      <c r="L506" s="20">
        <v>0.79890000000000005</v>
      </c>
      <c r="M506" s="20">
        <v>0.86319999999999997</v>
      </c>
      <c r="N506" s="20">
        <v>0.9254</v>
      </c>
      <c r="O506" s="20">
        <v>0.98570000000000002</v>
      </c>
      <c r="P506" s="20">
        <v>1.0443</v>
      </c>
      <c r="Q506" s="20">
        <v>1.1013999999999999</v>
      </c>
      <c r="R506" s="20">
        <v>1.1569</v>
      </c>
      <c r="S506" s="20">
        <v>1.2111000000000001</v>
      </c>
      <c r="T506" s="20">
        <v>1.264</v>
      </c>
      <c r="U506" s="20">
        <v>1.3157000000000001</v>
      </c>
      <c r="V506" s="20">
        <v>1.3663000000000001</v>
      </c>
      <c r="W506"/>
      <c r="X506"/>
      <c r="Y506"/>
      <c r="Z506"/>
    </row>
    <row r="507" spans="1:26" x14ac:dyDescent="0.2">
      <c r="A507" s="19">
        <v>0.501</v>
      </c>
      <c r="B507" s="20">
        <v>0</v>
      </c>
      <c r="C507" s="20">
        <v>9.6799999999999997E-2</v>
      </c>
      <c r="D507" s="20">
        <v>0.189</v>
      </c>
      <c r="E507" s="20">
        <v>0.27689999999999998</v>
      </c>
      <c r="F507" s="20">
        <v>0.36099999999999999</v>
      </c>
      <c r="G507" s="20">
        <v>0.4415</v>
      </c>
      <c r="H507" s="20">
        <v>0.51870000000000005</v>
      </c>
      <c r="I507" s="20">
        <v>0.59279999999999999</v>
      </c>
      <c r="J507" s="20">
        <v>0.66420000000000001</v>
      </c>
      <c r="K507" s="20">
        <v>0.73299999999999998</v>
      </c>
      <c r="L507" s="20">
        <v>0.7994</v>
      </c>
      <c r="M507" s="20">
        <v>0.86360000000000003</v>
      </c>
      <c r="N507" s="20">
        <v>0.92579999999999996</v>
      </c>
      <c r="O507" s="20">
        <v>0.98619999999999997</v>
      </c>
      <c r="P507" s="20">
        <v>1.0448999999999999</v>
      </c>
      <c r="Q507" s="20">
        <v>1.1019000000000001</v>
      </c>
      <c r="R507" s="20">
        <v>1.1575</v>
      </c>
      <c r="S507" s="20">
        <v>1.2117</v>
      </c>
      <c r="T507" s="20">
        <v>1.2645999999999999</v>
      </c>
      <c r="U507" s="20">
        <v>1.3163</v>
      </c>
      <c r="V507" s="20">
        <v>1.3668</v>
      </c>
      <c r="W507"/>
      <c r="X507"/>
      <c r="Y507"/>
      <c r="Z507"/>
    </row>
    <row r="508" spans="1:26" x14ac:dyDescent="0.2">
      <c r="A508" s="19">
        <v>0.502</v>
      </c>
      <c r="B508" s="20">
        <v>0</v>
      </c>
      <c r="C508" s="20">
        <v>9.6799999999999997E-2</v>
      </c>
      <c r="D508" s="20">
        <v>0.18909999999999999</v>
      </c>
      <c r="E508" s="20">
        <v>0.27710000000000001</v>
      </c>
      <c r="F508" s="20">
        <v>0.36120000000000002</v>
      </c>
      <c r="G508" s="20">
        <v>0.44169999999999998</v>
      </c>
      <c r="H508" s="20">
        <v>0.51900000000000002</v>
      </c>
      <c r="I508" s="20">
        <v>0.59319999999999995</v>
      </c>
      <c r="J508" s="20">
        <v>0.66459999999999997</v>
      </c>
      <c r="K508" s="20">
        <v>0.73340000000000005</v>
      </c>
      <c r="L508" s="20">
        <v>0.79979999999999996</v>
      </c>
      <c r="M508" s="20">
        <v>0.86409999999999998</v>
      </c>
      <c r="N508" s="20">
        <v>0.92630000000000001</v>
      </c>
      <c r="O508" s="20">
        <v>0.98670000000000002</v>
      </c>
      <c r="P508" s="20">
        <v>1.0454000000000001</v>
      </c>
      <c r="Q508" s="20">
        <v>1.1024</v>
      </c>
      <c r="R508" s="20">
        <v>1.1579999999999999</v>
      </c>
      <c r="S508" s="20">
        <v>1.2121999999999999</v>
      </c>
      <c r="T508" s="20">
        <v>1.2652000000000001</v>
      </c>
      <c r="U508" s="20">
        <v>1.3168</v>
      </c>
      <c r="V508" s="20">
        <v>1.3673999999999999</v>
      </c>
      <c r="W508"/>
      <c r="X508"/>
      <c r="Y508"/>
      <c r="Z508"/>
    </row>
    <row r="509" spans="1:26" x14ac:dyDescent="0.2">
      <c r="A509" s="19">
        <v>0.503</v>
      </c>
      <c r="B509" s="20">
        <v>0</v>
      </c>
      <c r="C509" s="20">
        <v>9.69E-2</v>
      </c>
      <c r="D509" s="20">
        <v>0.18920000000000001</v>
      </c>
      <c r="E509" s="20">
        <v>0.27729999999999999</v>
      </c>
      <c r="F509" s="20">
        <v>0.3614</v>
      </c>
      <c r="G509" s="20">
        <v>0.442</v>
      </c>
      <c r="H509" s="20">
        <v>0.51929999999999998</v>
      </c>
      <c r="I509" s="20">
        <v>0.59350000000000003</v>
      </c>
      <c r="J509" s="20">
        <v>0.66490000000000005</v>
      </c>
      <c r="K509" s="20">
        <v>0.73380000000000001</v>
      </c>
      <c r="L509" s="20">
        <v>0.80020000000000002</v>
      </c>
      <c r="M509" s="20">
        <v>0.86450000000000005</v>
      </c>
      <c r="N509" s="20">
        <v>0.92679999999999996</v>
      </c>
      <c r="O509" s="20">
        <v>0.98719999999999997</v>
      </c>
      <c r="P509" s="20">
        <v>1.0459000000000001</v>
      </c>
      <c r="Q509" s="20">
        <v>1.103</v>
      </c>
      <c r="R509" s="20">
        <v>1.1586000000000001</v>
      </c>
      <c r="S509" s="20">
        <v>1.2128000000000001</v>
      </c>
      <c r="T509" s="20">
        <v>1.2657</v>
      </c>
      <c r="U509" s="20">
        <v>1.3173999999999999</v>
      </c>
      <c r="V509" s="20">
        <v>1.3680000000000001</v>
      </c>
      <c r="W509"/>
      <c r="X509"/>
      <c r="Y509"/>
      <c r="Z509"/>
    </row>
    <row r="510" spans="1:26" x14ac:dyDescent="0.2">
      <c r="A510" s="19">
        <v>0.504</v>
      </c>
      <c r="B510" s="20">
        <v>0</v>
      </c>
      <c r="C510" s="20">
        <v>9.69E-2</v>
      </c>
      <c r="D510" s="20">
        <v>0.1893</v>
      </c>
      <c r="E510" s="20">
        <v>0.27739999999999998</v>
      </c>
      <c r="F510" s="20">
        <v>0.36159999999999998</v>
      </c>
      <c r="G510" s="20">
        <v>0.44230000000000003</v>
      </c>
      <c r="H510" s="20">
        <v>0.51959999999999995</v>
      </c>
      <c r="I510" s="20">
        <v>0.59379999999999999</v>
      </c>
      <c r="J510" s="20">
        <v>0.6653</v>
      </c>
      <c r="K510" s="20">
        <v>0.73419999999999996</v>
      </c>
      <c r="L510" s="20">
        <v>0.80069999999999997</v>
      </c>
      <c r="M510" s="20">
        <v>0.86499999999999999</v>
      </c>
      <c r="N510" s="20">
        <v>0.92730000000000001</v>
      </c>
      <c r="O510" s="20">
        <v>0.98770000000000002</v>
      </c>
      <c r="P510" s="20">
        <v>1.0464</v>
      </c>
      <c r="Q510" s="20">
        <v>1.1034999999999999</v>
      </c>
      <c r="R510" s="20">
        <v>1.1591</v>
      </c>
      <c r="S510" s="20">
        <v>1.2133</v>
      </c>
      <c r="T510" s="20">
        <v>1.2663</v>
      </c>
      <c r="U510" s="20">
        <v>1.3180000000000001</v>
      </c>
      <c r="V510" s="20">
        <v>1.3685</v>
      </c>
      <c r="W510"/>
      <c r="X510"/>
      <c r="Y510"/>
      <c r="Z510"/>
    </row>
    <row r="511" spans="1:26" x14ac:dyDescent="0.2">
      <c r="A511" s="19">
        <v>0.505</v>
      </c>
      <c r="B511" s="20">
        <v>0</v>
      </c>
      <c r="C511" s="20">
        <v>9.7000000000000003E-2</v>
      </c>
      <c r="D511" s="20">
        <v>0.18940000000000001</v>
      </c>
      <c r="E511" s="20">
        <v>0.27760000000000001</v>
      </c>
      <c r="F511" s="20">
        <v>0.36180000000000001</v>
      </c>
      <c r="G511" s="20">
        <v>0.4425</v>
      </c>
      <c r="H511" s="20">
        <v>0.51990000000000003</v>
      </c>
      <c r="I511" s="20">
        <v>0.59419999999999995</v>
      </c>
      <c r="J511" s="20">
        <v>0.66569999999999996</v>
      </c>
      <c r="K511" s="20">
        <v>0.73460000000000003</v>
      </c>
      <c r="L511" s="20">
        <v>0.80110000000000003</v>
      </c>
      <c r="M511" s="20">
        <v>0.86550000000000005</v>
      </c>
      <c r="N511" s="20">
        <v>0.92779999999999996</v>
      </c>
      <c r="O511" s="20">
        <v>0.98819999999999997</v>
      </c>
      <c r="P511" s="20">
        <v>1.0468999999999999</v>
      </c>
      <c r="Q511" s="20">
        <v>1.1040000000000001</v>
      </c>
      <c r="R511" s="20">
        <v>1.1597</v>
      </c>
      <c r="S511" s="20">
        <v>1.2139</v>
      </c>
      <c r="T511" s="20">
        <v>1.2667999999999999</v>
      </c>
      <c r="U511" s="20">
        <v>1.3185</v>
      </c>
      <c r="V511" s="20">
        <v>1.3691</v>
      </c>
      <c r="W511"/>
      <c r="X511"/>
      <c r="Y511"/>
      <c r="Z511"/>
    </row>
    <row r="512" spans="1:26" x14ac:dyDescent="0.2">
      <c r="A512" s="19">
        <v>0.50600000000000001</v>
      </c>
      <c r="B512" s="20">
        <v>0</v>
      </c>
      <c r="C512" s="20">
        <v>9.7100000000000006E-2</v>
      </c>
      <c r="D512" s="20">
        <v>0.1895</v>
      </c>
      <c r="E512" s="20">
        <v>0.2777</v>
      </c>
      <c r="F512" s="20">
        <v>0.36209999999999998</v>
      </c>
      <c r="G512" s="20">
        <v>0.44280000000000003</v>
      </c>
      <c r="H512" s="20">
        <v>0.5202</v>
      </c>
      <c r="I512" s="20">
        <v>0.59450000000000003</v>
      </c>
      <c r="J512" s="20">
        <v>0.66600000000000004</v>
      </c>
      <c r="K512" s="20">
        <v>0.73499999999999999</v>
      </c>
      <c r="L512" s="20">
        <v>0.80149999999999999</v>
      </c>
      <c r="M512" s="20">
        <v>0.8659</v>
      </c>
      <c r="N512" s="20">
        <v>0.92820000000000003</v>
      </c>
      <c r="O512" s="20">
        <v>0.98870000000000002</v>
      </c>
      <c r="P512" s="20">
        <v>1.0474000000000001</v>
      </c>
      <c r="Q512" s="20">
        <v>1.1046</v>
      </c>
      <c r="R512" s="20">
        <v>1.1601999999999999</v>
      </c>
      <c r="S512" s="20">
        <v>1.2143999999999999</v>
      </c>
      <c r="T512" s="20">
        <v>1.2674000000000001</v>
      </c>
      <c r="U512" s="20">
        <v>1.3190999999999999</v>
      </c>
      <c r="V512" s="20">
        <v>1.3695999999999999</v>
      </c>
      <c r="W512"/>
      <c r="X512"/>
      <c r="Y512"/>
      <c r="Z512"/>
    </row>
    <row r="513" spans="1:26" x14ac:dyDescent="0.2">
      <c r="A513" s="19">
        <v>0.50700000000000001</v>
      </c>
      <c r="B513" s="20">
        <v>0</v>
      </c>
      <c r="C513" s="20">
        <v>9.7100000000000006E-2</v>
      </c>
      <c r="D513" s="20">
        <v>0.18959999999999999</v>
      </c>
      <c r="E513" s="20">
        <v>0.27789999999999998</v>
      </c>
      <c r="F513" s="20">
        <v>0.36230000000000001</v>
      </c>
      <c r="G513" s="20">
        <v>0.443</v>
      </c>
      <c r="H513" s="20">
        <v>0.52049999999999996</v>
      </c>
      <c r="I513" s="20">
        <v>0.5948</v>
      </c>
      <c r="J513" s="20">
        <v>0.66639999999999999</v>
      </c>
      <c r="K513" s="20">
        <v>0.73540000000000005</v>
      </c>
      <c r="L513" s="20">
        <v>0.80200000000000005</v>
      </c>
      <c r="M513" s="20">
        <v>0.86639999999999995</v>
      </c>
      <c r="N513" s="20">
        <v>0.92869999999999997</v>
      </c>
      <c r="O513" s="20">
        <v>0.98919999999999997</v>
      </c>
      <c r="P513" s="20">
        <v>1.048</v>
      </c>
      <c r="Q513" s="20">
        <v>1.1051</v>
      </c>
      <c r="R513" s="20">
        <v>1.1607000000000001</v>
      </c>
      <c r="S513" s="20">
        <v>1.2150000000000001</v>
      </c>
      <c r="T513" s="20">
        <v>1.2679</v>
      </c>
      <c r="U513" s="20">
        <v>1.3196000000000001</v>
      </c>
      <c r="V513" s="20">
        <v>1.3702000000000001</v>
      </c>
      <c r="W513"/>
      <c r="X513"/>
      <c r="Y513"/>
      <c r="Z513"/>
    </row>
    <row r="514" spans="1:26" x14ac:dyDescent="0.2">
      <c r="A514" s="19">
        <v>0.50800000000000001</v>
      </c>
      <c r="B514" s="20">
        <v>0</v>
      </c>
      <c r="C514" s="20">
        <v>9.7199999999999995E-2</v>
      </c>
      <c r="D514" s="20">
        <v>0.18970000000000001</v>
      </c>
      <c r="E514" s="20">
        <v>0.27810000000000001</v>
      </c>
      <c r="F514" s="20">
        <v>0.36249999999999999</v>
      </c>
      <c r="G514" s="20">
        <v>0.44330000000000003</v>
      </c>
      <c r="H514" s="20">
        <v>0.52080000000000004</v>
      </c>
      <c r="I514" s="20">
        <v>0.59519999999999995</v>
      </c>
      <c r="J514" s="20">
        <v>0.66679999999999995</v>
      </c>
      <c r="K514" s="20">
        <v>0.73580000000000001</v>
      </c>
      <c r="L514" s="20">
        <v>0.8024</v>
      </c>
      <c r="M514" s="20">
        <v>0.86680000000000001</v>
      </c>
      <c r="N514" s="20">
        <v>0.92920000000000003</v>
      </c>
      <c r="O514" s="20">
        <v>0.98970000000000002</v>
      </c>
      <c r="P514" s="20">
        <v>1.0485</v>
      </c>
      <c r="Q514" s="20">
        <v>1.1055999999999999</v>
      </c>
      <c r="R514" s="20">
        <v>1.1613</v>
      </c>
      <c r="S514" s="20">
        <v>1.2155</v>
      </c>
      <c r="T514" s="20">
        <v>1.2685</v>
      </c>
      <c r="U514" s="20">
        <v>1.3202</v>
      </c>
      <c r="V514" s="20">
        <v>1.3708</v>
      </c>
      <c r="W514"/>
      <c r="X514"/>
      <c r="Y514"/>
      <c r="Z514"/>
    </row>
    <row r="515" spans="1:26" x14ac:dyDescent="0.2">
      <c r="A515" s="19">
        <v>0.50900000000000001</v>
      </c>
      <c r="B515" s="20">
        <v>0</v>
      </c>
      <c r="C515" s="20">
        <v>9.7199999999999995E-2</v>
      </c>
      <c r="D515" s="20">
        <v>0.1898</v>
      </c>
      <c r="E515" s="20">
        <v>0.2782</v>
      </c>
      <c r="F515" s="20">
        <v>0.36270000000000002</v>
      </c>
      <c r="G515" s="20">
        <v>0.44350000000000001</v>
      </c>
      <c r="H515" s="20">
        <v>0.52100000000000002</v>
      </c>
      <c r="I515" s="20">
        <v>0.59550000000000003</v>
      </c>
      <c r="J515" s="20">
        <v>0.66710000000000003</v>
      </c>
      <c r="K515" s="20">
        <v>0.73619999999999997</v>
      </c>
      <c r="L515" s="20">
        <v>0.80279999999999996</v>
      </c>
      <c r="M515" s="20">
        <v>0.86729999999999996</v>
      </c>
      <c r="N515" s="20">
        <v>0.92969999999999997</v>
      </c>
      <c r="O515" s="20">
        <v>0.99019999999999997</v>
      </c>
      <c r="P515" s="20">
        <v>1.0489999999999999</v>
      </c>
      <c r="Q515" s="20">
        <v>1.1062000000000001</v>
      </c>
      <c r="R515" s="20">
        <v>1.1617999999999999</v>
      </c>
      <c r="S515" s="20">
        <v>1.2161</v>
      </c>
      <c r="T515" s="20">
        <v>1.2689999999999999</v>
      </c>
      <c r="U515" s="20">
        <v>1.3208</v>
      </c>
      <c r="V515" s="20">
        <v>1.3713</v>
      </c>
      <c r="W515"/>
      <c r="X515"/>
      <c r="Y515"/>
      <c r="Z515"/>
    </row>
    <row r="516" spans="1:26" x14ac:dyDescent="0.2">
      <c r="A516" s="19">
        <v>0.51</v>
      </c>
      <c r="B516" s="20">
        <v>0</v>
      </c>
      <c r="C516" s="20">
        <v>9.7299999999999998E-2</v>
      </c>
      <c r="D516" s="20">
        <v>0.19</v>
      </c>
      <c r="E516" s="20">
        <v>0.27839999999999998</v>
      </c>
      <c r="F516" s="20">
        <v>0.3629</v>
      </c>
      <c r="G516" s="20">
        <v>0.44379999999999997</v>
      </c>
      <c r="H516" s="20">
        <v>0.52129999999999999</v>
      </c>
      <c r="I516" s="20">
        <v>0.5958</v>
      </c>
      <c r="J516" s="20">
        <v>0.66749999999999998</v>
      </c>
      <c r="K516" s="20">
        <v>0.73660000000000003</v>
      </c>
      <c r="L516" s="20">
        <v>0.80330000000000001</v>
      </c>
      <c r="M516" s="20">
        <v>0.86770000000000003</v>
      </c>
      <c r="N516" s="20">
        <v>0.93020000000000003</v>
      </c>
      <c r="O516" s="20">
        <v>0.99070000000000003</v>
      </c>
      <c r="P516" s="20">
        <v>1.0495000000000001</v>
      </c>
      <c r="Q516" s="20">
        <v>1.1067</v>
      </c>
      <c r="R516" s="20">
        <v>1.1624000000000001</v>
      </c>
      <c r="S516" s="20">
        <v>1.2165999999999999</v>
      </c>
      <c r="T516" s="20">
        <v>1.2696000000000001</v>
      </c>
      <c r="U516" s="20">
        <v>1.3212999999999999</v>
      </c>
      <c r="V516" s="20">
        <v>1.3718999999999999</v>
      </c>
      <c r="W516"/>
      <c r="X516"/>
      <c r="Y516"/>
      <c r="Z516"/>
    </row>
    <row r="517" spans="1:26" x14ac:dyDescent="0.2">
      <c r="A517" s="19">
        <v>0.51100000000000001</v>
      </c>
      <c r="B517" s="20">
        <v>0</v>
      </c>
      <c r="C517" s="20">
        <v>9.7299999999999998E-2</v>
      </c>
      <c r="D517" s="20">
        <v>0.19009999999999999</v>
      </c>
      <c r="E517" s="20">
        <v>0.27850000000000003</v>
      </c>
      <c r="F517" s="20">
        <v>0.36309999999999998</v>
      </c>
      <c r="G517" s="20">
        <v>0.44400000000000001</v>
      </c>
      <c r="H517" s="20">
        <v>0.52159999999999995</v>
      </c>
      <c r="I517" s="20">
        <v>0.59619999999999995</v>
      </c>
      <c r="J517" s="20">
        <v>0.66790000000000005</v>
      </c>
      <c r="K517" s="20">
        <v>0.73699999999999999</v>
      </c>
      <c r="L517" s="20">
        <v>0.80369999999999997</v>
      </c>
      <c r="M517" s="20">
        <v>0.86819999999999997</v>
      </c>
      <c r="N517" s="20">
        <v>0.93059999999999998</v>
      </c>
      <c r="O517" s="20">
        <v>0.99119999999999997</v>
      </c>
      <c r="P517" s="20">
        <v>1.05</v>
      </c>
      <c r="Q517" s="20">
        <v>1.1072</v>
      </c>
      <c r="R517" s="20">
        <v>1.1629</v>
      </c>
      <c r="S517" s="20">
        <v>1.2172000000000001</v>
      </c>
      <c r="T517" s="20">
        <v>1.2701</v>
      </c>
      <c r="U517" s="20">
        <v>1.3219000000000001</v>
      </c>
      <c r="V517" s="20">
        <v>1.3724000000000001</v>
      </c>
      <c r="W517"/>
      <c r="X517"/>
      <c r="Y517"/>
      <c r="Z517"/>
    </row>
    <row r="518" spans="1:26" x14ac:dyDescent="0.2">
      <c r="A518" s="19">
        <v>0.51200000000000001</v>
      </c>
      <c r="B518" s="20">
        <v>0</v>
      </c>
      <c r="C518" s="20">
        <v>9.74E-2</v>
      </c>
      <c r="D518" s="20">
        <v>0.19020000000000001</v>
      </c>
      <c r="E518" s="20">
        <v>0.2787</v>
      </c>
      <c r="F518" s="20">
        <v>0.36330000000000001</v>
      </c>
      <c r="G518" s="20">
        <v>0.44429999999999997</v>
      </c>
      <c r="H518" s="20">
        <v>0.52190000000000003</v>
      </c>
      <c r="I518" s="20">
        <v>0.59650000000000003</v>
      </c>
      <c r="J518" s="20">
        <v>0.66820000000000002</v>
      </c>
      <c r="K518" s="20">
        <v>0.73740000000000006</v>
      </c>
      <c r="L518" s="20">
        <v>0.80410000000000004</v>
      </c>
      <c r="M518" s="20">
        <v>0.86860000000000004</v>
      </c>
      <c r="N518" s="20">
        <v>0.93110000000000004</v>
      </c>
      <c r="O518" s="20">
        <v>0.99170000000000003</v>
      </c>
      <c r="P518" s="20">
        <v>1.0505</v>
      </c>
      <c r="Q518" s="20">
        <v>1.1076999999999999</v>
      </c>
      <c r="R518" s="20">
        <v>1.1634</v>
      </c>
      <c r="S518" s="20">
        <v>1.2177</v>
      </c>
      <c r="T518" s="20">
        <v>1.2706999999999999</v>
      </c>
      <c r="U518" s="20">
        <v>1.3224</v>
      </c>
      <c r="V518" s="20">
        <v>1.373</v>
      </c>
      <c r="W518"/>
      <c r="X518"/>
      <c r="Y518"/>
      <c r="Z518"/>
    </row>
    <row r="519" spans="1:26" x14ac:dyDescent="0.2">
      <c r="A519" s="19">
        <v>0.51300000000000001</v>
      </c>
      <c r="B519" s="20">
        <v>0</v>
      </c>
      <c r="C519" s="20">
        <v>9.7500000000000003E-2</v>
      </c>
      <c r="D519" s="20">
        <v>0.1903</v>
      </c>
      <c r="E519" s="20">
        <v>0.27889999999999998</v>
      </c>
      <c r="F519" s="20">
        <v>0.36349999999999999</v>
      </c>
      <c r="G519" s="20">
        <v>0.44450000000000001</v>
      </c>
      <c r="H519" s="20">
        <v>0.5222</v>
      </c>
      <c r="I519" s="20">
        <v>0.5968</v>
      </c>
      <c r="J519" s="20">
        <v>0.66859999999999997</v>
      </c>
      <c r="K519" s="20">
        <v>0.73780000000000001</v>
      </c>
      <c r="L519" s="20">
        <v>0.80449999999999999</v>
      </c>
      <c r="M519" s="20">
        <v>0.86909999999999998</v>
      </c>
      <c r="N519" s="20">
        <v>0.93159999999999998</v>
      </c>
      <c r="O519" s="20">
        <v>0.99219999999999997</v>
      </c>
      <c r="P519" s="20">
        <v>1.0509999999999999</v>
      </c>
      <c r="Q519" s="20">
        <v>1.1083000000000001</v>
      </c>
      <c r="R519" s="20">
        <v>1.1639999999999999</v>
      </c>
      <c r="S519" s="20">
        <v>1.2182999999999999</v>
      </c>
      <c r="T519" s="20">
        <v>1.2712000000000001</v>
      </c>
      <c r="U519" s="20">
        <v>1.323</v>
      </c>
      <c r="V519" s="20">
        <v>1.3734999999999999</v>
      </c>
      <c r="W519"/>
      <c r="X519"/>
      <c r="Y519"/>
      <c r="Z519"/>
    </row>
    <row r="520" spans="1:26" x14ac:dyDescent="0.2">
      <c r="A520" s="19">
        <v>0.51400000000000001</v>
      </c>
      <c r="B520" s="20">
        <v>0</v>
      </c>
      <c r="C520" s="20">
        <v>9.7500000000000003E-2</v>
      </c>
      <c r="D520" s="20">
        <v>0.19040000000000001</v>
      </c>
      <c r="E520" s="20">
        <v>0.27900000000000003</v>
      </c>
      <c r="F520" s="20">
        <v>0.36370000000000002</v>
      </c>
      <c r="G520" s="20">
        <v>0.44479999999999997</v>
      </c>
      <c r="H520" s="20">
        <v>0.52249999999999996</v>
      </c>
      <c r="I520" s="20">
        <v>0.59719999999999995</v>
      </c>
      <c r="J520" s="20">
        <v>0.66900000000000004</v>
      </c>
      <c r="K520" s="20">
        <v>0.73819999999999997</v>
      </c>
      <c r="L520" s="20">
        <v>0.80500000000000005</v>
      </c>
      <c r="M520" s="20">
        <v>0.86950000000000005</v>
      </c>
      <c r="N520" s="20">
        <v>0.93210000000000004</v>
      </c>
      <c r="O520" s="20">
        <v>0.99270000000000003</v>
      </c>
      <c r="P520" s="20">
        <v>1.0515000000000001</v>
      </c>
      <c r="Q520" s="20">
        <v>1.1088</v>
      </c>
      <c r="R520" s="20">
        <v>1.1645000000000001</v>
      </c>
      <c r="S520" s="20">
        <v>1.2188000000000001</v>
      </c>
      <c r="T520" s="20">
        <v>1.2718</v>
      </c>
      <c r="U520" s="20">
        <v>1.3234999999999999</v>
      </c>
      <c r="V520" s="20">
        <v>1.3741000000000001</v>
      </c>
      <c r="W520"/>
      <c r="X520"/>
      <c r="Y520"/>
      <c r="Z520"/>
    </row>
    <row r="521" spans="1:26" x14ac:dyDescent="0.2">
      <c r="A521" s="19">
        <v>0.51500000000000001</v>
      </c>
      <c r="B521" s="20">
        <v>0</v>
      </c>
      <c r="C521" s="20">
        <v>9.7600000000000006E-2</v>
      </c>
      <c r="D521" s="20">
        <v>0.1905</v>
      </c>
      <c r="E521" s="20">
        <v>0.2792</v>
      </c>
      <c r="F521" s="20">
        <v>0.3639</v>
      </c>
      <c r="G521" s="20">
        <v>0.44500000000000001</v>
      </c>
      <c r="H521" s="20">
        <v>0.52280000000000004</v>
      </c>
      <c r="I521" s="20">
        <v>0.59750000000000003</v>
      </c>
      <c r="J521" s="20">
        <v>0.66930000000000001</v>
      </c>
      <c r="K521" s="20">
        <v>0.73860000000000003</v>
      </c>
      <c r="L521" s="20">
        <v>0.8054</v>
      </c>
      <c r="M521" s="20">
        <v>0.87</v>
      </c>
      <c r="N521" s="20">
        <v>0.9325</v>
      </c>
      <c r="O521" s="20">
        <v>0.99319999999999997</v>
      </c>
      <c r="P521" s="20">
        <v>1.0521</v>
      </c>
      <c r="Q521" s="20">
        <v>1.1093</v>
      </c>
      <c r="R521" s="20">
        <v>1.165</v>
      </c>
      <c r="S521" s="20">
        <v>1.2194</v>
      </c>
      <c r="T521" s="20">
        <v>1.2723</v>
      </c>
      <c r="U521" s="20">
        <v>1.3241000000000001</v>
      </c>
      <c r="V521" s="20">
        <v>1.3746</v>
      </c>
      <c r="W521"/>
      <c r="X521"/>
      <c r="Y521"/>
      <c r="Z521"/>
    </row>
    <row r="522" spans="1:26" x14ac:dyDescent="0.2">
      <c r="A522" s="19">
        <v>0.51600000000000001</v>
      </c>
      <c r="B522" s="20">
        <v>0</v>
      </c>
      <c r="C522" s="20">
        <v>9.7600000000000006E-2</v>
      </c>
      <c r="D522" s="20">
        <v>0.19059999999999999</v>
      </c>
      <c r="E522" s="20">
        <v>0.27929999999999999</v>
      </c>
      <c r="F522" s="20">
        <v>0.36409999999999998</v>
      </c>
      <c r="G522" s="20">
        <v>0.44529999999999997</v>
      </c>
      <c r="H522" s="20">
        <v>0.52310000000000001</v>
      </c>
      <c r="I522" s="20">
        <v>0.5978</v>
      </c>
      <c r="J522" s="20">
        <v>0.66969999999999996</v>
      </c>
      <c r="K522" s="20">
        <v>0.73899999999999999</v>
      </c>
      <c r="L522" s="20">
        <v>0.80579999999999996</v>
      </c>
      <c r="M522" s="20">
        <v>0.87039999999999995</v>
      </c>
      <c r="N522" s="20">
        <v>0.93300000000000005</v>
      </c>
      <c r="O522" s="20">
        <v>0.99370000000000003</v>
      </c>
      <c r="P522" s="20">
        <v>1.0526</v>
      </c>
      <c r="Q522" s="20">
        <v>1.1097999999999999</v>
      </c>
      <c r="R522" s="20">
        <v>1.1656</v>
      </c>
      <c r="S522" s="20">
        <v>1.2199</v>
      </c>
      <c r="T522" s="20">
        <v>1.2728999999999999</v>
      </c>
      <c r="U522" s="20">
        <v>1.3246</v>
      </c>
      <c r="V522" s="20">
        <v>1.3752</v>
      </c>
      <c r="W522"/>
      <c r="X522"/>
      <c r="Y522"/>
      <c r="Z522"/>
    </row>
    <row r="523" spans="1:26" x14ac:dyDescent="0.2">
      <c r="A523" s="19">
        <v>0.51700000000000002</v>
      </c>
      <c r="B523" s="20">
        <v>0</v>
      </c>
      <c r="C523" s="20">
        <v>9.7699999999999995E-2</v>
      </c>
      <c r="D523" s="20">
        <v>0.19070000000000001</v>
      </c>
      <c r="E523" s="20">
        <v>0.27950000000000003</v>
      </c>
      <c r="F523" s="20">
        <v>0.36430000000000001</v>
      </c>
      <c r="G523" s="20">
        <v>0.44550000000000001</v>
      </c>
      <c r="H523" s="20">
        <v>0.52339999999999998</v>
      </c>
      <c r="I523" s="20">
        <v>0.59819999999999995</v>
      </c>
      <c r="J523" s="20">
        <v>0.67010000000000003</v>
      </c>
      <c r="K523" s="20">
        <v>0.73939999999999995</v>
      </c>
      <c r="L523" s="20">
        <v>0.80620000000000003</v>
      </c>
      <c r="M523" s="20">
        <v>0.87090000000000001</v>
      </c>
      <c r="N523" s="20">
        <v>0.9335</v>
      </c>
      <c r="O523" s="20">
        <v>0.99419999999999997</v>
      </c>
      <c r="P523" s="20">
        <v>1.0530999999999999</v>
      </c>
      <c r="Q523" s="20">
        <v>1.1104000000000001</v>
      </c>
      <c r="R523" s="20">
        <v>1.1660999999999999</v>
      </c>
      <c r="S523" s="20">
        <v>1.2203999999999999</v>
      </c>
      <c r="T523" s="20">
        <v>1.2734000000000001</v>
      </c>
      <c r="U523" s="20">
        <v>1.3251999999999999</v>
      </c>
      <c r="V523" s="20">
        <v>1.3756999999999999</v>
      </c>
      <c r="W523"/>
      <c r="X523"/>
      <c r="Y523"/>
      <c r="Z523"/>
    </row>
    <row r="524" spans="1:26" x14ac:dyDescent="0.2">
      <c r="A524" s="19">
        <v>0.51800000000000002</v>
      </c>
      <c r="B524" s="20">
        <v>0</v>
      </c>
      <c r="C524" s="20">
        <v>9.7699999999999995E-2</v>
      </c>
      <c r="D524" s="20">
        <v>0.1908</v>
      </c>
      <c r="E524" s="20">
        <v>0.2797</v>
      </c>
      <c r="F524" s="20">
        <v>0.36449999999999999</v>
      </c>
      <c r="G524" s="20">
        <v>0.44579999999999997</v>
      </c>
      <c r="H524" s="20">
        <v>0.52370000000000005</v>
      </c>
      <c r="I524" s="20">
        <v>0.59850000000000003</v>
      </c>
      <c r="J524" s="20">
        <v>0.6704</v>
      </c>
      <c r="K524" s="20">
        <v>0.73980000000000001</v>
      </c>
      <c r="L524" s="20">
        <v>0.80669999999999997</v>
      </c>
      <c r="M524" s="20">
        <v>0.87129999999999996</v>
      </c>
      <c r="N524" s="20">
        <v>0.93389999999999995</v>
      </c>
      <c r="O524" s="20">
        <v>0.99460000000000004</v>
      </c>
      <c r="P524" s="20">
        <v>1.0536000000000001</v>
      </c>
      <c r="Q524" s="20">
        <v>1.1109</v>
      </c>
      <c r="R524" s="20">
        <v>1.1666000000000001</v>
      </c>
      <c r="S524" s="20">
        <v>1.2210000000000001</v>
      </c>
      <c r="T524" s="20">
        <v>1.274</v>
      </c>
      <c r="U524" s="20">
        <v>1.3257000000000001</v>
      </c>
      <c r="V524" s="20">
        <v>1.3763000000000001</v>
      </c>
      <c r="W524"/>
      <c r="X524"/>
      <c r="Y524"/>
      <c r="Z524"/>
    </row>
    <row r="525" spans="1:26" x14ac:dyDescent="0.2">
      <c r="A525" s="19">
        <v>0.51900000000000002</v>
      </c>
      <c r="B525" s="20">
        <v>0</v>
      </c>
      <c r="C525" s="20">
        <v>9.7799999999999998E-2</v>
      </c>
      <c r="D525" s="20">
        <v>0.19089999999999999</v>
      </c>
      <c r="E525" s="20">
        <v>0.27979999999999999</v>
      </c>
      <c r="F525" s="20">
        <v>0.36480000000000001</v>
      </c>
      <c r="G525" s="20">
        <v>0.44600000000000001</v>
      </c>
      <c r="H525" s="20">
        <v>0.52400000000000002</v>
      </c>
      <c r="I525" s="20">
        <v>0.5988</v>
      </c>
      <c r="J525" s="20">
        <v>0.67079999999999995</v>
      </c>
      <c r="K525" s="20">
        <v>0.74009999999999998</v>
      </c>
      <c r="L525" s="20">
        <v>0.80710000000000004</v>
      </c>
      <c r="M525" s="20">
        <v>0.87180000000000002</v>
      </c>
      <c r="N525" s="20">
        <v>0.93440000000000001</v>
      </c>
      <c r="O525" s="20">
        <v>0.99509999999999998</v>
      </c>
      <c r="P525" s="20">
        <v>1.0541</v>
      </c>
      <c r="Q525" s="20">
        <v>1.1113999999999999</v>
      </c>
      <c r="R525" s="20">
        <v>1.1672</v>
      </c>
      <c r="S525" s="20">
        <v>1.2215</v>
      </c>
      <c r="T525" s="20">
        <v>1.2745</v>
      </c>
      <c r="U525" s="20">
        <v>1.3263</v>
      </c>
      <c r="V525" s="20">
        <v>1.3768</v>
      </c>
      <c r="W525"/>
      <c r="X525"/>
      <c r="Y525"/>
      <c r="Z525"/>
    </row>
    <row r="526" spans="1:26" x14ac:dyDescent="0.2">
      <c r="A526" s="19">
        <v>0.52</v>
      </c>
      <c r="B526" s="20">
        <v>0</v>
      </c>
      <c r="C526" s="20">
        <v>9.7799999999999998E-2</v>
      </c>
      <c r="D526" s="20">
        <v>0.19109999999999999</v>
      </c>
      <c r="E526" s="20">
        <v>0.28000000000000003</v>
      </c>
      <c r="F526" s="20">
        <v>0.36499999999999999</v>
      </c>
      <c r="G526" s="20">
        <v>0.44629999999999997</v>
      </c>
      <c r="H526" s="20">
        <v>0.52429999999999999</v>
      </c>
      <c r="I526" s="20">
        <v>0.59909999999999997</v>
      </c>
      <c r="J526" s="20">
        <v>0.67120000000000002</v>
      </c>
      <c r="K526" s="20">
        <v>0.74050000000000005</v>
      </c>
      <c r="L526" s="20">
        <v>0.8075</v>
      </c>
      <c r="M526" s="20">
        <v>0.87219999999999998</v>
      </c>
      <c r="N526" s="20">
        <v>0.93489999999999995</v>
      </c>
      <c r="O526" s="20">
        <v>0.99560000000000004</v>
      </c>
      <c r="P526" s="20">
        <v>1.0546</v>
      </c>
      <c r="Q526" s="20">
        <v>1.1119000000000001</v>
      </c>
      <c r="R526" s="20">
        <v>1.1677</v>
      </c>
      <c r="S526" s="20">
        <v>1.2221</v>
      </c>
      <c r="T526" s="20">
        <v>1.2750999999999999</v>
      </c>
      <c r="U526" s="20">
        <v>1.3268</v>
      </c>
      <c r="V526" s="20">
        <v>1.3774</v>
      </c>
      <c r="W526"/>
      <c r="X526"/>
      <c r="Y526"/>
      <c r="Z526"/>
    </row>
    <row r="527" spans="1:26" x14ac:dyDescent="0.2">
      <c r="A527" s="19">
        <v>0.52100000000000002</v>
      </c>
      <c r="B527" s="20">
        <v>0</v>
      </c>
      <c r="C527" s="20">
        <v>9.7900000000000001E-2</v>
      </c>
      <c r="D527" s="20">
        <v>0.19120000000000001</v>
      </c>
      <c r="E527" s="20">
        <v>0.28010000000000002</v>
      </c>
      <c r="F527" s="20">
        <v>0.36520000000000002</v>
      </c>
      <c r="G527" s="20">
        <v>0.44650000000000001</v>
      </c>
      <c r="H527" s="20">
        <v>0.52459999999999996</v>
      </c>
      <c r="I527" s="20">
        <v>0.59950000000000003</v>
      </c>
      <c r="J527" s="20">
        <v>0.67149999999999999</v>
      </c>
      <c r="K527" s="20">
        <v>0.7409</v>
      </c>
      <c r="L527" s="20">
        <v>0.80789999999999995</v>
      </c>
      <c r="M527" s="20">
        <v>0.87270000000000003</v>
      </c>
      <c r="N527" s="20">
        <v>0.93530000000000002</v>
      </c>
      <c r="O527" s="20">
        <v>0.99609999999999999</v>
      </c>
      <c r="P527" s="20">
        <v>1.0550999999999999</v>
      </c>
      <c r="Q527" s="20">
        <v>1.1124000000000001</v>
      </c>
      <c r="R527" s="20">
        <v>1.1681999999999999</v>
      </c>
      <c r="S527" s="20">
        <v>1.2225999999999999</v>
      </c>
      <c r="T527" s="20">
        <v>1.2756000000000001</v>
      </c>
      <c r="U527" s="20">
        <v>1.3273999999999999</v>
      </c>
      <c r="V527" s="20">
        <v>1.3778999999999999</v>
      </c>
      <c r="W527"/>
      <c r="X527"/>
      <c r="Y527"/>
      <c r="Z527"/>
    </row>
    <row r="528" spans="1:26" x14ac:dyDescent="0.2">
      <c r="A528" s="19">
        <v>0.52200000000000002</v>
      </c>
      <c r="B528" s="20">
        <v>0</v>
      </c>
      <c r="C528" s="20">
        <v>9.8000000000000004E-2</v>
      </c>
      <c r="D528" s="20">
        <v>0.1913</v>
      </c>
      <c r="E528" s="20">
        <v>0.28029999999999999</v>
      </c>
      <c r="F528" s="20">
        <v>0.3654</v>
      </c>
      <c r="G528" s="20">
        <v>0.44679999999999997</v>
      </c>
      <c r="H528" s="20">
        <v>0.52480000000000004</v>
      </c>
      <c r="I528" s="20">
        <v>0.5998</v>
      </c>
      <c r="J528" s="20">
        <v>0.67190000000000005</v>
      </c>
      <c r="K528" s="20">
        <v>0.74129999999999996</v>
      </c>
      <c r="L528" s="20">
        <v>0.80830000000000002</v>
      </c>
      <c r="M528" s="20">
        <v>0.87309999999999999</v>
      </c>
      <c r="N528" s="20">
        <v>0.93579999999999997</v>
      </c>
      <c r="O528" s="20">
        <v>0.99660000000000004</v>
      </c>
      <c r="P528" s="20">
        <v>1.0556000000000001</v>
      </c>
      <c r="Q528" s="20">
        <v>1.1129</v>
      </c>
      <c r="R528" s="20">
        <v>1.1688000000000001</v>
      </c>
      <c r="S528" s="20">
        <v>1.2231000000000001</v>
      </c>
      <c r="T528" s="20">
        <v>1.2762</v>
      </c>
      <c r="U528" s="20">
        <v>1.3279000000000001</v>
      </c>
      <c r="V528" s="20">
        <v>1.3785000000000001</v>
      </c>
      <c r="W528"/>
      <c r="X528"/>
      <c r="Y528"/>
      <c r="Z528"/>
    </row>
    <row r="529" spans="1:26" x14ac:dyDescent="0.2">
      <c r="A529" s="19">
        <v>0.52300000000000002</v>
      </c>
      <c r="B529" s="20">
        <v>0</v>
      </c>
      <c r="C529" s="20">
        <v>9.8000000000000004E-2</v>
      </c>
      <c r="D529" s="20">
        <v>0.19139999999999999</v>
      </c>
      <c r="E529" s="20">
        <v>0.28050000000000003</v>
      </c>
      <c r="F529" s="20">
        <v>0.36559999999999998</v>
      </c>
      <c r="G529" s="20">
        <v>0.44700000000000001</v>
      </c>
      <c r="H529" s="20">
        <v>0.52510000000000001</v>
      </c>
      <c r="I529" s="20">
        <v>0.60009999999999997</v>
      </c>
      <c r="J529" s="20">
        <v>0.67220000000000002</v>
      </c>
      <c r="K529" s="20">
        <v>0.74170000000000003</v>
      </c>
      <c r="L529" s="20">
        <v>0.80879999999999996</v>
      </c>
      <c r="M529" s="20">
        <v>0.87360000000000004</v>
      </c>
      <c r="N529" s="20">
        <v>0.93630000000000002</v>
      </c>
      <c r="O529" s="20">
        <v>0.99709999999999999</v>
      </c>
      <c r="P529" s="20">
        <v>1.0561</v>
      </c>
      <c r="Q529" s="20">
        <v>1.1134999999999999</v>
      </c>
      <c r="R529" s="20">
        <v>1.1693</v>
      </c>
      <c r="S529" s="20">
        <v>1.2237</v>
      </c>
      <c r="T529" s="20">
        <v>1.2766999999999999</v>
      </c>
      <c r="U529" s="20">
        <v>1.3285</v>
      </c>
      <c r="V529" s="20">
        <v>1.379</v>
      </c>
      <c r="W529"/>
      <c r="X529"/>
      <c r="Y529"/>
      <c r="Z529"/>
    </row>
    <row r="530" spans="1:26" x14ac:dyDescent="0.2">
      <c r="A530" s="19">
        <v>0.52400000000000002</v>
      </c>
      <c r="B530" s="20">
        <v>0</v>
      </c>
      <c r="C530" s="20">
        <v>9.8100000000000007E-2</v>
      </c>
      <c r="D530" s="20">
        <v>0.1915</v>
      </c>
      <c r="E530" s="20">
        <v>0.28060000000000002</v>
      </c>
      <c r="F530" s="20">
        <v>0.36580000000000001</v>
      </c>
      <c r="G530" s="20">
        <v>0.44729999999999998</v>
      </c>
      <c r="H530" s="20">
        <v>0.52539999999999998</v>
      </c>
      <c r="I530" s="20">
        <v>0.60040000000000004</v>
      </c>
      <c r="J530" s="20">
        <v>0.67259999999999998</v>
      </c>
      <c r="K530" s="20">
        <v>0.74209999999999998</v>
      </c>
      <c r="L530" s="20">
        <v>0.80920000000000003</v>
      </c>
      <c r="M530" s="20">
        <v>0.874</v>
      </c>
      <c r="N530" s="20">
        <v>0.93669999999999998</v>
      </c>
      <c r="O530" s="20">
        <v>0.99760000000000004</v>
      </c>
      <c r="P530" s="20">
        <v>1.0566</v>
      </c>
      <c r="Q530" s="20">
        <v>1.1140000000000001</v>
      </c>
      <c r="R530" s="20">
        <v>1.1698</v>
      </c>
      <c r="S530" s="20">
        <v>1.2242</v>
      </c>
      <c r="T530" s="20">
        <v>1.2771999999999999</v>
      </c>
      <c r="U530" s="20">
        <v>1.329</v>
      </c>
      <c r="V530" s="20">
        <v>1.3795999999999999</v>
      </c>
      <c r="W530"/>
      <c r="X530"/>
      <c r="Y530"/>
      <c r="Z530"/>
    </row>
    <row r="531" spans="1:26" x14ac:dyDescent="0.2">
      <c r="A531" s="19">
        <v>0.52500000000000002</v>
      </c>
      <c r="B531" s="20">
        <v>0</v>
      </c>
      <c r="C531" s="20">
        <v>9.8100000000000007E-2</v>
      </c>
      <c r="D531" s="20">
        <v>0.19159999999999999</v>
      </c>
      <c r="E531" s="20">
        <v>0.28079999999999999</v>
      </c>
      <c r="F531" s="20">
        <v>0.36599999999999999</v>
      </c>
      <c r="G531" s="20">
        <v>0.44750000000000001</v>
      </c>
      <c r="H531" s="20">
        <v>0.52569999999999995</v>
      </c>
      <c r="I531" s="20">
        <v>0.6008</v>
      </c>
      <c r="J531" s="20">
        <v>0.67300000000000004</v>
      </c>
      <c r="K531" s="20">
        <v>0.74250000000000005</v>
      </c>
      <c r="L531" s="20">
        <v>0.80959999999999999</v>
      </c>
      <c r="M531" s="20">
        <v>0.87439999999999996</v>
      </c>
      <c r="N531" s="20">
        <v>0.93720000000000003</v>
      </c>
      <c r="O531" s="20">
        <v>0.99809999999999999</v>
      </c>
      <c r="P531" s="20">
        <v>1.0570999999999999</v>
      </c>
      <c r="Q531" s="20">
        <v>1.1145</v>
      </c>
      <c r="R531" s="20">
        <v>1.1702999999999999</v>
      </c>
      <c r="S531" s="20">
        <v>1.2246999999999999</v>
      </c>
      <c r="T531" s="20">
        <v>1.2778</v>
      </c>
      <c r="U531" s="20">
        <v>1.3295999999999999</v>
      </c>
      <c r="V531" s="20">
        <v>1.3801000000000001</v>
      </c>
      <c r="W531"/>
      <c r="X531"/>
      <c r="Y531"/>
      <c r="Z531"/>
    </row>
    <row r="532" spans="1:26" x14ac:dyDescent="0.2">
      <c r="A532" s="19">
        <v>0.52600000000000002</v>
      </c>
      <c r="B532" s="20">
        <v>0</v>
      </c>
      <c r="C532" s="20">
        <v>9.8199999999999996E-2</v>
      </c>
      <c r="D532" s="20">
        <v>0.19170000000000001</v>
      </c>
      <c r="E532" s="20">
        <v>0.28089999999999998</v>
      </c>
      <c r="F532" s="20">
        <v>0.36620000000000003</v>
      </c>
      <c r="G532" s="20">
        <v>0.44779999999999998</v>
      </c>
      <c r="H532" s="20">
        <v>0.52600000000000002</v>
      </c>
      <c r="I532" s="20">
        <v>0.60109999999999997</v>
      </c>
      <c r="J532" s="20">
        <v>0.67330000000000001</v>
      </c>
      <c r="K532" s="20">
        <v>0.7429</v>
      </c>
      <c r="L532" s="20">
        <v>0.81</v>
      </c>
      <c r="M532" s="20">
        <v>0.87490000000000001</v>
      </c>
      <c r="N532" s="20">
        <v>0.93769999999999998</v>
      </c>
      <c r="O532" s="20">
        <v>0.99850000000000005</v>
      </c>
      <c r="P532" s="20">
        <v>1.0576000000000001</v>
      </c>
      <c r="Q532" s="20">
        <v>1.115</v>
      </c>
      <c r="R532" s="20">
        <v>1.1709000000000001</v>
      </c>
      <c r="S532" s="20">
        <v>1.2253000000000001</v>
      </c>
      <c r="T532" s="20">
        <v>1.2783</v>
      </c>
      <c r="U532" s="20">
        <v>1.3301000000000001</v>
      </c>
      <c r="V532" s="20">
        <v>1.3807</v>
      </c>
      <c r="W532"/>
      <c r="X532"/>
      <c r="Y532"/>
      <c r="Z532"/>
    </row>
    <row r="533" spans="1:26" x14ac:dyDescent="0.2">
      <c r="A533" s="19">
        <v>0.52700000000000002</v>
      </c>
      <c r="B533" s="20">
        <v>0</v>
      </c>
      <c r="C533" s="20">
        <v>9.8199999999999996E-2</v>
      </c>
      <c r="D533" s="20">
        <v>0.1918</v>
      </c>
      <c r="E533" s="20">
        <v>0.28110000000000002</v>
      </c>
      <c r="F533" s="20">
        <v>0.3664</v>
      </c>
      <c r="G533" s="20">
        <v>0.44800000000000001</v>
      </c>
      <c r="H533" s="20">
        <v>0.52629999999999999</v>
      </c>
      <c r="I533" s="20">
        <v>0.60140000000000005</v>
      </c>
      <c r="J533" s="20">
        <v>0.67369999999999997</v>
      </c>
      <c r="K533" s="20">
        <v>0.74329999999999996</v>
      </c>
      <c r="L533" s="20">
        <v>0.81040000000000001</v>
      </c>
      <c r="M533" s="20">
        <v>0.87529999999999997</v>
      </c>
      <c r="N533" s="20">
        <v>0.93810000000000004</v>
      </c>
      <c r="O533" s="20">
        <v>0.999</v>
      </c>
      <c r="P533" s="20">
        <v>1.0581</v>
      </c>
      <c r="Q533" s="20">
        <v>1.1154999999999999</v>
      </c>
      <c r="R533" s="20">
        <v>1.1714</v>
      </c>
      <c r="S533" s="20">
        <v>1.2258</v>
      </c>
      <c r="T533" s="20">
        <v>1.2788999999999999</v>
      </c>
      <c r="U533" s="20">
        <v>1.3306</v>
      </c>
      <c r="V533" s="20">
        <v>1.3812</v>
      </c>
      <c r="W533"/>
      <c r="X533"/>
      <c r="Y533"/>
      <c r="Z533"/>
    </row>
    <row r="534" spans="1:26" x14ac:dyDescent="0.2">
      <c r="A534" s="19">
        <v>0.52800000000000002</v>
      </c>
      <c r="B534" s="20">
        <v>0</v>
      </c>
      <c r="C534" s="20">
        <v>9.8299999999999998E-2</v>
      </c>
      <c r="D534" s="20">
        <v>0.19189999999999999</v>
      </c>
      <c r="E534" s="20">
        <v>0.28120000000000001</v>
      </c>
      <c r="F534" s="20">
        <v>0.36659999999999998</v>
      </c>
      <c r="G534" s="20">
        <v>0.44829999999999998</v>
      </c>
      <c r="H534" s="20">
        <v>0.52659999999999996</v>
      </c>
      <c r="I534" s="20">
        <v>0.60170000000000001</v>
      </c>
      <c r="J534" s="20">
        <v>0.67400000000000004</v>
      </c>
      <c r="K534" s="20">
        <v>0.74370000000000003</v>
      </c>
      <c r="L534" s="20">
        <v>0.81089999999999995</v>
      </c>
      <c r="M534" s="20">
        <v>0.87580000000000002</v>
      </c>
      <c r="N534" s="20">
        <v>0.93859999999999999</v>
      </c>
      <c r="O534" s="20">
        <v>0.99950000000000006</v>
      </c>
      <c r="P534" s="20">
        <v>1.0586</v>
      </c>
      <c r="Q534" s="20">
        <v>1.1160000000000001</v>
      </c>
      <c r="R534" s="20">
        <v>1.1718999999999999</v>
      </c>
      <c r="S534" s="20">
        <v>1.2262999999999999</v>
      </c>
      <c r="T534" s="20">
        <v>1.2794000000000001</v>
      </c>
      <c r="U534" s="20">
        <v>1.3311999999999999</v>
      </c>
      <c r="V534" s="20">
        <v>1.3817999999999999</v>
      </c>
      <c r="W534"/>
      <c r="X534"/>
      <c r="Y534"/>
      <c r="Z534"/>
    </row>
    <row r="535" spans="1:26" x14ac:dyDescent="0.2">
      <c r="A535" s="19">
        <v>0.52900000000000003</v>
      </c>
      <c r="B535" s="20">
        <v>0</v>
      </c>
      <c r="C535" s="20">
        <v>9.8299999999999998E-2</v>
      </c>
      <c r="D535" s="20">
        <v>0.192</v>
      </c>
      <c r="E535" s="20">
        <v>0.28139999999999998</v>
      </c>
      <c r="F535" s="20">
        <v>0.36680000000000001</v>
      </c>
      <c r="G535" s="20">
        <v>0.44850000000000001</v>
      </c>
      <c r="H535" s="20">
        <v>0.52680000000000005</v>
      </c>
      <c r="I535" s="20">
        <v>0.60209999999999997</v>
      </c>
      <c r="J535" s="20">
        <v>0.6744</v>
      </c>
      <c r="K535" s="20">
        <v>0.74409999999999998</v>
      </c>
      <c r="L535" s="20">
        <v>0.81130000000000002</v>
      </c>
      <c r="M535" s="20">
        <v>0.87619999999999998</v>
      </c>
      <c r="N535" s="20">
        <v>0.93910000000000005</v>
      </c>
      <c r="O535" s="20">
        <v>1</v>
      </c>
      <c r="P535" s="20">
        <v>1.0590999999999999</v>
      </c>
      <c r="Q535" s="20">
        <v>1.1165</v>
      </c>
      <c r="R535" s="20">
        <v>1.1724000000000001</v>
      </c>
      <c r="S535" s="20">
        <v>1.2269000000000001</v>
      </c>
      <c r="T535" s="20">
        <v>1.2799</v>
      </c>
      <c r="U535" s="20">
        <v>1.3317000000000001</v>
      </c>
      <c r="V535" s="20">
        <v>1.3823000000000001</v>
      </c>
      <c r="W535"/>
      <c r="X535"/>
      <c r="Y535"/>
      <c r="Z535"/>
    </row>
    <row r="536" spans="1:26" x14ac:dyDescent="0.2">
      <c r="A536" s="19">
        <v>0.53</v>
      </c>
      <c r="B536" s="20">
        <v>0</v>
      </c>
      <c r="C536" s="20">
        <v>9.8400000000000001E-2</v>
      </c>
      <c r="D536" s="20">
        <v>0.19209999999999999</v>
      </c>
      <c r="E536" s="20">
        <v>0.28160000000000002</v>
      </c>
      <c r="F536" s="20">
        <v>0.36699999999999999</v>
      </c>
      <c r="G536" s="20">
        <v>0.44879999999999998</v>
      </c>
      <c r="H536" s="20">
        <v>0.52710000000000001</v>
      </c>
      <c r="I536" s="20">
        <v>0.60240000000000005</v>
      </c>
      <c r="J536" s="20">
        <v>0.67469999999999997</v>
      </c>
      <c r="K536" s="20">
        <v>0.74439999999999995</v>
      </c>
      <c r="L536" s="20">
        <v>0.81169999999999998</v>
      </c>
      <c r="M536" s="20">
        <v>0.87670000000000003</v>
      </c>
      <c r="N536" s="20">
        <v>0.9395</v>
      </c>
      <c r="O536" s="20">
        <v>1.0004999999999999</v>
      </c>
      <c r="P536" s="20">
        <v>1.0596000000000001</v>
      </c>
      <c r="Q536" s="20">
        <v>1.117</v>
      </c>
      <c r="R536" s="20">
        <v>1.1729000000000001</v>
      </c>
      <c r="S536" s="20">
        <v>1.2274</v>
      </c>
      <c r="T536" s="20">
        <v>1.2805</v>
      </c>
      <c r="U536" s="20">
        <v>1.3323</v>
      </c>
      <c r="V536" s="20">
        <v>1.3828</v>
      </c>
      <c r="W536"/>
      <c r="X536"/>
      <c r="Y536"/>
      <c r="Z536"/>
    </row>
    <row r="537" spans="1:26" x14ac:dyDescent="0.2">
      <c r="A537" s="19">
        <v>0.53100000000000003</v>
      </c>
      <c r="B537" s="20">
        <v>0</v>
      </c>
      <c r="C537" s="20">
        <v>9.8500000000000004E-2</v>
      </c>
      <c r="D537" s="20">
        <v>0.19220000000000001</v>
      </c>
      <c r="E537" s="20">
        <v>0.28170000000000001</v>
      </c>
      <c r="F537" s="20">
        <v>0.36720000000000003</v>
      </c>
      <c r="G537" s="20">
        <v>0.44900000000000001</v>
      </c>
      <c r="H537" s="20">
        <v>0.52739999999999998</v>
      </c>
      <c r="I537" s="20">
        <v>0.60270000000000001</v>
      </c>
      <c r="J537" s="20">
        <v>0.67510000000000003</v>
      </c>
      <c r="K537" s="20">
        <v>0.74480000000000002</v>
      </c>
      <c r="L537" s="20">
        <v>0.81210000000000004</v>
      </c>
      <c r="M537" s="20">
        <v>0.87709999999999999</v>
      </c>
      <c r="N537" s="20">
        <v>0.94</v>
      </c>
      <c r="O537" s="20">
        <v>1.0008999999999999</v>
      </c>
      <c r="P537" s="20">
        <v>1.0601</v>
      </c>
      <c r="Q537" s="20">
        <v>1.1175999999999999</v>
      </c>
      <c r="R537" s="20">
        <v>1.1735</v>
      </c>
      <c r="S537" s="20">
        <v>1.2279</v>
      </c>
      <c r="T537" s="20">
        <v>1.2809999999999999</v>
      </c>
      <c r="U537" s="20">
        <v>1.3328</v>
      </c>
      <c r="V537" s="20">
        <v>1.3834</v>
      </c>
      <c r="W537"/>
      <c r="X537"/>
      <c r="Y537"/>
      <c r="Z537"/>
    </row>
    <row r="538" spans="1:26" x14ac:dyDescent="0.2">
      <c r="A538" s="19">
        <v>0.53200000000000003</v>
      </c>
      <c r="B538" s="20">
        <v>0</v>
      </c>
      <c r="C538" s="20">
        <v>9.8500000000000004E-2</v>
      </c>
      <c r="D538" s="20">
        <v>0.1923</v>
      </c>
      <c r="E538" s="20">
        <v>0.28189999999999998</v>
      </c>
      <c r="F538" s="20">
        <v>0.3674</v>
      </c>
      <c r="G538" s="20">
        <v>0.44919999999999999</v>
      </c>
      <c r="H538" s="20">
        <v>0.52769999999999995</v>
      </c>
      <c r="I538" s="20">
        <v>0.60299999999999998</v>
      </c>
      <c r="J538" s="20">
        <v>0.67549999999999999</v>
      </c>
      <c r="K538" s="20">
        <v>0.74519999999999997</v>
      </c>
      <c r="L538" s="20">
        <v>0.8125</v>
      </c>
      <c r="M538" s="20">
        <v>0.87749999999999995</v>
      </c>
      <c r="N538" s="20">
        <v>0.94040000000000001</v>
      </c>
      <c r="O538" s="20">
        <v>1.0014000000000001</v>
      </c>
      <c r="P538" s="20">
        <v>1.0606</v>
      </c>
      <c r="Q538" s="20">
        <v>1.1181000000000001</v>
      </c>
      <c r="R538" s="20">
        <v>1.1739999999999999</v>
      </c>
      <c r="S538" s="20">
        <v>1.2283999999999999</v>
      </c>
      <c r="T538" s="20">
        <v>1.2815000000000001</v>
      </c>
      <c r="U538" s="20">
        <v>1.3332999999999999</v>
      </c>
      <c r="V538" s="20">
        <v>1.3838999999999999</v>
      </c>
      <c r="W538"/>
      <c r="X538"/>
      <c r="Y538"/>
      <c r="Z538"/>
    </row>
    <row r="539" spans="1:26" x14ac:dyDescent="0.2">
      <c r="A539" s="19">
        <v>0.53300000000000003</v>
      </c>
      <c r="B539" s="20">
        <v>0</v>
      </c>
      <c r="C539" s="20">
        <v>9.8599999999999993E-2</v>
      </c>
      <c r="D539" s="20">
        <v>0.1925</v>
      </c>
      <c r="E539" s="20">
        <v>0.28199999999999997</v>
      </c>
      <c r="F539" s="20">
        <v>0.36759999999999998</v>
      </c>
      <c r="G539" s="20">
        <v>0.44950000000000001</v>
      </c>
      <c r="H539" s="20">
        <v>0.52800000000000002</v>
      </c>
      <c r="I539" s="20">
        <v>0.60329999999999995</v>
      </c>
      <c r="J539" s="20">
        <v>0.67579999999999996</v>
      </c>
      <c r="K539" s="20">
        <v>0.74560000000000004</v>
      </c>
      <c r="L539" s="20">
        <v>0.81289999999999996</v>
      </c>
      <c r="M539" s="20">
        <v>0.878</v>
      </c>
      <c r="N539" s="20">
        <v>0.94089999999999996</v>
      </c>
      <c r="O539" s="20">
        <v>1.0019</v>
      </c>
      <c r="P539" s="20">
        <v>1.0610999999999999</v>
      </c>
      <c r="Q539" s="20">
        <v>1.1186</v>
      </c>
      <c r="R539" s="20">
        <v>1.1745000000000001</v>
      </c>
      <c r="S539" s="20">
        <v>1.2290000000000001</v>
      </c>
      <c r="T539" s="20">
        <v>1.2821</v>
      </c>
      <c r="U539" s="20">
        <v>1.3339000000000001</v>
      </c>
      <c r="V539" s="20">
        <v>1.3844000000000001</v>
      </c>
      <c r="W539"/>
      <c r="X539"/>
      <c r="Y539"/>
      <c r="Z539"/>
    </row>
    <row r="540" spans="1:26" x14ac:dyDescent="0.2">
      <c r="A540" s="19">
        <v>0.53400000000000003</v>
      </c>
      <c r="B540" s="20">
        <v>0</v>
      </c>
      <c r="C540" s="20">
        <v>9.8599999999999993E-2</v>
      </c>
      <c r="D540" s="20">
        <v>0.19259999999999999</v>
      </c>
      <c r="E540" s="20">
        <v>0.28220000000000001</v>
      </c>
      <c r="F540" s="20">
        <v>0.36780000000000002</v>
      </c>
      <c r="G540" s="20">
        <v>0.44969999999999999</v>
      </c>
      <c r="H540" s="20">
        <v>0.52829999999999999</v>
      </c>
      <c r="I540" s="20">
        <v>0.60370000000000001</v>
      </c>
      <c r="J540" s="20">
        <v>0.67620000000000002</v>
      </c>
      <c r="K540" s="20">
        <v>0.746</v>
      </c>
      <c r="L540" s="20">
        <v>0.81330000000000002</v>
      </c>
      <c r="M540" s="20">
        <v>0.87839999999999996</v>
      </c>
      <c r="N540" s="20">
        <v>0.94140000000000001</v>
      </c>
      <c r="O540" s="20">
        <v>1.0024</v>
      </c>
      <c r="P540" s="20">
        <v>1.0616000000000001</v>
      </c>
      <c r="Q540" s="20">
        <v>1.1191</v>
      </c>
      <c r="R540" s="20">
        <v>1.175</v>
      </c>
      <c r="S540" s="20">
        <v>1.2295</v>
      </c>
      <c r="T540" s="20">
        <v>1.2826</v>
      </c>
      <c r="U540" s="20">
        <v>1.3344</v>
      </c>
      <c r="V540" s="20">
        <v>1.385</v>
      </c>
      <c r="W540"/>
      <c r="X540"/>
      <c r="Y540"/>
      <c r="Z540"/>
    </row>
    <row r="541" spans="1:26" x14ac:dyDescent="0.2">
      <c r="A541" s="19">
        <v>0.53500000000000003</v>
      </c>
      <c r="B541" s="20">
        <v>0</v>
      </c>
      <c r="C541" s="20">
        <v>9.8699999999999996E-2</v>
      </c>
      <c r="D541" s="20">
        <v>0.19270000000000001</v>
      </c>
      <c r="E541" s="20">
        <v>0.2823</v>
      </c>
      <c r="F541" s="20">
        <v>0.36799999999999999</v>
      </c>
      <c r="G541" s="20">
        <v>0.45</v>
      </c>
      <c r="H541" s="20">
        <v>0.52859999999999996</v>
      </c>
      <c r="I541" s="20">
        <v>0.60399999999999998</v>
      </c>
      <c r="J541" s="20">
        <v>0.67649999999999999</v>
      </c>
      <c r="K541" s="20">
        <v>0.74639999999999995</v>
      </c>
      <c r="L541" s="20">
        <v>0.81369999999999998</v>
      </c>
      <c r="M541" s="20">
        <v>0.87880000000000003</v>
      </c>
      <c r="N541" s="20">
        <v>0.94179999999999997</v>
      </c>
      <c r="O541" s="20">
        <v>1.0028999999999999</v>
      </c>
      <c r="P541" s="20">
        <v>1.0621</v>
      </c>
      <c r="Q541" s="20">
        <v>1.1195999999999999</v>
      </c>
      <c r="R541" s="20">
        <v>1.1755</v>
      </c>
      <c r="S541" s="20">
        <v>1.23</v>
      </c>
      <c r="T541" s="20">
        <v>1.2830999999999999</v>
      </c>
      <c r="U541" s="20">
        <v>1.3349</v>
      </c>
      <c r="V541" s="20">
        <v>1.3855</v>
      </c>
      <c r="W541"/>
      <c r="X541"/>
      <c r="Y541"/>
      <c r="Z541"/>
    </row>
    <row r="542" spans="1:26" x14ac:dyDescent="0.2">
      <c r="A542" s="19">
        <v>0.53600000000000003</v>
      </c>
      <c r="B542" s="20">
        <v>0</v>
      </c>
      <c r="C542" s="20">
        <v>9.8699999999999996E-2</v>
      </c>
      <c r="D542" s="20">
        <v>0.1928</v>
      </c>
      <c r="E542" s="20">
        <v>0.28249999999999997</v>
      </c>
      <c r="F542" s="20">
        <v>0.36820000000000003</v>
      </c>
      <c r="G542" s="20">
        <v>0.45019999999999999</v>
      </c>
      <c r="H542" s="20">
        <v>0.52880000000000005</v>
      </c>
      <c r="I542" s="20">
        <v>0.60429999999999995</v>
      </c>
      <c r="J542" s="20">
        <v>0.67689999999999995</v>
      </c>
      <c r="K542" s="20">
        <v>0.74670000000000003</v>
      </c>
      <c r="L542" s="20">
        <v>0.81420000000000003</v>
      </c>
      <c r="M542" s="20">
        <v>0.87929999999999997</v>
      </c>
      <c r="N542" s="20">
        <v>0.94230000000000003</v>
      </c>
      <c r="O542" s="20">
        <v>1.0033000000000001</v>
      </c>
      <c r="P542" s="20">
        <v>1.0626</v>
      </c>
      <c r="Q542" s="20">
        <v>1.1201000000000001</v>
      </c>
      <c r="R542" s="20">
        <v>1.1760999999999999</v>
      </c>
      <c r="S542" s="20">
        <v>1.2304999999999999</v>
      </c>
      <c r="T542" s="20">
        <v>1.2837000000000001</v>
      </c>
      <c r="U542" s="20">
        <v>1.3354999999999999</v>
      </c>
      <c r="V542" s="20">
        <v>1.3859999999999999</v>
      </c>
      <c r="W542"/>
      <c r="X542"/>
      <c r="Y542"/>
      <c r="Z542"/>
    </row>
    <row r="543" spans="1:26" x14ac:dyDescent="0.2">
      <c r="A543" s="19">
        <v>0.53700000000000003</v>
      </c>
      <c r="B543" s="20">
        <v>0</v>
      </c>
      <c r="C543" s="20">
        <v>9.8799999999999999E-2</v>
      </c>
      <c r="D543" s="20">
        <v>0.19289999999999999</v>
      </c>
      <c r="E543" s="20">
        <v>0.28260000000000002</v>
      </c>
      <c r="F543" s="20">
        <v>0.36840000000000001</v>
      </c>
      <c r="G543" s="20">
        <v>0.45050000000000001</v>
      </c>
      <c r="H543" s="20">
        <v>0.52910000000000001</v>
      </c>
      <c r="I543" s="20">
        <v>0.60460000000000003</v>
      </c>
      <c r="J543" s="20">
        <v>0.67720000000000002</v>
      </c>
      <c r="K543" s="20">
        <v>0.74709999999999999</v>
      </c>
      <c r="L543" s="20">
        <v>0.81459999999999999</v>
      </c>
      <c r="M543" s="20">
        <v>0.87970000000000004</v>
      </c>
      <c r="N543" s="20">
        <v>0.94269999999999998</v>
      </c>
      <c r="O543" s="20">
        <v>1.0038</v>
      </c>
      <c r="P543" s="20">
        <v>1.0629999999999999</v>
      </c>
      <c r="Q543" s="20">
        <v>1.1206</v>
      </c>
      <c r="R543" s="20">
        <v>1.1766000000000001</v>
      </c>
      <c r="S543" s="20">
        <v>1.2311000000000001</v>
      </c>
      <c r="T543" s="20">
        <v>1.2842</v>
      </c>
      <c r="U543" s="20">
        <v>1.3360000000000001</v>
      </c>
      <c r="V543" s="20">
        <v>1.3866000000000001</v>
      </c>
      <c r="W543"/>
      <c r="X543"/>
      <c r="Y543"/>
      <c r="Z543"/>
    </row>
    <row r="544" spans="1:26" x14ac:dyDescent="0.2">
      <c r="A544" s="19">
        <v>0.53800000000000003</v>
      </c>
      <c r="B544" s="20">
        <v>0</v>
      </c>
      <c r="C544" s="20">
        <v>9.8799999999999999E-2</v>
      </c>
      <c r="D544" s="20">
        <v>0.193</v>
      </c>
      <c r="E544" s="20">
        <v>0.2828</v>
      </c>
      <c r="F544" s="20">
        <v>0.36859999999999998</v>
      </c>
      <c r="G544" s="20">
        <v>0.45069999999999999</v>
      </c>
      <c r="H544" s="20">
        <v>0.52939999999999998</v>
      </c>
      <c r="I544" s="20">
        <v>0.60489999999999999</v>
      </c>
      <c r="J544" s="20">
        <v>0.67759999999999998</v>
      </c>
      <c r="K544" s="20">
        <v>0.74750000000000005</v>
      </c>
      <c r="L544" s="20">
        <v>0.81499999999999995</v>
      </c>
      <c r="M544" s="20">
        <v>0.88009999999999999</v>
      </c>
      <c r="N544" s="20">
        <v>0.94320000000000004</v>
      </c>
      <c r="O544" s="20">
        <v>1.0043</v>
      </c>
      <c r="P544" s="20">
        <v>1.0634999999999999</v>
      </c>
      <c r="Q544" s="20">
        <v>1.1211</v>
      </c>
      <c r="R544" s="20">
        <v>1.1771</v>
      </c>
      <c r="S544" s="20">
        <v>1.2316</v>
      </c>
      <c r="T544" s="20">
        <v>1.2847</v>
      </c>
      <c r="U544" s="20">
        <v>1.3365</v>
      </c>
      <c r="V544" s="20">
        <v>1.3871</v>
      </c>
      <c r="W544"/>
      <c r="X544"/>
      <c r="Y544"/>
      <c r="Z544"/>
    </row>
    <row r="545" spans="1:26" x14ac:dyDescent="0.2">
      <c r="A545" s="19">
        <v>0.53900000000000003</v>
      </c>
      <c r="B545" s="20">
        <v>0</v>
      </c>
      <c r="C545" s="20">
        <v>9.8900000000000002E-2</v>
      </c>
      <c r="D545" s="20">
        <v>0.19309999999999999</v>
      </c>
      <c r="E545" s="20">
        <v>0.28289999999999998</v>
      </c>
      <c r="F545" s="20">
        <v>0.36880000000000002</v>
      </c>
      <c r="G545" s="20">
        <v>0.45090000000000002</v>
      </c>
      <c r="H545" s="20">
        <v>0.52969999999999995</v>
      </c>
      <c r="I545" s="20">
        <v>0.60529999999999995</v>
      </c>
      <c r="J545" s="20">
        <v>0.67789999999999995</v>
      </c>
      <c r="K545" s="20">
        <v>0.74790000000000001</v>
      </c>
      <c r="L545" s="20">
        <v>0.81540000000000001</v>
      </c>
      <c r="M545" s="20">
        <v>0.88060000000000005</v>
      </c>
      <c r="N545" s="20">
        <v>0.94359999999999999</v>
      </c>
      <c r="O545" s="20">
        <v>1.0047999999999999</v>
      </c>
      <c r="P545" s="20">
        <v>1.0640000000000001</v>
      </c>
      <c r="Q545" s="20">
        <v>1.1215999999999999</v>
      </c>
      <c r="R545" s="20">
        <v>1.1776</v>
      </c>
      <c r="S545" s="20">
        <v>1.2321</v>
      </c>
      <c r="T545" s="20">
        <v>1.2851999999999999</v>
      </c>
      <c r="U545" s="20">
        <v>1.3371</v>
      </c>
      <c r="V545" s="20">
        <v>1.3875999999999999</v>
      </c>
      <c r="W545"/>
      <c r="X545"/>
      <c r="Y545"/>
      <c r="Z545"/>
    </row>
    <row r="546" spans="1:26" x14ac:dyDescent="0.2">
      <c r="A546" s="19">
        <v>0.54</v>
      </c>
      <c r="B546" s="20">
        <v>0</v>
      </c>
      <c r="C546" s="20">
        <v>9.8900000000000002E-2</v>
      </c>
      <c r="D546" s="20">
        <v>0.19320000000000001</v>
      </c>
      <c r="E546" s="20">
        <v>0.28310000000000002</v>
      </c>
      <c r="F546" s="20">
        <v>0.36899999999999999</v>
      </c>
      <c r="G546" s="20">
        <v>0.45119999999999999</v>
      </c>
      <c r="H546" s="20">
        <v>0.53</v>
      </c>
      <c r="I546" s="20">
        <v>0.60560000000000003</v>
      </c>
      <c r="J546" s="20">
        <v>0.67830000000000001</v>
      </c>
      <c r="K546" s="20">
        <v>0.74829999999999997</v>
      </c>
      <c r="L546" s="20">
        <v>0.81579999999999997</v>
      </c>
      <c r="M546" s="20">
        <v>0.88100000000000001</v>
      </c>
      <c r="N546" s="20">
        <v>0.94410000000000005</v>
      </c>
      <c r="O546" s="20">
        <v>1.0052000000000001</v>
      </c>
      <c r="P546" s="20">
        <v>1.0645</v>
      </c>
      <c r="Q546" s="20">
        <v>1.1221000000000001</v>
      </c>
      <c r="R546" s="20">
        <v>1.1780999999999999</v>
      </c>
      <c r="S546" s="20">
        <v>1.2325999999999999</v>
      </c>
      <c r="T546" s="20">
        <v>1.2858000000000001</v>
      </c>
      <c r="U546" s="20">
        <v>1.3375999999999999</v>
      </c>
      <c r="V546" s="20">
        <v>1.3882000000000001</v>
      </c>
      <c r="W546"/>
      <c r="X546"/>
      <c r="Y546"/>
      <c r="Z546"/>
    </row>
    <row r="547" spans="1:26" x14ac:dyDescent="0.2">
      <c r="A547" s="19">
        <v>0.54100000000000004</v>
      </c>
      <c r="B547" s="20">
        <v>0</v>
      </c>
      <c r="C547" s="20">
        <v>9.9000000000000005E-2</v>
      </c>
      <c r="D547" s="20">
        <v>0.1933</v>
      </c>
      <c r="E547" s="20">
        <v>0.2833</v>
      </c>
      <c r="F547" s="20">
        <v>0.36919999999999997</v>
      </c>
      <c r="G547" s="20">
        <v>0.45140000000000002</v>
      </c>
      <c r="H547" s="20">
        <v>0.5302</v>
      </c>
      <c r="I547" s="20">
        <v>0.60589999999999999</v>
      </c>
      <c r="J547" s="20">
        <v>0.67859999999999998</v>
      </c>
      <c r="K547" s="20">
        <v>0.74870000000000003</v>
      </c>
      <c r="L547" s="20">
        <v>0.81620000000000004</v>
      </c>
      <c r="M547" s="20">
        <v>0.88139999999999996</v>
      </c>
      <c r="N547" s="20">
        <v>0.9446</v>
      </c>
      <c r="O547" s="20">
        <v>1.0057</v>
      </c>
      <c r="P547" s="20">
        <v>1.0649999999999999</v>
      </c>
      <c r="Q547" s="20">
        <v>1.1226</v>
      </c>
      <c r="R547" s="20">
        <v>1.1786000000000001</v>
      </c>
      <c r="S547" s="20">
        <v>1.2332000000000001</v>
      </c>
      <c r="T547" s="20">
        <v>1.2863</v>
      </c>
      <c r="U547" s="20">
        <v>1.3381000000000001</v>
      </c>
      <c r="V547" s="20">
        <v>1.3887</v>
      </c>
      <c r="W547"/>
      <c r="X547"/>
      <c r="Y547"/>
      <c r="Z547"/>
    </row>
    <row r="548" spans="1:26" x14ac:dyDescent="0.2">
      <c r="A548" s="19">
        <v>0.54200000000000004</v>
      </c>
      <c r="B548" s="20">
        <v>0</v>
      </c>
      <c r="C548" s="20">
        <v>9.9099999999999994E-2</v>
      </c>
      <c r="D548" s="20">
        <v>0.19339999999999999</v>
      </c>
      <c r="E548" s="20">
        <v>0.28339999999999999</v>
      </c>
      <c r="F548" s="20">
        <v>0.36940000000000001</v>
      </c>
      <c r="G548" s="20">
        <v>0.45169999999999999</v>
      </c>
      <c r="H548" s="20">
        <v>0.53049999999999997</v>
      </c>
      <c r="I548" s="20">
        <v>0.60619999999999996</v>
      </c>
      <c r="J548" s="20">
        <v>0.67900000000000005</v>
      </c>
      <c r="K548" s="20">
        <v>0.749</v>
      </c>
      <c r="L548" s="20">
        <v>0.81659999999999999</v>
      </c>
      <c r="M548" s="20">
        <v>0.88190000000000002</v>
      </c>
      <c r="N548" s="20">
        <v>0.94499999999999995</v>
      </c>
      <c r="O548" s="20">
        <v>1.0062</v>
      </c>
      <c r="P548" s="20">
        <v>1.0654999999999999</v>
      </c>
      <c r="Q548" s="20">
        <v>1.1231</v>
      </c>
      <c r="R548" s="20">
        <v>1.1791</v>
      </c>
      <c r="S548" s="20">
        <v>1.2337</v>
      </c>
      <c r="T548" s="20">
        <v>1.2867999999999999</v>
      </c>
      <c r="U548" s="20">
        <v>1.3386</v>
      </c>
      <c r="V548" s="20">
        <v>1.3892</v>
      </c>
      <c r="W548"/>
      <c r="X548"/>
      <c r="Y548"/>
      <c r="Z548"/>
    </row>
    <row r="549" spans="1:26" x14ac:dyDescent="0.2">
      <c r="A549" s="19">
        <v>0.54300000000000004</v>
      </c>
      <c r="B549" s="20">
        <v>0</v>
      </c>
      <c r="C549" s="20">
        <v>9.9099999999999994E-2</v>
      </c>
      <c r="D549" s="20">
        <v>0.19350000000000001</v>
      </c>
      <c r="E549" s="20">
        <v>0.28360000000000002</v>
      </c>
      <c r="F549" s="20">
        <v>0.36959999999999998</v>
      </c>
      <c r="G549" s="20">
        <v>0.45190000000000002</v>
      </c>
      <c r="H549" s="20">
        <v>0.53080000000000005</v>
      </c>
      <c r="I549" s="20">
        <v>0.60650000000000004</v>
      </c>
      <c r="J549" s="20">
        <v>0.67930000000000001</v>
      </c>
      <c r="K549" s="20">
        <v>0.74939999999999996</v>
      </c>
      <c r="L549" s="20">
        <v>0.81699999999999995</v>
      </c>
      <c r="M549" s="20">
        <v>0.88229999999999997</v>
      </c>
      <c r="N549" s="20">
        <v>0.94550000000000001</v>
      </c>
      <c r="O549" s="20">
        <v>1.0065999999999999</v>
      </c>
      <c r="P549" s="20">
        <v>1.0660000000000001</v>
      </c>
      <c r="Q549" s="20">
        <v>1.1235999999999999</v>
      </c>
      <c r="R549" s="20">
        <v>1.1796</v>
      </c>
      <c r="S549" s="20">
        <v>1.2342</v>
      </c>
      <c r="T549" s="20">
        <v>1.2873000000000001</v>
      </c>
      <c r="U549" s="20">
        <v>1.3391999999999999</v>
      </c>
      <c r="V549" s="20">
        <v>1.3897999999999999</v>
      </c>
      <c r="W549"/>
      <c r="X549"/>
      <c r="Y549"/>
      <c r="Z549"/>
    </row>
    <row r="550" spans="1:26" x14ac:dyDescent="0.2">
      <c r="A550" s="19">
        <v>0.54400000000000004</v>
      </c>
      <c r="B550" s="20">
        <v>0</v>
      </c>
      <c r="C550" s="20">
        <v>9.9199999999999997E-2</v>
      </c>
      <c r="D550" s="20">
        <v>0.19359999999999999</v>
      </c>
      <c r="E550" s="20">
        <v>0.28370000000000001</v>
      </c>
      <c r="F550" s="20">
        <v>0.36980000000000002</v>
      </c>
      <c r="G550" s="20">
        <v>0.45219999999999999</v>
      </c>
      <c r="H550" s="20">
        <v>0.53110000000000002</v>
      </c>
      <c r="I550" s="20">
        <v>0.60680000000000001</v>
      </c>
      <c r="J550" s="20">
        <v>0.67969999999999997</v>
      </c>
      <c r="K550" s="20">
        <v>0.74980000000000002</v>
      </c>
      <c r="L550" s="20">
        <v>0.81740000000000002</v>
      </c>
      <c r="M550" s="20">
        <v>0.88270000000000004</v>
      </c>
      <c r="N550" s="20">
        <v>0.94589999999999996</v>
      </c>
      <c r="O550" s="20">
        <v>1.0071000000000001</v>
      </c>
      <c r="P550" s="20">
        <v>1.0665</v>
      </c>
      <c r="Q550" s="20">
        <v>1.1241000000000001</v>
      </c>
      <c r="R550" s="20">
        <v>1.1801999999999999</v>
      </c>
      <c r="S550" s="20">
        <v>1.2346999999999999</v>
      </c>
      <c r="T550" s="20">
        <v>1.2879</v>
      </c>
      <c r="U550" s="20">
        <v>1.3396999999999999</v>
      </c>
      <c r="V550" s="20">
        <v>1.3903000000000001</v>
      </c>
      <c r="W550"/>
      <c r="X550"/>
      <c r="Y550"/>
      <c r="Z550"/>
    </row>
    <row r="551" spans="1:26" x14ac:dyDescent="0.2">
      <c r="A551" s="19">
        <v>0.54500000000000004</v>
      </c>
      <c r="B551" s="20">
        <v>0</v>
      </c>
      <c r="C551" s="20">
        <v>9.9199999999999997E-2</v>
      </c>
      <c r="D551" s="20">
        <v>0.19370000000000001</v>
      </c>
      <c r="E551" s="20">
        <v>0.28389999999999999</v>
      </c>
      <c r="F551" s="20">
        <v>0.37</v>
      </c>
      <c r="G551" s="20">
        <v>0.45240000000000002</v>
      </c>
      <c r="H551" s="20">
        <v>0.53139999999999998</v>
      </c>
      <c r="I551" s="20">
        <v>0.60719999999999996</v>
      </c>
      <c r="J551" s="20">
        <v>0.68</v>
      </c>
      <c r="K551" s="20">
        <v>0.75019999999999998</v>
      </c>
      <c r="L551" s="20">
        <v>0.81779999999999997</v>
      </c>
      <c r="M551" s="20">
        <v>0.88319999999999999</v>
      </c>
      <c r="N551" s="20">
        <v>0.94640000000000002</v>
      </c>
      <c r="O551" s="20">
        <v>1.0076000000000001</v>
      </c>
      <c r="P551" s="20">
        <v>1.0669</v>
      </c>
      <c r="Q551" s="20">
        <v>1.1246</v>
      </c>
      <c r="R551" s="20">
        <v>1.1807000000000001</v>
      </c>
      <c r="S551" s="20">
        <v>1.2352000000000001</v>
      </c>
      <c r="T551" s="20">
        <v>1.2884</v>
      </c>
      <c r="U551" s="20">
        <v>1.3402000000000001</v>
      </c>
      <c r="V551" s="20">
        <v>1.3908</v>
      </c>
      <c r="W551"/>
      <c r="X551"/>
      <c r="Y551"/>
      <c r="Z551"/>
    </row>
    <row r="552" spans="1:26" x14ac:dyDescent="0.2">
      <c r="A552" s="19">
        <v>0.54600000000000004</v>
      </c>
      <c r="B552" s="20">
        <v>0</v>
      </c>
      <c r="C552" s="20">
        <v>9.9299999999999999E-2</v>
      </c>
      <c r="D552" s="20">
        <v>0.1938</v>
      </c>
      <c r="E552" s="20">
        <v>0.28399999999999997</v>
      </c>
      <c r="F552" s="20">
        <v>0.37019999999999997</v>
      </c>
      <c r="G552" s="20">
        <v>0.4526</v>
      </c>
      <c r="H552" s="20">
        <v>0.53159999999999996</v>
      </c>
      <c r="I552" s="20">
        <v>0.60750000000000004</v>
      </c>
      <c r="J552" s="20">
        <v>0.6804</v>
      </c>
      <c r="K552" s="20">
        <v>0.75049999999999994</v>
      </c>
      <c r="L552" s="20">
        <v>0.81820000000000004</v>
      </c>
      <c r="M552" s="20">
        <v>0.88360000000000005</v>
      </c>
      <c r="N552" s="20">
        <v>0.94679999999999997</v>
      </c>
      <c r="O552" s="20">
        <v>1.008</v>
      </c>
      <c r="P552" s="20">
        <v>1.0673999999999999</v>
      </c>
      <c r="Q552" s="20">
        <v>1.1251</v>
      </c>
      <c r="R552" s="20">
        <v>1.1812</v>
      </c>
      <c r="S552" s="20">
        <v>1.2357</v>
      </c>
      <c r="T552" s="20">
        <v>1.2888999999999999</v>
      </c>
      <c r="U552" s="20">
        <v>1.3408</v>
      </c>
      <c r="V552" s="20">
        <v>1.3913</v>
      </c>
      <c r="W552"/>
      <c r="X552"/>
      <c r="Y552"/>
      <c r="Z552"/>
    </row>
    <row r="553" spans="1:26" x14ac:dyDescent="0.2">
      <c r="A553" s="19">
        <v>0.54700000000000004</v>
      </c>
      <c r="B553" s="20">
        <v>0</v>
      </c>
      <c r="C553" s="20">
        <v>9.9299999999999999E-2</v>
      </c>
      <c r="D553" s="20">
        <v>0.19389999999999999</v>
      </c>
      <c r="E553" s="20">
        <v>0.28420000000000001</v>
      </c>
      <c r="F553" s="20">
        <v>0.37040000000000001</v>
      </c>
      <c r="G553" s="20">
        <v>0.45290000000000002</v>
      </c>
      <c r="H553" s="20">
        <v>0.53190000000000004</v>
      </c>
      <c r="I553" s="20">
        <v>0.60780000000000001</v>
      </c>
      <c r="J553" s="20">
        <v>0.68069999999999997</v>
      </c>
      <c r="K553" s="20">
        <v>0.75090000000000001</v>
      </c>
      <c r="L553" s="20">
        <v>0.81859999999999999</v>
      </c>
      <c r="M553" s="20">
        <v>0.88400000000000001</v>
      </c>
      <c r="N553" s="20">
        <v>0.94730000000000003</v>
      </c>
      <c r="O553" s="20">
        <v>1.0085</v>
      </c>
      <c r="P553" s="20">
        <v>1.0679000000000001</v>
      </c>
      <c r="Q553" s="20">
        <v>1.1255999999999999</v>
      </c>
      <c r="R553" s="20">
        <v>1.1817</v>
      </c>
      <c r="S553" s="20">
        <v>1.2363</v>
      </c>
      <c r="T553" s="20">
        <v>1.2894000000000001</v>
      </c>
      <c r="U553" s="20">
        <v>1.3412999999999999</v>
      </c>
      <c r="V553" s="20">
        <v>1.3918999999999999</v>
      </c>
      <c r="W553"/>
      <c r="X553"/>
      <c r="Y553"/>
      <c r="Z553"/>
    </row>
    <row r="554" spans="1:26" x14ac:dyDescent="0.2">
      <c r="A554" s="19">
        <v>0.54800000000000004</v>
      </c>
      <c r="B554" s="20">
        <v>0</v>
      </c>
      <c r="C554" s="20">
        <v>9.9400000000000002E-2</v>
      </c>
      <c r="D554" s="20">
        <v>0.19400000000000001</v>
      </c>
      <c r="E554" s="20">
        <v>0.2843</v>
      </c>
      <c r="F554" s="20">
        <v>0.37059999999999998</v>
      </c>
      <c r="G554" s="20">
        <v>0.4531</v>
      </c>
      <c r="H554" s="20">
        <v>0.53220000000000001</v>
      </c>
      <c r="I554" s="20">
        <v>0.60809999999999997</v>
      </c>
      <c r="J554" s="20">
        <v>0.68110000000000004</v>
      </c>
      <c r="K554" s="20">
        <v>0.75129999999999997</v>
      </c>
      <c r="L554" s="20">
        <v>0.81899999999999995</v>
      </c>
      <c r="M554" s="20">
        <v>0.88439999999999996</v>
      </c>
      <c r="N554" s="20">
        <v>0.94769999999999999</v>
      </c>
      <c r="O554" s="20">
        <v>1.0089999999999999</v>
      </c>
      <c r="P554" s="20">
        <v>1.0684</v>
      </c>
      <c r="Q554" s="20">
        <v>1.1261000000000001</v>
      </c>
      <c r="R554" s="20">
        <v>1.1821999999999999</v>
      </c>
      <c r="S554" s="20">
        <v>1.2367999999999999</v>
      </c>
      <c r="T554" s="20">
        <v>1.2899</v>
      </c>
      <c r="U554" s="20">
        <v>1.3418000000000001</v>
      </c>
      <c r="V554" s="20">
        <v>1.3924000000000001</v>
      </c>
      <c r="W554"/>
      <c r="X554"/>
      <c r="Y554"/>
      <c r="Z554"/>
    </row>
    <row r="555" spans="1:26" x14ac:dyDescent="0.2">
      <c r="A555" s="19">
        <v>0.54900000000000004</v>
      </c>
      <c r="B555" s="20">
        <v>0</v>
      </c>
      <c r="C555" s="20">
        <v>9.9400000000000002E-2</v>
      </c>
      <c r="D555" s="20">
        <v>0.19409999999999999</v>
      </c>
      <c r="E555" s="20">
        <v>0.28449999999999998</v>
      </c>
      <c r="F555" s="20">
        <v>0.37080000000000002</v>
      </c>
      <c r="G555" s="20">
        <v>0.45329999999999998</v>
      </c>
      <c r="H555" s="20">
        <v>0.53249999999999997</v>
      </c>
      <c r="I555" s="20">
        <v>0.60840000000000005</v>
      </c>
      <c r="J555" s="20">
        <v>0.68140000000000001</v>
      </c>
      <c r="K555" s="20">
        <v>0.75170000000000003</v>
      </c>
      <c r="L555" s="20">
        <v>0.81940000000000002</v>
      </c>
      <c r="M555" s="20">
        <v>0.88490000000000002</v>
      </c>
      <c r="N555" s="20">
        <v>0.94820000000000004</v>
      </c>
      <c r="O555" s="20">
        <v>1.0094000000000001</v>
      </c>
      <c r="P555" s="20">
        <v>1.0689</v>
      </c>
      <c r="Q555" s="20">
        <v>1.1266</v>
      </c>
      <c r="R555" s="20">
        <v>1.1827000000000001</v>
      </c>
      <c r="S555" s="20">
        <v>1.2373000000000001</v>
      </c>
      <c r="T555" s="20">
        <v>1.2905</v>
      </c>
      <c r="U555" s="20">
        <v>1.3423</v>
      </c>
      <c r="V555" s="20">
        <v>1.3929</v>
      </c>
      <c r="W555"/>
      <c r="X555"/>
      <c r="Y555"/>
      <c r="Z555"/>
    </row>
    <row r="556" spans="1:26" x14ac:dyDescent="0.2">
      <c r="A556" s="19">
        <v>0.55000000000000004</v>
      </c>
      <c r="B556" s="20">
        <v>0</v>
      </c>
      <c r="C556" s="20">
        <v>9.9500000000000005E-2</v>
      </c>
      <c r="D556" s="20">
        <v>0.19420000000000001</v>
      </c>
      <c r="E556" s="20">
        <v>0.28460000000000002</v>
      </c>
      <c r="F556" s="20">
        <v>0.371</v>
      </c>
      <c r="G556" s="20">
        <v>0.4536</v>
      </c>
      <c r="H556" s="20">
        <v>0.53269999999999995</v>
      </c>
      <c r="I556" s="20">
        <v>0.60870000000000002</v>
      </c>
      <c r="J556" s="20">
        <v>0.68169999999999997</v>
      </c>
      <c r="K556" s="20">
        <v>0.752</v>
      </c>
      <c r="L556" s="20">
        <v>0.81979999999999997</v>
      </c>
      <c r="M556" s="20">
        <v>0.88529999999999998</v>
      </c>
      <c r="N556" s="20">
        <v>0.9486</v>
      </c>
      <c r="O556" s="20">
        <v>1.0099</v>
      </c>
      <c r="P556" s="20">
        <v>1.0693999999999999</v>
      </c>
      <c r="Q556" s="20">
        <v>1.1271</v>
      </c>
      <c r="R556" s="20">
        <v>1.1832</v>
      </c>
      <c r="S556" s="20">
        <v>1.2378</v>
      </c>
      <c r="T556" s="20">
        <v>1.2909999999999999</v>
      </c>
      <c r="U556" s="20">
        <v>1.3428</v>
      </c>
      <c r="V556" s="20">
        <v>1.3934</v>
      </c>
      <c r="W556"/>
      <c r="X556"/>
      <c r="Y556"/>
      <c r="Z556"/>
    </row>
    <row r="557" spans="1:26" x14ac:dyDescent="0.2">
      <c r="A557" s="19">
        <v>0.55100000000000005</v>
      </c>
      <c r="B557" s="20">
        <v>0</v>
      </c>
      <c r="C557" s="20">
        <v>9.9500000000000005E-2</v>
      </c>
      <c r="D557" s="20">
        <v>0.1943</v>
      </c>
      <c r="E557" s="20">
        <v>0.2848</v>
      </c>
      <c r="F557" s="20">
        <v>0.37119999999999997</v>
      </c>
      <c r="G557" s="20">
        <v>0.45379999999999998</v>
      </c>
      <c r="H557" s="20">
        <v>0.53300000000000003</v>
      </c>
      <c r="I557" s="20">
        <v>0.60899999999999999</v>
      </c>
      <c r="J557" s="20">
        <v>0.68210000000000004</v>
      </c>
      <c r="K557" s="20">
        <v>0.75239999999999996</v>
      </c>
      <c r="L557" s="20">
        <v>0.82020000000000004</v>
      </c>
      <c r="M557" s="20">
        <v>0.88570000000000004</v>
      </c>
      <c r="N557" s="20">
        <v>0.94910000000000005</v>
      </c>
      <c r="O557" s="20">
        <v>1.0104</v>
      </c>
      <c r="P557" s="20">
        <v>1.0698000000000001</v>
      </c>
      <c r="Q557" s="20">
        <v>1.1275999999999999</v>
      </c>
      <c r="R557" s="20">
        <v>1.1837</v>
      </c>
      <c r="S557" s="20">
        <v>1.2383</v>
      </c>
      <c r="T557" s="20">
        <v>1.2915000000000001</v>
      </c>
      <c r="U557" s="20">
        <v>1.3433999999999999</v>
      </c>
      <c r="V557" s="20">
        <v>1.3939999999999999</v>
      </c>
      <c r="W557"/>
      <c r="X557"/>
      <c r="Y557"/>
      <c r="Z557"/>
    </row>
    <row r="558" spans="1:26" x14ac:dyDescent="0.2">
      <c r="A558" s="19">
        <v>0.55200000000000005</v>
      </c>
      <c r="B558" s="20">
        <v>0</v>
      </c>
      <c r="C558" s="20">
        <v>9.9599999999999994E-2</v>
      </c>
      <c r="D558" s="20">
        <v>0.19439999999999999</v>
      </c>
      <c r="E558" s="20">
        <v>0.28489999999999999</v>
      </c>
      <c r="F558" s="20">
        <v>0.37140000000000001</v>
      </c>
      <c r="G558" s="20">
        <v>0.4541</v>
      </c>
      <c r="H558" s="20">
        <v>0.5333</v>
      </c>
      <c r="I558" s="20">
        <v>0.60929999999999995</v>
      </c>
      <c r="J558" s="20">
        <v>0.68240000000000001</v>
      </c>
      <c r="K558" s="20">
        <v>0.75280000000000002</v>
      </c>
      <c r="L558" s="20">
        <v>0.8206</v>
      </c>
      <c r="M558" s="20">
        <v>0.8861</v>
      </c>
      <c r="N558" s="20">
        <v>0.94950000000000001</v>
      </c>
      <c r="O558" s="20">
        <v>1.0107999999999999</v>
      </c>
      <c r="P558" s="20">
        <v>1.0703</v>
      </c>
      <c r="Q558" s="20">
        <v>1.1281000000000001</v>
      </c>
      <c r="R558" s="20">
        <v>1.1841999999999999</v>
      </c>
      <c r="S558" s="20">
        <v>1.2387999999999999</v>
      </c>
      <c r="T558" s="20">
        <v>1.292</v>
      </c>
      <c r="U558" s="20">
        <v>1.3439000000000001</v>
      </c>
      <c r="V558" s="20">
        <v>1.3945000000000001</v>
      </c>
      <c r="W558"/>
      <c r="X558"/>
      <c r="Y558"/>
      <c r="Z558"/>
    </row>
    <row r="559" spans="1:26" x14ac:dyDescent="0.2">
      <c r="A559" s="19">
        <v>0.55300000000000005</v>
      </c>
      <c r="B559" s="20">
        <v>0</v>
      </c>
      <c r="C559" s="20">
        <v>9.9599999999999994E-2</v>
      </c>
      <c r="D559" s="20">
        <v>0.19450000000000001</v>
      </c>
      <c r="E559" s="20">
        <v>0.28510000000000002</v>
      </c>
      <c r="F559" s="20">
        <v>0.37159999999999999</v>
      </c>
      <c r="G559" s="20">
        <v>0.45429999999999998</v>
      </c>
      <c r="H559" s="20">
        <v>0.53359999999999996</v>
      </c>
      <c r="I559" s="20">
        <v>0.60970000000000002</v>
      </c>
      <c r="J559" s="20">
        <v>0.68279999999999996</v>
      </c>
      <c r="K559" s="20">
        <v>0.75319999999999998</v>
      </c>
      <c r="L559" s="20">
        <v>0.82099999999999995</v>
      </c>
      <c r="M559" s="20">
        <v>0.88660000000000005</v>
      </c>
      <c r="N559" s="20">
        <v>0.94989999999999997</v>
      </c>
      <c r="O559" s="20">
        <v>1.0113000000000001</v>
      </c>
      <c r="P559" s="20">
        <v>1.0708</v>
      </c>
      <c r="Q559" s="20">
        <v>1.1286</v>
      </c>
      <c r="R559" s="20">
        <v>1.1847000000000001</v>
      </c>
      <c r="S559" s="20">
        <v>1.2393000000000001</v>
      </c>
      <c r="T559" s="20">
        <v>1.2925</v>
      </c>
      <c r="U559" s="20">
        <v>1.3444</v>
      </c>
      <c r="V559" s="20">
        <v>1.395</v>
      </c>
      <c r="W559"/>
      <c r="X559"/>
      <c r="Y559"/>
      <c r="Z559"/>
    </row>
    <row r="560" spans="1:26" x14ac:dyDescent="0.2">
      <c r="A560" s="19">
        <v>0.55400000000000005</v>
      </c>
      <c r="B560" s="20">
        <v>0</v>
      </c>
      <c r="C560" s="20">
        <v>9.9699999999999997E-2</v>
      </c>
      <c r="D560" s="20">
        <v>0.19470000000000001</v>
      </c>
      <c r="E560" s="20">
        <v>0.28520000000000001</v>
      </c>
      <c r="F560" s="20">
        <v>0.37180000000000002</v>
      </c>
      <c r="G560" s="20">
        <v>0.45450000000000002</v>
      </c>
      <c r="H560" s="20">
        <v>0.53380000000000005</v>
      </c>
      <c r="I560" s="20">
        <v>0.61</v>
      </c>
      <c r="J560" s="20">
        <v>0.68310000000000004</v>
      </c>
      <c r="K560" s="20">
        <v>0.75349999999999995</v>
      </c>
      <c r="L560" s="20">
        <v>0.82140000000000002</v>
      </c>
      <c r="M560" s="20">
        <v>0.88700000000000001</v>
      </c>
      <c r="N560" s="20">
        <v>0.95040000000000002</v>
      </c>
      <c r="O560" s="20">
        <v>1.0118</v>
      </c>
      <c r="P560" s="20">
        <v>1.0712999999999999</v>
      </c>
      <c r="Q560" s="20">
        <v>1.1291</v>
      </c>
      <c r="R560" s="20">
        <v>1.1852</v>
      </c>
      <c r="S560" s="20">
        <v>1.2398</v>
      </c>
      <c r="T560" s="20">
        <v>1.2929999999999999</v>
      </c>
      <c r="U560" s="20">
        <v>1.3449</v>
      </c>
      <c r="V560" s="20">
        <v>1.3955</v>
      </c>
      <c r="W560"/>
      <c r="X560"/>
      <c r="Y560"/>
      <c r="Z560"/>
    </row>
    <row r="561" spans="1:26" x14ac:dyDescent="0.2">
      <c r="A561" s="19">
        <v>0.55500000000000005</v>
      </c>
      <c r="B561" s="20">
        <v>0</v>
      </c>
      <c r="C561" s="20">
        <v>9.9699999999999997E-2</v>
      </c>
      <c r="D561" s="20">
        <v>0.1948</v>
      </c>
      <c r="E561" s="20">
        <v>0.28539999999999999</v>
      </c>
      <c r="F561" s="20">
        <v>0.37190000000000001</v>
      </c>
      <c r="G561" s="20">
        <v>0.45479999999999998</v>
      </c>
      <c r="H561" s="20">
        <v>0.53410000000000002</v>
      </c>
      <c r="I561" s="20">
        <v>0.61029999999999995</v>
      </c>
      <c r="J561" s="20">
        <v>0.6835</v>
      </c>
      <c r="K561" s="20">
        <v>0.75390000000000001</v>
      </c>
      <c r="L561" s="20">
        <v>0.82179999999999997</v>
      </c>
      <c r="M561" s="20">
        <v>0.88739999999999997</v>
      </c>
      <c r="N561" s="20">
        <v>0.95079999999999998</v>
      </c>
      <c r="O561" s="20">
        <v>1.0122</v>
      </c>
      <c r="P561" s="20">
        <v>1.0718000000000001</v>
      </c>
      <c r="Q561" s="20">
        <v>1.1294999999999999</v>
      </c>
      <c r="R561" s="20">
        <v>1.1857</v>
      </c>
      <c r="S561" s="20">
        <v>1.2403</v>
      </c>
      <c r="T561" s="20">
        <v>1.2936000000000001</v>
      </c>
      <c r="U561" s="20">
        <v>1.3453999999999999</v>
      </c>
      <c r="V561" s="20">
        <v>1.3959999999999999</v>
      </c>
      <c r="W561"/>
      <c r="X561"/>
      <c r="Y561"/>
      <c r="Z561"/>
    </row>
    <row r="562" spans="1:26" x14ac:dyDescent="0.2">
      <c r="A562" s="19">
        <v>0.55600000000000005</v>
      </c>
      <c r="B562" s="20">
        <v>0</v>
      </c>
      <c r="C562" s="20">
        <v>9.98E-2</v>
      </c>
      <c r="D562" s="20">
        <v>0.19489999999999999</v>
      </c>
      <c r="E562" s="20">
        <v>0.28549999999999998</v>
      </c>
      <c r="F562" s="20">
        <v>0.37209999999999999</v>
      </c>
      <c r="G562" s="20">
        <v>0.45500000000000002</v>
      </c>
      <c r="H562" s="20">
        <v>0.53439999999999999</v>
      </c>
      <c r="I562" s="20">
        <v>0.61060000000000003</v>
      </c>
      <c r="J562" s="20">
        <v>0.68379999999999996</v>
      </c>
      <c r="K562" s="20">
        <v>0.75429999999999997</v>
      </c>
      <c r="L562" s="20">
        <v>0.82220000000000004</v>
      </c>
      <c r="M562" s="20">
        <v>0.88780000000000003</v>
      </c>
      <c r="N562" s="20">
        <v>0.95130000000000003</v>
      </c>
      <c r="O562" s="20">
        <v>1.0126999999999999</v>
      </c>
      <c r="P562" s="20">
        <v>1.0722</v>
      </c>
      <c r="Q562" s="20">
        <v>1.1299999999999999</v>
      </c>
      <c r="R562" s="20">
        <v>1.1861999999999999</v>
      </c>
      <c r="S562" s="20">
        <v>1.2408999999999999</v>
      </c>
      <c r="T562" s="20">
        <v>1.2941</v>
      </c>
      <c r="U562" s="20">
        <v>1.3460000000000001</v>
      </c>
      <c r="V562" s="20">
        <v>1.3966000000000001</v>
      </c>
      <c r="W562"/>
      <c r="X562"/>
      <c r="Y562"/>
      <c r="Z562"/>
    </row>
    <row r="563" spans="1:26" x14ac:dyDescent="0.2">
      <c r="A563" s="19">
        <v>0.55700000000000005</v>
      </c>
      <c r="B563" s="20">
        <v>0</v>
      </c>
      <c r="C563" s="20">
        <v>9.9900000000000003E-2</v>
      </c>
      <c r="D563" s="20">
        <v>0.19500000000000001</v>
      </c>
      <c r="E563" s="20">
        <v>0.28570000000000001</v>
      </c>
      <c r="F563" s="20">
        <v>0.37230000000000002</v>
      </c>
      <c r="G563" s="20">
        <v>0.45519999999999999</v>
      </c>
      <c r="H563" s="20">
        <v>0.53469999999999995</v>
      </c>
      <c r="I563" s="20">
        <v>0.6109</v>
      </c>
      <c r="J563" s="20">
        <v>0.68410000000000004</v>
      </c>
      <c r="K563" s="20">
        <v>0.75470000000000004</v>
      </c>
      <c r="L563" s="20">
        <v>0.8226</v>
      </c>
      <c r="M563" s="20">
        <v>0.88829999999999998</v>
      </c>
      <c r="N563" s="20">
        <v>0.95169999999999999</v>
      </c>
      <c r="O563" s="20">
        <v>1.0130999999999999</v>
      </c>
      <c r="P563" s="20">
        <v>1.0727</v>
      </c>
      <c r="Q563" s="20">
        <v>1.1305000000000001</v>
      </c>
      <c r="R563" s="20">
        <v>1.1867000000000001</v>
      </c>
      <c r="S563" s="20">
        <v>1.2414000000000001</v>
      </c>
      <c r="T563" s="20">
        <v>1.2946</v>
      </c>
      <c r="U563" s="20">
        <v>1.3465</v>
      </c>
      <c r="V563" s="20">
        <v>1.3971</v>
      </c>
      <c r="W563"/>
      <c r="X563"/>
      <c r="Y563"/>
      <c r="Z563"/>
    </row>
    <row r="564" spans="1:26" x14ac:dyDescent="0.2">
      <c r="A564" s="19">
        <v>0.55800000000000005</v>
      </c>
      <c r="B564" s="20">
        <v>0</v>
      </c>
      <c r="C564" s="20">
        <v>9.9900000000000003E-2</v>
      </c>
      <c r="D564" s="20">
        <v>0.1951</v>
      </c>
      <c r="E564" s="20">
        <v>0.2858</v>
      </c>
      <c r="F564" s="20">
        <v>0.3725</v>
      </c>
      <c r="G564" s="20">
        <v>0.45550000000000002</v>
      </c>
      <c r="H564" s="20">
        <v>0.53490000000000004</v>
      </c>
      <c r="I564" s="20">
        <v>0.61119999999999997</v>
      </c>
      <c r="J564" s="20">
        <v>0.6845</v>
      </c>
      <c r="K564" s="20">
        <v>0.755</v>
      </c>
      <c r="L564" s="20">
        <v>0.82299999999999995</v>
      </c>
      <c r="M564" s="20">
        <v>0.88870000000000005</v>
      </c>
      <c r="N564" s="20">
        <v>0.95220000000000005</v>
      </c>
      <c r="O564" s="20">
        <v>1.0136000000000001</v>
      </c>
      <c r="P564" s="20">
        <v>1.0731999999999999</v>
      </c>
      <c r="Q564" s="20">
        <v>1.131</v>
      </c>
      <c r="R564" s="20">
        <v>1.1872</v>
      </c>
      <c r="S564" s="20">
        <v>1.2419</v>
      </c>
      <c r="T564" s="20">
        <v>1.2950999999999999</v>
      </c>
      <c r="U564" s="20">
        <v>1.347</v>
      </c>
      <c r="V564" s="20">
        <v>1.3976</v>
      </c>
      <c r="W564"/>
      <c r="X564"/>
      <c r="Y564"/>
      <c r="Z564"/>
    </row>
    <row r="565" spans="1:26" x14ac:dyDescent="0.2">
      <c r="A565" s="19">
        <v>0.55900000000000005</v>
      </c>
      <c r="B565" s="20">
        <v>0</v>
      </c>
      <c r="C565" s="20">
        <v>0.1</v>
      </c>
      <c r="D565" s="20">
        <v>0.19520000000000001</v>
      </c>
      <c r="E565" s="20">
        <v>0.28599999999999998</v>
      </c>
      <c r="F565" s="20">
        <v>0.37269999999999998</v>
      </c>
      <c r="G565" s="20">
        <v>0.45569999999999999</v>
      </c>
      <c r="H565" s="20">
        <v>0.53520000000000001</v>
      </c>
      <c r="I565" s="20">
        <v>0.61150000000000004</v>
      </c>
      <c r="J565" s="20">
        <v>0.68479999999999996</v>
      </c>
      <c r="K565" s="20">
        <v>0.75539999999999996</v>
      </c>
      <c r="L565" s="20">
        <v>0.82340000000000002</v>
      </c>
      <c r="M565" s="20">
        <v>0.8891</v>
      </c>
      <c r="N565" s="20">
        <v>0.9526</v>
      </c>
      <c r="O565" s="20">
        <v>1.0141</v>
      </c>
      <c r="P565" s="20">
        <v>1.0737000000000001</v>
      </c>
      <c r="Q565" s="20">
        <v>1.1315</v>
      </c>
      <c r="R565" s="20">
        <v>1.1877</v>
      </c>
      <c r="S565" s="20">
        <v>1.2423999999999999</v>
      </c>
      <c r="T565" s="20">
        <v>1.2956000000000001</v>
      </c>
      <c r="U565" s="20">
        <v>1.3474999999999999</v>
      </c>
      <c r="V565" s="20">
        <v>1.3980999999999999</v>
      </c>
      <c r="W565"/>
      <c r="X565"/>
      <c r="Y565"/>
      <c r="Z565"/>
    </row>
    <row r="566" spans="1:26" x14ac:dyDescent="0.2">
      <c r="A566" s="19">
        <v>0.56000000000000005</v>
      </c>
      <c r="B566" s="20">
        <v>0</v>
      </c>
      <c r="C566" s="20">
        <v>0.1</v>
      </c>
      <c r="D566" s="20">
        <v>0.1953</v>
      </c>
      <c r="E566" s="20">
        <v>0.28610000000000002</v>
      </c>
      <c r="F566" s="20">
        <v>0.37290000000000001</v>
      </c>
      <c r="G566" s="20">
        <v>0.45590000000000003</v>
      </c>
      <c r="H566" s="20">
        <v>0.53549999999999998</v>
      </c>
      <c r="I566" s="20">
        <v>0.61180000000000001</v>
      </c>
      <c r="J566" s="20">
        <v>0.68520000000000003</v>
      </c>
      <c r="K566" s="20">
        <v>0.75580000000000003</v>
      </c>
      <c r="L566" s="20">
        <v>0.82379999999999998</v>
      </c>
      <c r="M566" s="20">
        <v>0.88949999999999996</v>
      </c>
      <c r="N566" s="20">
        <v>0.95299999999999996</v>
      </c>
      <c r="O566" s="20">
        <v>1.0145</v>
      </c>
      <c r="P566" s="20">
        <v>1.0741000000000001</v>
      </c>
      <c r="Q566" s="20">
        <v>1.1319999999999999</v>
      </c>
      <c r="R566" s="20">
        <v>1.1881999999999999</v>
      </c>
      <c r="S566" s="20">
        <v>1.2428999999999999</v>
      </c>
      <c r="T566" s="20">
        <v>1.2961</v>
      </c>
      <c r="U566" s="20">
        <v>1.3480000000000001</v>
      </c>
      <c r="V566" s="20">
        <v>1.3986000000000001</v>
      </c>
      <c r="W566"/>
      <c r="X566"/>
      <c r="Y566"/>
      <c r="Z566"/>
    </row>
    <row r="567" spans="1:26" x14ac:dyDescent="0.2">
      <c r="A567" s="19">
        <v>0.56100000000000005</v>
      </c>
      <c r="B567" s="20">
        <v>0</v>
      </c>
      <c r="C567" s="20">
        <v>0.10009999999999999</v>
      </c>
      <c r="D567" s="20">
        <v>0.19539999999999999</v>
      </c>
      <c r="E567" s="20">
        <v>0.2863</v>
      </c>
      <c r="F567" s="20">
        <v>0.37309999999999999</v>
      </c>
      <c r="G567" s="20">
        <v>0.45619999999999999</v>
      </c>
      <c r="H567" s="20">
        <v>0.53580000000000005</v>
      </c>
      <c r="I567" s="20">
        <v>0.61209999999999998</v>
      </c>
      <c r="J567" s="20">
        <v>0.6855</v>
      </c>
      <c r="K567" s="20">
        <v>0.75609999999999999</v>
      </c>
      <c r="L567" s="20">
        <v>0.82420000000000004</v>
      </c>
      <c r="M567" s="20">
        <v>0.88990000000000002</v>
      </c>
      <c r="N567" s="20">
        <v>0.95350000000000001</v>
      </c>
      <c r="O567" s="20">
        <v>1.0149999999999999</v>
      </c>
      <c r="P567" s="20">
        <v>1.0746</v>
      </c>
      <c r="Q567" s="20">
        <v>1.1325000000000001</v>
      </c>
      <c r="R567" s="20">
        <v>1.1887000000000001</v>
      </c>
      <c r="S567" s="20">
        <v>1.2434000000000001</v>
      </c>
      <c r="T567" s="20">
        <v>1.2966</v>
      </c>
      <c r="U567" s="20">
        <v>1.3485</v>
      </c>
      <c r="V567" s="20">
        <v>1.3991</v>
      </c>
      <c r="W567"/>
      <c r="X567"/>
      <c r="Y567"/>
      <c r="Z567"/>
    </row>
    <row r="568" spans="1:26" x14ac:dyDescent="0.2">
      <c r="A568" s="19">
        <v>0.56200000000000006</v>
      </c>
      <c r="B568" s="20">
        <v>0</v>
      </c>
      <c r="C568" s="20">
        <v>0.10009999999999999</v>
      </c>
      <c r="D568" s="20">
        <v>0.19550000000000001</v>
      </c>
      <c r="E568" s="20">
        <v>0.28639999999999999</v>
      </c>
      <c r="F568" s="20">
        <v>0.37330000000000002</v>
      </c>
      <c r="G568" s="20">
        <v>0.45639999999999997</v>
      </c>
      <c r="H568" s="20">
        <v>0.53600000000000003</v>
      </c>
      <c r="I568" s="20">
        <v>0.61240000000000006</v>
      </c>
      <c r="J568" s="20">
        <v>0.68579999999999997</v>
      </c>
      <c r="K568" s="20">
        <v>0.75649999999999995</v>
      </c>
      <c r="L568" s="20">
        <v>0.8246</v>
      </c>
      <c r="M568" s="20">
        <v>0.89039999999999997</v>
      </c>
      <c r="N568" s="20">
        <v>0.95389999999999997</v>
      </c>
      <c r="O568" s="20">
        <v>1.0154000000000001</v>
      </c>
      <c r="P568" s="20">
        <v>1.0750999999999999</v>
      </c>
      <c r="Q568" s="20">
        <v>1.133</v>
      </c>
      <c r="R568" s="20">
        <v>1.1892</v>
      </c>
      <c r="S568" s="20">
        <v>1.2439</v>
      </c>
      <c r="T568" s="20">
        <v>1.2970999999999999</v>
      </c>
      <c r="U568" s="20">
        <v>1.349</v>
      </c>
      <c r="V568" s="20">
        <v>1.3996</v>
      </c>
      <c r="W568"/>
      <c r="X568"/>
      <c r="Y568"/>
      <c r="Z568"/>
    </row>
    <row r="569" spans="1:26" x14ac:dyDescent="0.2">
      <c r="A569" s="19">
        <v>0.56299999999999994</v>
      </c>
      <c r="B569" s="20">
        <v>0</v>
      </c>
      <c r="C569" s="20">
        <v>0.1002</v>
      </c>
      <c r="D569" s="20">
        <v>0.1956</v>
      </c>
      <c r="E569" s="20">
        <v>0.28660000000000002</v>
      </c>
      <c r="F569" s="20">
        <v>0.3735</v>
      </c>
      <c r="G569" s="20">
        <v>0.45660000000000001</v>
      </c>
      <c r="H569" s="20">
        <v>0.5363</v>
      </c>
      <c r="I569" s="20">
        <v>0.61270000000000002</v>
      </c>
      <c r="J569" s="20">
        <v>0.68620000000000003</v>
      </c>
      <c r="K569" s="20">
        <v>0.75690000000000002</v>
      </c>
      <c r="L569" s="20">
        <v>0.82499999999999996</v>
      </c>
      <c r="M569" s="20">
        <v>0.89080000000000004</v>
      </c>
      <c r="N569" s="20">
        <v>0.95440000000000003</v>
      </c>
      <c r="O569" s="20">
        <v>1.0159</v>
      </c>
      <c r="P569" s="20">
        <v>1.0754999999999999</v>
      </c>
      <c r="Q569" s="20">
        <v>1.1334</v>
      </c>
      <c r="R569" s="20">
        <v>1.1897</v>
      </c>
      <c r="S569" s="20">
        <v>1.2444</v>
      </c>
      <c r="T569" s="20">
        <v>1.2976000000000001</v>
      </c>
      <c r="U569" s="20">
        <v>1.3494999999999999</v>
      </c>
      <c r="V569" s="20">
        <v>1.4001999999999999</v>
      </c>
      <c r="W569"/>
      <c r="X569"/>
      <c r="Y569"/>
      <c r="Z569"/>
    </row>
    <row r="570" spans="1:26" x14ac:dyDescent="0.2">
      <c r="A570" s="19">
        <v>0.56399999999999995</v>
      </c>
      <c r="B570" s="20">
        <v>0</v>
      </c>
      <c r="C570" s="20">
        <v>0.1002</v>
      </c>
      <c r="D570" s="20">
        <v>0.19570000000000001</v>
      </c>
      <c r="E570" s="20">
        <v>0.28670000000000001</v>
      </c>
      <c r="F570" s="20">
        <v>0.37369999999999998</v>
      </c>
      <c r="G570" s="20">
        <v>0.45689999999999997</v>
      </c>
      <c r="H570" s="20">
        <v>0.53659999999999997</v>
      </c>
      <c r="I570" s="20">
        <v>0.61299999999999999</v>
      </c>
      <c r="J570" s="20">
        <v>0.6865</v>
      </c>
      <c r="K570" s="20">
        <v>0.75719999999999998</v>
      </c>
      <c r="L570" s="20">
        <v>0.82540000000000002</v>
      </c>
      <c r="M570" s="20">
        <v>0.89119999999999999</v>
      </c>
      <c r="N570" s="20">
        <v>0.95479999999999998</v>
      </c>
      <c r="O570" s="20">
        <v>1.0163</v>
      </c>
      <c r="P570" s="20">
        <v>1.0760000000000001</v>
      </c>
      <c r="Q570" s="20">
        <v>1.1338999999999999</v>
      </c>
      <c r="R570" s="20">
        <v>1.1901999999999999</v>
      </c>
      <c r="S570" s="20">
        <v>1.2448999999999999</v>
      </c>
      <c r="T570" s="20">
        <v>1.2982</v>
      </c>
      <c r="U570" s="20">
        <v>1.3501000000000001</v>
      </c>
      <c r="V570" s="20">
        <v>1.4007000000000001</v>
      </c>
      <c r="W570"/>
      <c r="X570"/>
      <c r="Y570"/>
      <c r="Z570"/>
    </row>
    <row r="571" spans="1:26" x14ac:dyDescent="0.2">
      <c r="A571" s="19">
        <v>0.56499999999999995</v>
      </c>
      <c r="B571" s="20">
        <v>0</v>
      </c>
      <c r="C571" s="20">
        <v>0.1003</v>
      </c>
      <c r="D571" s="20">
        <v>0.1958</v>
      </c>
      <c r="E571" s="20">
        <v>0.28689999999999999</v>
      </c>
      <c r="F571" s="20">
        <v>0.37390000000000001</v>
      </c>
      <c r="G571" s="20">
        <v>0.45710000000000001</v>
      </c>
      <c r="H571" s="20">
        <v>0.53680000000000005</v>
      </c>
      <c r="I571" s="20">
        <v>0.61329999999999996</v>
      </c>
      <c r="J571" s="20">
        <v>0.68689999999999996</v>
      </c>
      <c r="K571" s="20">
        <v>0.75760000000000005</v>
      </c>
      <c r="L571" s="20">
        <v>0.82579999999999998</v>
      </c>
      <c r="M571" s="20">
        <v>0.89159999999999995</v>
      </c>
      <c r="N571" s="20">
        <v>0.95520000000000005</v>
      </c>
      <c r="O571" s="20">
        <v>1.0167999999999999</v>
      </c>
      <c r="P571" s="20">
        <v>1.0765</v>
      </c>
      <c r="Q571" s="20">
        <v>1.1344000000000001</v>
      </c>
      <c r="R571" s="20">
        <v>1.1907000000000001</v>
      </c>
      <c r="S571" s="20">
        <v>1.2454000000000001</v>
      </c>
      <c r="T571" s="20">
        <v>1.2987</v>
      </c>
      <c r="U571" s="20">
        <v>1.3506</v>
      </c>
      <c r="V571" s="20">
        <v>1.4012</v>
      </c>
      <c r="W571"/>
      <c r="X571"/>
      <c r="Y571"/>
      <c r="Z571"/>
    </row>
    <row r="572" spans="1:26" x14ac:dyDescent="0.2">
      <c r="A572" s="19">
        <v>0.56599999999999995</v>
      </c>
      <c r="B572" s="20">
        <v>0</v>
      </c>
      <c r="C572" s="20">
        <v>0.1003</v>
      </c>
      <c r="D572" s="20">
        <v>0.19589999999999999</v>
      </c>
      <c r="E572" s="20">
        <v>0.28699999999999998</v>
      </c>
      <c r="F572" s="20">
        <v>0.37409999999999999</v>
      </c>
      <c r="G572" s="20">
        <v>0.45729999999999998</v>
      </c>
      <c r="H572" s="20">
        <v>0.53710000000000002</v>
      </c>
      <c r="I572" s="20">
        <v>0.61360000000000003</v>
      </c>
      <c r="J572" s="20">
        <v>0.68720000000000003</v>
      </c>
      <c r="K572" s="20">
        <v>0.75800000000000001</v>
      </c>
      <c r="L572" s="20">
        <v>0.82620000000000005</v>
      </c>
      <c r="M572" s="20">
        <v>0.89200000000000002</v>
      </c>
      <c r="N572" s="20">
        <v>0.95569999999999999</v>
      </c>
      <c r="O572" s="20">
        <v>1.0173000000000001</v>
      </c>
      <c r="P572" s="20">
        <v>1.077</v>
      </c>
      <c r="Q572" s="20">
        <v>1.1349</v>
      </c>
      <c r="R572" s="20">
        <v>1.1912</v>
      </c>
      <c r="S572" s="20">
        <v>1.2459</v>
      </c>
      <c r="T572" s="20">
        <v>1.2991999999999999</v>
      </c>
      <c r="U572" s="20">
        <v>1.3511</v>
      </c>
      <c r="V572" s="20">
        <v>1.4016999999999999</v>
      </c>
      <c r="W572"/>
      <c r="X572"/>
      <c r="Y572"/>
      <c r="Z572"/>
    </row>
    <row r="573" spans="1:26" x14ac:dyDescent="0.2">
      <c r="A573" s="19">
        <v>0.56699999999999995</v>
      </c>
      <c r="B573" s="20">
        <v>0</v>
      </c>
      <c r="C573" s="20">
        <v>0.1004</v>
      </c>
      <c r="D573" s="20">
        <v>0.19600000000000001</v>
      </c>
      <c r="E573" s="20">
        <v>0.28720000000000001</v>
      </c>
      <c r="F573" s="20">
        <v>0.37430000000000002</v>
      </c>
      <c r="G573" s="20">
        <v>0.45760000000000001</v>
      </c>
      <c r="H573" s="20">
        <v>0.53739999999999999</v>
      </c>
      <c r="I573" s="20">
        <v>0.6139</v>
      </c>
      <c r="J573" s="20">
        <v>0.6875</v>
      </c>
      <c r="K573" s="20">
        <v>0.75829999999999997</v>
      </c>
      <c r="L573" s="20">
        <v>0.8266</v>
      </c>
      <c r="M573" s="20">
        <v>0.89239999999999997</v>
      </c>
      <c r="N573" s="20">
        <v>0.95609999999999995</v>
      </c>
      <c r="O573" s="20">
        <v>1.0177</v>
      </c>
      <c r="P573" s="20">
        <v>1.0773999999999999</v>
      </c>
      <c r="Q573" s="20">
        <v>1.1354</v>
      </c>
      <c r="R573" s="20">
        <v>1.1916</v>
      </c>
      <c r="S573" s="20">
        <v>1.2464</v>
      </c>
      <c r="T573" s="20">
        <v>1.2997000000000001</v>
      </c>
      <c r="U573" s="20">
        <v>1.3515999999999999</v>
      </c>
      <c r="V573" s="20">
        <v>1.4021999999999999</v>
      </c>
      <c r="W573"/>
      <c r="X573"/>
      <c r="Y573"/>
      <c r="Z573"/>
    </row>
    <row r="574" spans="1:26" x14ac:dyDescent="0.2">
      <c r="A574" s="19">
        <v>0.56799999999999995</v>
      </c>
      <c r="B574" s="20">
        <v>0</v>
      </c>
      <c r="C574" s="20">
        <v>0.1004</v>
      </c>
      <c r="D574" s="20">
        <v>0.1961</v>
      </c>
      <c r="E574" s="20">
        <v>0.2873</v>
      </c>
      <c r="F574" s="20">
        <v>0.37440000000000001</v>
      </c>
      <c r="G574" s="20">
        <v>0.45779999999999998</v>
      </c>
      <c r="H574" s="20">
        <v>0.53759999999999997</v>
      </c>
      <c r="I574" s="20">
        <v>0.61419999999999997</v>
      </c>
      <c r="J574" s="20">
        <v>0.68789999999999996</v>
      </c>
      <c r="K574" s="20">
        <v>0.75870000000000004</v>
      </c>
      <c r="L574" s="20">
        <v>0.82699999999999996</v>
      </c>
      <c r="M574" s="20">
        <v>0.89280000000000004</v>
      </c>
      <c r="N574" s="20">
        <v>0.95650000000000002</v>
      </c>
      <c r="O574" s="20">
        <v>1.0182</v>
      </c>
      <c r="P574" s="20">
        <v>1.0779000000000001</v>
      </c>
      <c r="Q574" s="20">
        <v>1.1357999999999999</v>
      </c>
      <c r="R574" s="20">
        <v>1.1920999999999999</v>
      </c>
      <c r="S574" s="20">
        <v>1.2468999999999999</v>
      </c>
      <c r="T574" s="20">
        <v>1.3002</v>
      </c>
      <c r="U574" s="20">
        <v>1.3521000000000001</v>
      </c>
      <c r="V574" s="20">
        <v>1.4027000000000001</v>
      </c>
      <c r="W574"/>
      <c r="X574"/>
      <c r="Y574"/>
      <c r="Z574"/>
    </row>
    <row r="575" spans="1:26" x14ac:dyDescent="0.2">
      <c r="A575" s="19">
        <v>0.56899999999999995</v>
      </c>
      <c r="B575" s="20">
        <v>0</v>
      </c>
      <c r="C575" s="20">
        <v>0.10050000000000001</v>
      </c>
      <c r="D575" s="20">
        <v>0.19620000000000001</v>
      </c>
      <c r="E575" s="20">
        <v>0.28749999999999998</v>
      </c>
      <c r="F575" s="20">
        <v>0.37459999999999999</v>
      </c>
      <c r="G575" s="20">
        <v>0.45800000000000002</v>
      </c>
      <c r="H575" s="20">
        <v>0.53790000000000004</v>
      </c>
      <c r="I575" s="20">
        <v>0.61460000000000004</v>
      </c>
      <c r="J575" s="20">
        <v>0.68820000000000003</v>
      </c>
      <c r="K575" s="20">
        <v>0.7591</v>
      </c>
      <c r="L575" s="20">
        <v>0.82730000000000004</v>
      </c>
      <c r="M575" s="20">
        <v>0.89329999999999998</v>
      </c>
      <c r="N575" s="20">
        <v>0.95699999999999996</v>
      </c>
      <c r="O575" s="20">
        <v>1.0185999999999999</v>
      </c>
      <c r="P575" s="20">
        <v>1.0784</v>
      </c>
      <c r="Q575" s="20">
        <v>1.1363000000000001</v>
      </c>
      <c r="R575" s="20">
        <v>1.1926000000000001</v>
      </c>
      <c r="S575" s="20">
        <v>1.2474000000000001</v>
      </c>
      <c r="T575" s="20">
        <v>1.3007</v>
      </c>
      <c r="U575" s="20">
        <v>1.3526</v>
      </c>
      <c r="V575" s="20">
        <v>1.4032</v>
      </c>
      <c r="W575"/>
      <c r="X575"/>
      <c r="Y575"/>
      <c r="Z575"/>
    </row>
    <row r="576" spans="1:26" x14ac:dyDescent="0.2">
      <c r="A576" s="19">
        <v>0.56999999999999995</v>
      </c>
      <c r="B576" s="20">
        <v>0</v>
      </c>
      <c r="C576" s="20">
        <v>0.10050000000000001</v>
      </c>
      <c r="D576" s="20">
        <v>0.1963</v>
      </c>
      <c r="E576" s="20">
        <v>0.28760000000000002</v>
      </c>
      <c r="F576" s="20">
        <v>0.37480000000000002</v>
      </c>
      <c r="G576" s="20">
        <v>0.45829999999999999</v>
      </c>
      <c r="H576" s="20">
        <v>0.53820000000000001</v>
      </c>
      <c r="I576" s="20">
        <v>0.6149</v>
      </c>
      <c r="J576" s="20">
        <v>0.6885</v>
      </c>
      <c r="K576" s="20">
        <v>0.75939999999999996</v>
      </c>
      <c r="L576" s="20">
        <v>0.82769999999999999</v>
      </c>
      <c r="M576" s="20">
        <v>0.89370000000000005</v>
      </c>
      <c r="N576" s="20">
        <v>0.95740000000000003</v>
      </c>
      <c r="O576" s="20">
        <v>1.0190999999999999</v>
      </c>
      <c r="P576" s="20">
        <v>1.0788</v>
      </c>
      <c r="Q576" s="20">
        <v>1.1368</v>
      </c>
      <c r="R576" s="20">
        <v>1.1931</v>
      </c>
      <c r="S576" s="20">
        <v>1.2479</v>
      </c>
      <c r="T576" s="20">
        <v>1.3011999999999999</v>
      </c>
      <c r="U576" s="20">
        <v>1.3531</v>
      </c>
      <c r="V576" s="20">
        <v>1.4036999999999999</v>
      </c>
      <c r="W576"/>
      <c r="X576"/>
      <c r="Y576"/>
      <c r="Z576"/>
    </row>
    <row r="577" spans="1:26" x14ac:dyDescent="0.2">
      <c r="A577" s="19">
        <v>0.57099999999999995</v>
      </c>
      <c r="B577" s="20">
        <v>0</v>
      </c>
      <c r="C577" s="20">
        <v>0.10059999999999999</v>
      </c>
      <c r="D577" s="20">
        <v>0.19639999999999999</v>
      </c>
      <c r="E577" s="20">
        <v>0.28770000000000001</v>
      </c>
      <c r="F577" s="20">
        <v>0.375</v>
      </c>
      <c r="G577" s="20">
        <v>0.45850000000000002</v>
      </c>
      <c r="H577" s="20">
        <v>0.53839999999999999</v>
      </c>
      <c r="I577" s="20">
        <v>0.61519999999999997</v>
      </c>
      <c r="J577" s="20">
        <v>0.68889999999999996</v>
      </c>
      <c r="K577" s="20">
        <v>0.75980000000000003</v>
      </c>
      <c r="L577" s="20">
        <v>0.82809999999999995</v>
      </c>
      <c r="M577" s="20">
        <v>0.89410000000000001</v>
      </c>
      <c r="N577" s="20">
        <v>0.95779999999999998</v>
      </c>
      <c r="O577" s="20">
        <v>1.0195000000000001</v>
      </c>
      <c r="P577" s="20">
        <v>1.0792999999999999</v>
      </c>
      <c r="Q577" s="20">
        <v>1.1373</v>
      </c>
      <c r="R577" s="20">
        <v>1.1936</v>
      </c>
      <c r="S577" s="20">
        <v>1.2484</v>
      </c>
      <c r="T577" s="20">
        <v>1.3017000000000001</v>
      </c>
      <c r="U577" s="20">
        <v>1.3535999999999999</v>
      </c>
      <c r="V577" s="20">
        <v>1.4041999999999999</v>
      </c>
      <c r="W577"/>
      <c r="X577"/>
      <c r="Y577"/>
      <c r="Z577"/>
    </row>
    <row r="578" spans="1:26" x14ac:dyDescent="0.2">
      <c r="A578" s="19">
        <v>0.57199999999999995</v>
      </c>
      <c r="B578" s="20">
        <v>0</v>
      </c>
      <c r="C578" s="20">
        <v>0.10059999999999999</v>
      </c>
      <c r="D578" s="20">
        <v>0.19650000000000001</v>
      </c>
      <c r="E578" s="20">
        <v>0.28789999999999999</v>
      </c>
      <c r="F578" s="20">
        <v>0.37519999999999998</v>
      </c>
      <c r="G578" s="20">
        <v>0.4587</v>
      </c>
      <c r="H578" s="20">
        <v>0.53869999999999996</v>
      </c>
      <c r="I578" s="20">
        <v>0.61550000000000005</v>
      </c>
      <c r="J578" s="20">
        <v>0.68920000000000003</v>
      </c>
      <c r="K578" s="20">
        <v>0.7601</v>
      </c>
      <c r="L578" s="20">
        <v>0.82850000000000001</v>
      </c>
      <c r="M578" s="20">
        <v>0.89449999999999996</v>
      </c>
      <c r="N578" s="20">
        <v>0.95830000000000004</v>
      </c>
      <c r="O578" s="20">
        <v>1.02</v>
      </c>
      <c r="P578" s="20">
        <v>1.0798000000000001</v>
      </c>
      <c r="Q578" s="20">
        <v>1.1377999999999999</v>
      </c>
      <c r="R578" s="20">
        <v>1.1940999999999999</v>
      </c>
      <c r="S578" s="20">
        <v>1.2488999999999999</v>
      </c>
      <c r="T578" s="20">
        <v>1.3022</v>
      </c>
      <c r="U578" s="20">
        <v>1.3541000000000001</v>
      </c>
      <c r="V578" s="20">
        <v>1.4047000000000001</v>
      </c>
      <c r="W578"/>
      <c r="X578"/>
      <c r="Y578"/>
      <c r="Z578"/>
    </row>
    <row r="579" spans="1:26" x14ac:dyDescent="0.2">
      <c r="A579" s="19">
        <v>0.57299999999999995</v>
      </c>
      <c r="B579" s="20">
        <v>0</v>
      </c>
      <c r="C579" s="20">
        <v>0.1007</v>
      </c>
      <c r="D579" s="20">
        <v>0.1966</v>
      </c>
      <c r="E579" s="20">
        <v>0.28799999999999998</v>
      </c>
      <c r="F579" s="20">
        <v>0.37540000000000001</v>
      </c>
      <c r="G579" s="20">
        <v>0.45889999999999997</v>
      </c>
      <c r="H579" s="20">
        <v>0.53900000000000003</v>
      </c>
      <c r="I579" s="20">
        <v>0.61580000000000001</v>
      </c>
      <c r="J579" s="20">
        <v>0.6895</v>
      </c>
      <c r="K579" s="20">
        <v>0.76049999999999995</v>
      </c>
      <c r="L579" s="20">
        <v>0.82889999999999997</v>
      </c>
      <c r="M579" s="20">
        <v>0.89490000000000003</v>
      </c>
      <c r="N579" s="20">
        <v>0.9587</v>
      </c>
      <c r="O579" s="20">
        <v>1.0204</v>
      </c>
      <c r="P579" s="20">
        <v>1.0802</v>
      </c>
      <c r="Q579" s="20">
        <v>1.1382000000000001</v>
      </c>
      <c r="R579" s="20">
        <v>1.1946000000000001</v>
      </c>
      <c r="S579" s="20">
        <v>1.2494000000000001</v>
      </c>
      <c r="T579" s="20">
        <v>1.3027</v>
      </c>
      <c r="U579" s="20">
        <v>1.3546</v>
      </c>
      <c r="V579" s="20">
        <v>1.4052</v>
      </c>
      <c r="W579"/>
      <c r="X579"/>
      <c r="Y579"/>
      <c r="Z579"/>
    </row>
    <row r="580" spans="1:26" x14ac:dyDescent="0.2">
      <c r="A580" s="19">
        <v>0.57399999999999995</v>
      </c>
      <c r="B580" s="20">
        <v>0</v>
      </c>
      <c r="C580" s="20">
        <v>0.1007</v>
      </c>
      <c r="D580" s="20">
        <v>0.19670000000000001</v>
      </c>
      <c r="E580" s="20">
        <v>0.28820000000000001</v>
      </c>
      <c r="F580" s="20">
        <v>0.37559999999999999</v>
      </c>
      <c r="G580" s="20">
        <v>0.4592</v>
      </c>
      <c r="H580" s="20">
        <v>0.53920000000000001</v>
      </c>
      <c r="I580" s="20">
        <v>0.61609999999999998</v>
      </c>
      <c r="J580" s="20">
        <v>0.68989999999999996</v>
      </c>
      <c r="K580" s="20">
        <v>0.76090000000000002</v>
      </c>
      <c r="L580" s="20">
        <v>0.82930000000000004</v>
      </c>
      <c r="M580" s="20">
        <v>0.89529999999999998</v>
      </c>
      <c r="N580" s="20">
        <v>0.95909999999999995</v>
      </c>
      <c r="O580" s="20">
        <v>1.0208999999999999</v>
      </c>
      <c r="P580" s="20">
        <v>1.0807</v>
      </c>
      <c r="Q580" s="20">
        <v>1.1387</v>
      </c>
      <c r="R580" s="20">
        <v>1.1951000000000001</v>
      </c>
      <c r="S580" s="20">
        <v>1.2499</v>
      </c>
      <c r="T580" s="20">
        <v>1.3031999999999999</v>
      </c>
      <c r="U580" s="20">
        <v>1.3551</v>
      </c>
      <c r="V580" s="20">
        <v>1.4056999999999999</v>
      </c>
      <c r="W580"/>
      <c r="X580"/>
      <c r="Y580"/>
      <c r="Z580"/>
    </row>
    <row r="581" spans="1:26" x14ac:dyDescent="0.2">
      <c r="A581" s="19">
        <v>0.57499999999999996</v>
      </c>
      <c r="B581" s="20">
        <v>0</v>
      </c>
      <c r="C581" s="20">
        <v>0.1008</v>
      </c>
      <c r="D581" s="20">
        <v>0.1968</v>
      </c>
      <c r="E581" s="20">
        <v>0.2883</v>
      </c>
      <c r="F581" s="20">
        <v>0.37580000000000002</v>
      </c>
      <c r="G581" s="20">
        <v>0.45939999999999998</v>
      </c>
      <c r="H581" s="20">
        <v>0.53949999999999998</v>
      </c>
      <c r="I581" s="20">
        <v>0.61639999999999995</v>
      </c>
      <c r="J581" s="20">
        <v>0.69020000000000004</v>
      </c>
      <c r="K581" s="20">
        <v>0.76119999999999999</v>
      </c>
      <c r="L581" s="20">
        <v>0.82969999999999999</v>
      </c>
      <c r="M581" s="20">
        <v>0.89570000000000005</v>
      </c>
      <c r="N581" s="20">
        <v>0.95950000000000002</v>
      </c>
      <c r="O581" s="20">
        <v>1.0213000000000001</v>
      </c>
      <c r="P581" s="20">
        <v>1.0810999999999999</v>
      </c>
      <c r="Q581" s="20">
        <v>1.1392</v>
      </c>
      <c r="R581" s="20">
        <v>1.1955</v>
      </c>
      <c r="S581" s="20">
        <v>1.2503</v>
      </c>
      <c r="T581" s="20">
        <v>1.3037000000000001</v>
      </c>
      <c r="U581" s="20">
        <v>1.3555999999999999</v>
      </c>
      <c r="V581" s="20">
        <v>1.4061999999999999</v>
      </c>
      <c r="W581"/>
      <c r="X581"/>
      <c r="Y581"/>
      <c r="Z581"/>
    </row>
    <row r="582" spans="1:26" x14ac:dyDescent="0.2">
      <c r="A582" s="19">
        <v>0.57599999999999996</v>
      </c>
      <c r="B582" s="20">
        <v>0</v>
      </c>
      <c r="C582" s="20">
        <v>0.1008</v>
      </c>
      <c r="D582" s="20">
        <v>0.19689999999999999</v>
      </c>
      <c r="E582" s="20">
        <v>0.28849999999999998</v>
      </c>
      <c r="F582" s="20">
        <v>0.376</v>
      </c>
      <c r="G582" s="20">
        <v>0.45960000000000001</v>
      </c>
      <c r="H582" s="20">
        <v>0.53979999999999995</v>
      </c>
      <c r="I582" s="20">
        <v>0.61670000000000003</v>
      </c>
      <c r="J582" s="20">
        <v>0.6905</v>
      </c>
      <c r="K582" s="20">
        <v>0.76160000000000005</v>
      </c>
      <c r="L582" s="20">
        <v>0.83009999999999995</v>
      </c>
      <c r="M582" s="20">
        <v>0.89610000000000001</v>
      </c>
      <c r="N582" s="20">
        <v>0.96</v>
      </c>
      <c r="O582" s="20">
        <v>1.0218</v>
      </c>
      <c r="P582" s="20">
        <v>1.0815999999999999</v>
      </c>
      <c r="Q582" s="20">
        <v>1.1396999999999999</v>
      </c>
      <c r="R582" s="20">
        <v>1.196</v>
      </c>
      <c r="S582" s="20">
        <v>1.2507999999999999</v>
      </c>
      <c r="T582" s="20">
        <v>1.3042</v>
      </c>
      <c r="U582" s="20">
        <v>1.3561000000000001</v>
      </c>
      <c r="V582" s="20">
        <v>1.4067000000000001</v>
      </c>
      <c r="W582"/>
      <c r="X582"/>
      <c r="Y582"/>
      <c r="Z582"/>
    </row>
    <row r="583" spans="1:26" x14ac:dyDescent="0.2">
      <c r="A583" s="19">
        <v>0.57699999999999996</v>
      </c>
      <c r="B583" s="20">
        <v>0</v>
      </c>
      <c r="C583" s="20">
        <v>0.1009</v>
      </c>
      <c r="D583" s="20">
        <v>0.19700000000000001</v>
      </c>
      <c r="E583" s="20">
        <v>0.28860000000000002</v>
      </c>
      <c r="F583" s="20">
        <v>0.37609999999999999</v>
      </c>
      <c r="G583" s="20">
        <v>0.45989999999999998</v>
      </c>
      <c r="H583" s="20">
        <v>0.54</v>
      </c>
      <c r="I583" s="20">
        <v>0.61699999999999999</v>
      </c>
      <c r="J583" s="20">
        <v>0.69079999999999997</v>
      </c>
      <c r="K583" s="20">
        <v>0.76190000000000002</v>
      </c>
      <c r="L583" s="20">
        <v>0.83040000000000003</v>
      </c>
      <c r="M583" s="20">
        <v>0.89649999999999996</v>
      </c>
      <c r="N583" s="20">
        <v>0.96040000000000003</v>
      </c>
      <c r="O583" s="20">
        <v>1.0222</v>
      </c>
      <c r="P583" s="20">
        <v>1.0821000000000001</v>
      </c>
      <c r="Q583" s="20">
        <v>1.1400999999999999</v>
      </c>
      <c r="R583" s="20">
        <v>1.1964999999999999</v>
      </c>
      <c r="S583" s="20">
        <v>1.2513000000000001</v>
      </c>
      <c r="T583" s="20">
        <v>1.3047</v>
      </c>
      <c r="U583" s="20">
        <v>1.3566</v>
      </c>
      <c r="V583" s="20">
        <v>1.4072</v>
      </c>
      <c r="W583"/>
      <c r="X583"/>
      <c r="Y583"/>
      <c r="Z583"/>
    </row>
    <row r="584" spans="1:26" x14ac:dyDescent="0.2">
      <c r="A584" s="19">
        <v>0.57799999999999996</v>
      </c>
      <c r="B584" s="20">
        <v>0</v>
      </c>
      <c r="C584" s="20">
        <v>0.1009</v>
      </c>
      <c r="D584" s="20">
        <v>0.1971</v>
      </c>
      <c r="E584" s="20">
        <v>0.2888</v>
      </c>
      <c r="F584" s="20">
        <v>0.37630000000000002</v>
      </c>
      <c r="G584" s="20">
        <v>0.46010000000000001</v>
      </c>
      <c r="H584" s="20">
        <v>0.5403</v>
      </c>
      <c r="I584" s="20">
        <v>0.61729999999999996</v>
      </c>
      <c r="J584" s="20">
        <v>0.69120000000000004</v>
      </c>
      <c r="K584" s="20">
        <v>0.76229999999999998</v>
      </c>
      <c r="L584" s="20">
        <v>0.83079999999999998</v>
      </c>
      <c r="M584" s="20">
        <v>0.89690000000000003</v>
      </c>
      <c r="N584" s="20">
        <v>0.96079999999999999</v>
      </c>
      <c r="O584" s="20">
        <v>1.0226</v>
      </c>
      <c r="P584" s="20">
        <v>1.0825</v>
      </c>
      <c r="Q584" s="20">
        <v>1.1406000000000001</v>
      </c>
      <c r="R584" s="20">
        <v>1.1970000000000001</v>
      </c>
      <c r="S584" s="20">
        <v>1.2518</v>
      </c>
      <c r="T584" s="20">
        <v>1.3051999999999999</v>
      </c>
      <c r="U584" s="20">
        <v>1.3571</v>
      </c>
      <c r="V584" s="20">
        <v>1.4077</v>
      </c>
      <c r="W584"/>
      <c r="X584"/>
      <c r="Y584"/>
      <c r="Z584"/>
    </row>
    <row r="585" spans="1:26" x14ac:dyDescent="0.2">
      <c r="A585" s="19">
        <v>0.57899999999999996</v>
      </c>
      <c r="B585" s="20">
        <v>0</v>
      </c>
      <c r="C585" s="20">
        <v>0.10100000000000001</v>
      </c>
      <c r="D585" s="20">
        <v>0.19719999999999999</v>
      </c>
      <c r="E585" s="20">
        <v>0.28889999999999999</v>
      </c>
      <c r="F585" s="20">
        <v>0.3765</v>
      </c>
      <c r="G585" s="20">
        <v>0.46029999999999999</v>
      </c>
      <c r="H585" s="20">
        <v>0.54059999999999997</v>
      </c>
      <c r="I585" s="20">
        <v>0.61760000000000004</v>
      </c>
      <c r="J585" s="20">
        <v>0.6915</v>
      </c>
      <c r="K585" s="20">
        <v>0.76270000000000004</v>
      </c>
      <c r="L585" s="20">
        <v>0.83120000000000005</v>
      </c>
      <c r="M585" s="20">
        <v>0.89739999999999998</v>
      </c>
      <c r="N585" s="20">
        <v>0.96130000000000004</v>
      </c>
      <c r="O585" s="20">
        <v>1.0230999999999999</v>
      </c>
      <c r="P585" s="20">
        <v>1.083</v>
      </c>
      <c r="Q585" s="20">
        <v>1.1411</v>
      </c>
      <c r="R585" s="20">
        <v>1.1975</v>
      </c>
      <c r="S585" s="20">
        <v>1.2523</v>
      </c>
      <c r="T585" s="20">
        <v>1.3057000000000001</v>
      </c>
      <c r="U585" s="20">
        <v>1.3575999999999999</v>
      </c>
      <c r="V585" s="20">
        <v>1.4081999999999999</v>
      </c>
      <c r="W585"/>
      <c r="X585"/>
      <c r="Y585"/>
      <c r="Z585"/>
    </row>
    <row r="586" spans="1:26" x14ac:dyDescent="0.2">
      <c r="A586" s="19">
        <v>0.57999999999999996</v>
      </c>
      <c r="B586" s="20">
        <v>0</v>
      </c>
      <c r="C586" s="20">
        <v>0.10100000000000001</v>
      </c>
      <c r="D586" s="20">
        <v>0.1973</v>
      </c>
      <c r="E586" s="20">
        <v>0.28899999999999998</v>
      </c>
      <c r="F586" s="20">
        <v>0.37669999999999998</v>
      </c>
      <c r="G586" s="20">
        <v>0.46050000000000002</v>
      </c>
      <c r="H586" s="20">
        <v>0.54079999999999995</v>
      </c>
      <c r="I586" s="20">
        <v>0.61780000000000002</v>
      </c>
      <c r="J586" s="20">
        <v>0.69179999999999997</v>
      </c>
      <c r="K586" s="20">
        <v>0.76300000000000001</v>
      </c>
      <c r="L586" s="20">
        <v>0.83160000000000001</v>
      </c>
      <c r="M586" s="20">
        <v>0.89780000000000004</v>
      </c>
      <c r="N586" s="20">
        <v>0.9617</v>
      </c>
      <c r="O586" s="20">
        <v>1.0235000000000001</v>
      </c>
      <c r="P586" s="20">
        <v>1.0833999999999999</v>
      </c>
      <c r="Q586" s="20">
        <v>1.1415</v>
      </c>
      <c r="R586" s="20">
        <v>1.198</v>
      </c>
      <c r="S586" s="20">
        <v>1.2527999999999999</v>
      </c>
      <c r="T586" s="20">
        <v>1.3061</v>
      </c>
      <c r="U586" s="20">
        <v>1.3581000000000001</v>
      </c>
      <c r="V586" s="20">
        <v>1.4087000000000001</v>
      </c>
      <c r="W586"/>
      <c r="X586"/>
      <c r="Y586"/>
      <c r="Z586"/>
    </row>
    <row r="587" spans="1:26" x14ac:dyDescent="0.2">
      <c r="A587" s="19">
        <v>0.58099999999999996</v>
      </c>
      <c r="B587" s="20">
        <v>0</v>
      </c>
      <c r="C587" s="20">
        <v>0.1011</v>
      </c>
      <c r="D587" s="20">
        <v>0.19739999999999999</v>
      </c>
      <c r="E587" s="20">
        <v>0.28920000000000001</v>
      </c>
      <c r="F587" s="20">
        <v>0.37690000000000001</v>
      </c>
      <c r="G587" s="20">
        <v>0.46079999999999999</v>
      </c>
      <c r="H587" s="20">
        <v>0.54110000000000003</v>
      </c>
      <c r="I587" s="20">
        <v>0.61809999999999998</v>
      </c>
      <c r="J587" s="20">
        <v>0.69220000000000004</v>
      </c>
      <c r="K587" s="20">
        <v>0.76339999999999997</v>
      </c>
      <c r="L587" s="20">
        <v>0.83199999999999996</v>
      </c>
      <c r="M587" s="20">
        <v>0.8982</v>
      </c>
      <c r="N587" s="20">
        <v>0.96209999999999996</v>
      </c>
      <c r="O587" s="20">
        <v>1.024</v>
      </c>
      <c r="P587" s="20">
        <v>1.0839000000000001</v>
      </c>
      <c r="Q587" s="20">
        <v>1.1419999999999999</v>
      </c>
      <c r="R587" s="20">
        <v>1.1983999999999999</v>
      </c>
      <c r="S587" s="20">
        <v>1.2533000000000001</v>
      </c>
      <c r="T587" s="20">
        <v>1.3066</v>
      </c>
      <c r="U587" s="20">
        <v>1.3586</v>
      </c>
      <c r="V587" s="20">
        <v>1.4092</v>
      </c>
      <c r="W587"/>
      <c r="X587"/>
      <c r="Y587"/>
      <c r="Z587"/>
    </row>
    <row r="588" spans="1:26" x14ac:dyDescent="0.2">
      <c r="A588" s="19">
        <v>0.58199999999999996</v>
      </c>
      <c r="B588" s="20">
        <v>0</v>
      </c>
      <c r="C588" s="20">
        <v>0.1011</v>
      </c>
      <c r="D588" s="20">
        <v>0.19750000000000001</v>
      </c>
      <c r="E588" s="20">
        <v>0.2893</v>
      </c>
      <c r="F588" s="20">
        <v>0.37709999999999999</v>
      </c>
      <c r="G588" s="20">
        <v>0.46100000000000002</v>
      </c>
      <c r="H588" s="20">
        <v>0.54139999999999999</v>
      </c>
      <c r="I588" s="20">
        <v>0.61839999999999995</v>
      </c>
      <c r="J588" s="20">
        <v>0.6925</v>
      </c>
      <c r="K588" s="20">
        <v>0.76370000000000005</v>
      </c>
      <c r="L588" s="20">
        <v>0.83240000000000003</v>
      </c>
      <c r="M588" s="20">
        <v>0.89859999999999995</v>
      </c>
      <c r="N588" s="20">
        <v>0.96250000000000002</v>
      </c>
      <c r="O588" s="20">
        <v>1.0244</v>
      </c>
      <c r="P588" s="20">
        <v>1.0844</v>
      </c>
      <c r="Q588" s="20">
        <v>1.1425000000000001</v>
      </c>
      <c r="R588" s="20">
        <v>1.1989000000000001</v>
      </c>
      <c r="S588" s="20">
        <v>1.2538</v>
      </c>
      <c r="T588" s="20">
        <v>1.3070999999999999</v>
      </c>
      <c r="U588" s="20">
        <v>1.3591</v>
      </c>
      <c r="V588" s="20">
        <v>1.4097</v>
      </c>
      <c r="W588"/>
      <c r="X588"/>
      <c r="Y588"/>
      <c r="Z588"/>
    </row>
    <row r="589" spans="1:26" x14ac:dyDescent="0.2">
      <c r="A589" s="19">
        <v>0.58299999999999996</v>
      </c>
      <c r="B589" s="20">
        <v>0</v>
      </c>
      <c r="C589" s="20">
        <v>0.1012</v>
      </c>
      <c r="D589" s="20">
        <v>0.1976</v>
      </c>
      <c r="E589" s="20">
        <v>0.28949999999999998</v>
      </c>
      <c r="F589" s="20">
        <v>0.37730000000000002</v>
      </c>
      <c r="G589" s="20">
        <v>0.4612</v>
      </c>
      <c r="H589" s="20">
        <v>0.54159999999999997</v>
      </c>
      <c r="I589" s="20">
        <v>0.61870000000000003</v>
      </c>
      <c r="J589" s="20">
        <v>0.69279999999999997</v>
      </c>
      <c r="K589" s="20">
        <v>0.7641</v>
      </c>
      <c r="L589" s="20">
        <v>0.8327</v>
      </c>
      <c r="M589" s="20">
        <v>0.89900000000000002</v>
      </c>
      <c r="N589" s="20">
        <v>0.96299999999999997</v>
      </c>
      <c r="O589" s="20">
        <v>1.0248999999999999</v>
      </c>
      <c r="P589" s="20">
        <v>1.0848</v>
      </c>
      <c r="Q589" s="20">
        <v>1.1429</v>
      </c>
      <c r="R589" s="20">
        <v>1.1994</v>
      </c>
      <c r="S589" s="20">
        <v>1.2543</v>
      </c>
      <c r="T589" s="20">
        <v>1.3076000000000001</v>
      </c>
      <c r="U589" s="20">
        <v>1.3595999999999999</v>
      </c>
      <c r="V589" s="20">
        <v>1.4101999999999999</v>
      </c>
      <c r="W589"/>
      <c r="X589"/>
      <c r="Y589"/>
      <c r="Z589"/>
    </row>
    <row r="590" spans="1:26" x14ac:dyDescent="0.2">
      <c r="A590" s="19">
        <v>0.58399999999999996</v>
      </c>
      <c r="B590" s="20">
        <v>0</v>
      </c>
      <c r="C590" s="20">
        <v>0.1012</v>
      </c>
      <c r="D590" s="20">
        <v>0.19769999999999999</v>
      </c>
      <c r="E590" s="20">
        <v>0.28960000000000002</v>
      </c>
      <c r="F590" s="20">
        <v>0.37740000000000001</v>
      </c>
      <c r="G590" s="20">
        <v>0.46139999999999998</v>
      </c>
      <c r="H590" s="20">
        <v>0.54190000000000005</v>
      </c>
      <c r="I590" s="20">
        <v>0.61899999999999999</v>
      </c>
      <c r="J590" s="20">
        <v>0.69310000000000005</v>
      </c>
      <c r="K590" s="20">
        <v>0.76439999999999997</v>
      </c>
      <c r="L590" s="20">
        <v>0.83309999999999995</v>
      </c>
      <c r="M590" s="20">
        <v>0.89939999999999998</v>
      </c>
      <c r="N590" s="20">
        <v>0.96340000000000003</v>
      </c>
      <c r="O590" s="20">
        <v>1.0253000000000001</v>
      </c>
      <c r="P590" s="20">
        <v>1.0852999999999999</v>
      </c>
      <c r="Q590" s="20">
        <v>1.1434</v>
      </c>
      <c r="R590" s="20">
        <v>1.1999</v>
      </c>
      <c r="S590" s="20">
        <v>1.2546999999999999</v>
      </c>
      <c r="T590" s="20">
        <v>1.3081</v>
      </c>
      <c r="U590" s="20">
        <v>1.3601000000000001</v>
      </c>
      <c r="V590" s="20">
        <v>1.4107000000000001</v>
      </c>
      <c r="W590"/>
      <c r="X590"/>
      <c r="Y590"/>
      <c r="Z590"/>
    </row>
    <row r="591" spans="1:26" x14ac:dyDescent="0.2">
      <c r="A591" s="19">
        <v>0.58499999999999996</v>
      </c>
      <c r="B591" s="20">
        <v>0</v>
      </c>
      <c r="C591" s="20">
        <v>0.1013</v>
      </c>
      <c r="D591" s="20">
        <v>0.1978</v>
      </c>
      <c r="E591" s="20">
        <v>0.2898</v>
      </c>
      <c r="F591" s="20">
        <v>0.37759999999999999</v>
      </c>
      <c r="G591" s="20">
        <v>0.4617</v>
      </c>
      <c r="H591" s="20">
        <v>0.54210000000000003</v>
      </c>
      <c r="I591" s="20">
        <v>0.61929999999999996</v>
      </c>
      <c r="J591" s="20">
        <v>0.69350000000000001</v>
      </c>
      <c r="K591" s="20">
        <v>0.76480000000000004</v>
      </c>
      <c r="L591" s="20">
        <v>0.83350000000000002</v>
      </c>
      <c r="M591" s="20">
        <v>0.89980000000000004</v>
      </c>
      <c r="N591" s="20">
        <v>0.96379999999999999</v>
      </c>
      <c r="O591" s="20">
        <v>1.0257000000000001</v>
      </c>
      <c r="P591" s="20">
        <v>1.0857000000000001</v>
      </c>
      <c r="Q591" s="20">
        <v>1.1438999999999999</v>
      </c>
      <c r="R591" s="20">
        <v>1.2003999999999999</v>
      </c>
      <c r="S591" s="20">
        <v>1.2552000000000001</v>
      </c>
      <c r="T591" s="20">
        <v>1.3086</v>
      </c>
      <c r="U591" s="20">
        <v>1.3606</v>
      </c>
      <c r="V591" s="20">
        <v>1.4112</v>
      </c>
      <c r="W591"/>
      <c r="X591"/>
      <c r="Y591"/>
      <c r="Z591"/>
    </row>
    <row r="592" spans="1:26" x14ac:dyDescent="0.2">
      <c r="A592" s="19">
        <v>0.58599999999999997</v>
      </c>
      <c r="B592" s="20">
        <v>0</v>
      </c>
      <c r="C592" s="20">
        <v>0.1013</v>
      </c>
      <c r="D592" s="20">
        <v>0.19789999999999999</v>
      </c>
      <c r="E592" s="20">
        <v>0.28989999999999999</v>
      </c>
      <c r="F592" s="20">
        <v>0.37780000000000002</v>
      </c>
      <c r="G592" s="20">
        <v>0.46189999999999998</v>
      </c>
      <c r="H592" s="20">
        <v>0.54239999999999999</v>
      </c>
      <c r="I592" s="20">
        <v>0.61960000000000004</v>
      </c>
      <c r="J592" s="20">
        <v>0.69379999999999997</v>
      </c>
      <c r="K592" s="20">
        <v>0.7651</v>
      </c>
      <c r="L592" s="20">
        <v>0.83389999999999997</v>
      </c>
      <c r="M592" s="20">
        <v>0.9002</v>
      </c>
      <c r="N592" s="20">
        <v>0.96419999999999995</v>
      </c>
      <c r="O592" s="20">
        <v>1.0262</v>
      </c>
      <c r="P592" s="20">
        <v>1.0862000000000001</v>
      </c>
      <c r="Q592" s="20">
        <v>1.1444000000000001</v>
      </c>
      <c r="R592" s="20">
        <v>1.2008000000000001</v>
      </c>
      <c r="S592" s="20">
        <v>1.2557</v>
      </c>
      <c r="T592" s="20">
        <v>1.3090999999999999</v>
      </c>
      <c r="U592" s="20">
        <v>1.3611</v>
      </c>
      <c r="V592" s="20">
        <v>1.4117</v>
      </c>
      <c r="W592"/>
      <c r="X592"/>
      <c r="Y592"/>
      <c r="Z592"/>
    </row>
    <row r="593" spans="1:26" x14ac:dyDescent="0.2">
      <c r="A593" s="19">
        <v>0.58699999999999997</v>
      </c>
      <c r="B593" s="20">
        <v>0</v>
      </c>
      <c r="C593" s="20">
        <v>0.1014</v>
      </c>
      <c r="D593" s="20">
        <v>0.19800000000000001</v>
      </c>
      <c r="E593" s="20">
        <v>0.29010000000000002</v>
      </c>
      <c r="F593" s="20">
        <v>0.378</v>
      </c>
      <c r="G593" s="20">
        <v>0.46210000000000001</v>
      </c>
      <c r="H593" s="20">
        <v>0.54269999999999996</v>
      </c>
      <c r="I593" s="20">
        <v>0.61990000000000001</v>
      </c>
      <c r="J593" s="20">
        <v>0.69410000000000005</v>
      </c>
      <c r="K593" s="20">
        <v>0.76549999999999996</v>
      </c>
      <c r="L593" s="20">
        <v>0.83430000000000004</v>
      </c>
      <c r="M593" s="20">
        <v>0.90059999999999996</v>
      </c>
      <c r="N593" s="20">
        <v>0.96460000000000001</v>
      </c>
      <c r="O593" s="20">
        <v>1.0266</v>
      </c>
      <c r="P593" s="20">
        <v>1.0866</v>
      </c>
      <c r="Q593" s="20">
        <v>1.1448</v>
      </c>
      <c r="R593" s="20">
        <v>1.2013</v>
      </c>
      <c r="S593" s="20">
        <v>1.2562</v>
      </c>
      <c r="T593" s="20">
        <v>1.3096000000000001</v>
      </c>
      <c r="U593" s="20">
        <v>1.3615999999999999</v>
      </c>
      <c r="V593" s="20">
        <v>1.4121999999999999</v>
      </c>
      <c r="W593"/>
      <c r="X593"/>
      <c r="Y593"/>
      <c r="Z593"/>
    </row>
    <row r="594" spans="1:26" x14ac:dyDescent="0.2">
      <c r="A594" s="19">
        <v>0.58799999999999997</v>
      </c>
      <c r="B594" s="20">
        <v>0</v>
      </c>
      <c r="C594" s="20">
        <v>0.1014</v>
      </c>
      <c r="D594" s="20">
        <v>0.1981</v>
      </c>
      <c r="E594" s="20">
        <v>0.29020000000000001</v>
      </c>
      <c r="F594" s="20">
        <v>0.37819999999999998</v>
      </c>
      <c r="G594" s="20">
        <v>0.46229999999999999</v>
      </c>
      <c r="H594" s="20">
        <v>0.54290000000000005</v>
      </c>
      <c r="I594" s="20">
        <v>0.62019999999999997</v>
      </c>
      <c r="J594" s="20">
        <v>0.69440000000000002</v>
      </c>
      <c r="K594" s="20">
        <v>0.76590000000000003</v>
      </c>
      <c r="L594" s="20">
        <v>0.83460000000000001</v>
      </c>
      <c r="M594" s="20">
        <v>0.90100000000000002</v>
      </c>
      <c r="N594" s="20">
        <v>0.96509999999999996</v>
      </c>
      <c r="O594" s="20">
        <v>1.0270999999999999</v>
      </c>
      <c r="P594" s="20">
        <v>1.0871</v>
      </c>
      <c r="Q594" s="20">
        <v>1.1453</v>
      </c>
      <c r="R594" s="20">
        <v>1.2018</v>
      </c>
      <c r="S594" s="20">
        <v>1.2566999999999999</v>
      </c>
      <c r="T594" s="20">
        <v>1.3101</v>
      </c>
      <c r="U594" s="20">
        <v>1.3620000000000001</v>
      </c>
      <c r="V594" s="20">
        <v>1.4127000000000001</v>
      </c>
      <c r="W594"/>
      <c r="X594"/>
      <c r="Y594"/>
      <c r="Z594"/>
    </row>
    <row r="595" spans="1:26" x14ac:dyDescent="0.2">
      <c r="A595" s="19">
        <v>0.58899999999999997</v>
      </c>
      <c r="B595" s="20">
        <v>0</v>
      </c>
      <c r="C595" s="20">
        <v>0.10150000000000001</v>
      </c>
      <c r="D595" s="20">
        <v>0.19819999999999999</v>
      </c>
      <c r="E595" s="20">
        <v>0.2903</v>
      </c>
      <c r="F595" s="20">
        <v>0.37840000000000001</v>
      </c>
      <c r="G595" s="20">
        <v>0.46260000000000001</v>
      </c>
      <c r="H595" s="20">
        <v>0.54320000000000002</v>
      </c>
      <c r="I595" s="20">
        <v>0.62050000000000005</v>
      </c>
      <c r="J595" s="20">
        <v>0.69479999999999997</v>
      </c>
      <c r="K595" s="20">
        <v>0.76619999999999999</v>
      </c>
      <c r="L595" s="20">
        <v>0.83499999999999996</v>
      </c>
      <c r="M595" s="20">
        <v>0.90139999999999998</v>
      </c>
      <c r="N595" s="20">
        <v>0.96550000000000002</v>
      </c>
      <c r="O595" s="20">
        <v>1.0275000000000001</v>
      </c>
      <c r="P595" s="20">
        <v>1.0874999999999999</v>
      </c>
      <c r="Q595" s="20">
        <v>1.1456999999999999</v>
      </c>
      <c r="R595" s="20">
        <v>1.2022999999999999</v>
      </c>
      <c r="S595" s="20">
        <v>1.2572000000000001</v>
      </c>
      <c r="T595" s="20">
        <v>1.3106</v>
      </c>
      <c r="U595" s="20">
        <v>1.3625</v>
      </c>
      <c r="V595" s="20">
        <v>1.4132</v>
      </c>
      <c r="W595"/>
      <c r="X595"/>
      <c r="Y595"/>
      <c r="Z595"/>
    </row>
    <row r="596" spans="1:26" x14ac:dyDescent="0.2">
      <c r="A596" s="19">
        <v>0.59</v>
      </c>
      <c r="B596" s="20">
        <v>0</v>
      </c>
      <c r="C596" s="20">
        <v>0.10150000000000001</v>
      </c>
      <c r="D596" s="20">
        <v>0.19819999999999999</v>
      </c>
      <c r="E596" s="20">
        <v>0.29049999999999998</v>
      </c>
      <c r="F596" s="20">
        <v>0.37859999999999999</v>
      </c>
      <c r="G596" s="20">
        <v>0.46279999999999999</v>
      </c>
      <c r="H596" s="20">
        <v>0.54339999999999999</v>
      </c>
      <c r="I596" s="20">
        <v>0.62080000000000002</v>
      </c>
      <c r="J596" s="20">
        <v>0.69510000000000005</v>
      </c>
      <c r="K596" s="20">
        <v>0.76659999999999995</v>
      </c>
      <c r="L596" s="20">
        <v>0.83540000000000003</v>
      </c>
      <c r="M596" s="20">
        <v>0.90180000000000005</v>
      </c>
      <c r="N596" s="20">
        <v>0.96589999999999998</v>
      </c>
      <c r="O596" s="20">
        <v>1.0279</v>
      </c>
      <c r="P596" s="20">
        <v>1.0880000000000001</v>
      </c>
      <c r="Q596" s="20">
        <v>1.1462000000000001</v>
      </c>
      <c r="R596" s="20">
        <v>1.2027000000000001</v>
      </c>
      <c r="S596" s="20">
        <v>1.2576000000000001</v>
      </c>
      <c r="T596" s="20">
        <v>1.3109999999999999</v>
      </c>
      <c r="U596" s="20">
        <v>1.363</v>
      </c>
      <c r="V596" s="20">
        <v>1.4137</v>
      </c>
      <c r="W596"/>
      <c r="X596"/>
      <c r="Y596"/>
      <c r="Z596"/>
    </row>
    <row r="597" spans="1:26" x14ac:dyDescent="0.2">
      <c r="A597" s="19">
        <v>0.59099999999999997</v>
      </c>
      <c r="B597" s="20">
        <v>0</v>
      </c>
      <c r="C597" s="20">
        <v>0.1016</v>
      </c>
      <c r="D597" s="20">
        <v>0.1983</v>
      </c>
      <c r="E597" s="20">
        <v>0.29060000000000002</v>
      </c>
      <c r="F597" s="20">
        <v>0.37869999999999998</v>
      </c>
      <c r="G597" s="20">
        <v>0.46300000000000002</v>
      </c>
      <c r="H597" s="20">
        <v>0.54369999999999996</v>
      </c>
      <c r="I597" s="20">
        <v>0.62109999999999999</v>
      </c>
      <c r="J597" s="20">
        <v>0.69540000000000002</v>
      </c>
      <c r="K597" s="20">
        <v>0.76690000000000003</v>
      </c>
      <c r="L597" s="20">
        <v>0.83579999999999999</v>
      </c>
      <c r="M597" s="20">
        <v>0.9022</v>
      </c>
      <c r="N597" s="20">
        <v>0.96630000000000005</v>
      </c>
      <c r="O597" s="20">
        <v>1.0284</v>
      </c>
      <c r="P597" s="20">
        <v>1.0884</v>
      </c>
      <c r="Q597" s="20">
        <v>1.1467000000000001</v>
      </c>
      <c r="R597" s="20">
        <v>1.2032</v>
      </c>
      <c r="S597" s="20">
        <v>1.2581</v>
      </c>
      <c r="T597" s="20">
        <v>1.3115000000000001</v>
      </c>
      <c r="U597" s="20">
        <v>1.3634999999999999</v>
      </c>
      <c r="V597" s="20">
        <v>1.4140999999999999</v>
      </c>
      <c r="W597"/>
      <c r="X597"/>
      <c r="Y597"/>
      <c r="Z597"/>
    </row>
    <row r="598" spans="1:26" x14ac:dyDescent="0.2">
      <c r="A598" s="19">
        <v>0.59199999999999997</v>
      </c>
      <c r="B598" s="20">
        <v>0</v>
      </c>
      <c r="C598" s="20">
        <v>0.1016</v>
      </c>
      <c r="D598" s="20">
        <v>0.19839999999999999</v>
      </c>
      <c r="E598" s="20">
        <v>0.2908</v>
      </c>
      <c r="F598" s="20">
        <v>0.37890000000000001</v>
      </c>
      <c r="G598" s="20">
        <v>0.4632</v>
      </c>
      <c r="H598" s="20">
        <v>0.54400000000000004</v>
      </c>
      <c r="I598" s="20">
        <v>0.62139999999999995</v>
      </c>
      <c r="J598" s="20">
        <v>0.69569999999999999</v>
      </c>
      <c r="K598" s="20">
        <v>0.76729999999999998</v>
      </c>
      <c r="L598" s="20">
        <v>0.83609999999999995</v>
      </c>
      <c r="M598" s="20">
        <v>0.90259999999999996</v>
      </c>
      <c r="N598" s="20">
        <v>0.9667</v>
      </c>
      <c r="O598" s="20">
        <v>1.0287999999999999</v>
      </c>
      <c r="P598" s="20">
        <v>1.0889</v>
      </c>
      <c r="Q598" s="20">
        <v>1.1471</v>
      </c>
      <c r="R598" s="20">
        <v>1.2037</v>
      </c>
      <c r="S598" s="20">
        <v>1.2585999999999999</v>
      </c>
      <c r="T598" s="20">
        <v>1.3120000000000001</v>
      </c>
      <c r="U598" s="20">
        <v>1.3640000000000001</v>
      </c>
      <c r="V598" s="20">
        <v>1.4146000000000001</v>
      </c>
      <c r="W598"/>
      <c r="X598"/>
      <c r="Y598"/>
      <c r="Z598"/>
    </row>
    <row r="599" spans="1:26" x14ac:dyDescent="0.2">
      <c r="A599" s="19">
        <v>0.59299999999999997</v>
      </c>
      <c r="B599" s="20">
        <v>0</v>
      </c>
      <c r="C599" s="20">
        <v>0.1017</v>
      </c>
      <c r="D599" s="20">
        <v>0.19850000000000001</v>
      </c>
      <c r="E599" s="20">
        <v>0.29089999999999999</v>
      </c>
      <c r="F599" s="20">
        <v>0.37909999999999999</v>
      </c>
      <c r="G599" s="20">
        <v>0.46339999999999998</v>
      </c>
      <c r="H599" s="20">
        <v>0.54420000000000002</v>
      </c>
      <c r="I599" s="20">
        <v>0.62170000000000003</v>
      </c>
      <c r="J599" s="20">
        <v>0.69610000000000005</v>
      </c>
      <c r="K599" s="20">
        <v>0.76759999999999995</v>
      </c>
      <c r="L599" s="20">
        <v>0.83650000000000002</v>
      </c>
      <c r="M599" s="20">
        <v>0.90300000000000002</v>
      </c>
      <c r="N599" s="20">
        <v>0.96719999999999995</v>
      </c>
      <c r="O599" s="20">
        <v>1.0291999999999999</v>
      </c>
      <c r="P599" s="20">
        <v>1.0892999999999999</v>
      </c>
      <c r="Q599" s="20">
        <v>1.1476</v>
      </c>
      <c r="R599" s="20">
        <v>1.2040999999999999</v>
      </c>
      <c r="S599" s="20">
        <v>1.2591000000000001</v>
      </c>
      <c r="T599" s="20">
        <v>1.3125</v>
      </c>
      <c r="U599" s="20">
        <v>1.3645</v>
      </c>
      <c r="V599" s="20">
        <v>1.4151</v>
      </c>
      <c r="W599"/>
      <c r="X599"/>
      <c r="Y599"/>
      <c r="Z599"/>
    </row>
    <row r="600" spans="1:26" x14ac:dyDescent="0.2">
      <c r="A600" s="19">
        <v>0.59399999999999997</v>
      </c>
      <c r="B600" s="20">
        <v>0</v>
      </c>
      <c r="C600" s="20">
        <v>0.1017</v>
      </c>
      <c r="D600" s="20">
        <v>0.1986</v>
      </c>
      <c r="E600" s="20">
        <v>0.29099999999999998</v>
      </c>
      <c r="F600" s="20">
        <v>0.37930000000000003</v>
      </c>
      <c r="G600" s="20">
        <v>0.4637</v>
      </c>
      <c r="H600" s="20">
        <v>0.54449999999999998</v>
      </c>
      <c r="I600" s="20">
        <v>0.622</v>
      </c>
      <c r="J600" s="20">
        <v>0.69640000000000002</v>
      </c>
      <c r="K600" s="20">
        <v>0.76800000000000002</v>
      </c>
      <c r="L600" s="20">
        <v>0.83689999999999998</v>
      </c>
      <c r="M600" s="20">
        <v>0.90339999999999998</v>
      </c>
      <c r="N600" s="20">
        <v>0.96760000000000002</v>
      </c>
      <c r="O600" s="20">
        <v>1.0297000000000001</v>
      </c>
      <c r="P600" s="20">
        <v>1.0898000000000001</v>
      </c>
      <c r="Q600" s="20">
        <v>1.1480999999999999</v>
      </c>
      <c r="R600" s="20">
        <v>1.2045999999999999</v>
      </c>
      <c r="S600" s="20">
        <v>1.2595000000000001</v>
      </c>
      <c r="T600" s="20">
        <v>1.3129999999999999</v>
      </c>
      <c r="U600" s="20">
        <v>1.365</v>
      </c>
      <c r="V600" s="20">
        <v>1.4156</v>
      </c>
      <c r="W600"/>
      <c r="X600"/>
      <c r="Y600"/>
      <c r="Z600"/>
    </row>
    <row r="601" spans="1:26" x14ac:dyDescent="0.2">
      <c r="A601" s="19">
        <v>0.59499999999999997</v>
      </c>
      <c r="B601" s="20">
        <v>0</v>
      </c>
      <c r="C601" s="20">
        <v>0.1018</v>
      </c>
      <c r="D601" s="20">
        <v>0.19869999999999999</v>
      </c>
      <c r="E601" s="20">
        <v>0.29120000000000001</v>
      </c>
      <c r="F601" s="20">
        <v>0.3795</v>
      </c>
      <c r="G601" s="20">
        <v>0.46389999999999998</v>
      </c>
      <c r="H601" s="20">
        <v>0.54469999999999996</v>
      </c>
      <c r="I601" s="20">
        <v>0.62229999999999996</v>
      </c>
      <c r="J601" s="20">
        <v>0.69669999999999999</v>
      </c>
      <c r="K601" s="20">
        <v>0.76829999999999998</v>
      </c>
      <c r="L601" s="20">
        <v>0.83730000000000004</v>
      </c>
      <c r="M601" s="20">
        <v>0.90380000000000005</v>
      </c>
      <c r="N601" s="20">
        <v>0.96799999999999997</v>
      </c>
      <c r="O601" s="20">
        <v>1.0301</v>
      </c>
      <c r="P601" s="20">
        <v>1.0902000000000001</v>
      </c>
      <c r="Q601" s="20">
        <v>1.1485000000000001</v>
      </c>
      <c r="R601" s="20">
        <v>1.2051000000000001</v>
      </c>
      <c r="S601" s="20">
        <v>1.26</v>
      </c>
      <c r="T601" s="20">
        <v>1.3134999999999999</v>
      </c>
      <c r="U601" s="20">
        <v>1.3654999999999999</v>
      </c>
      <c r="V601" s="20">
        <v>1.4160999999999999</v>
      </c>
      <c r="W601"/>
      <c r="X601"/>
      <c r="Y601"/>
      <c r="Z601"/>
    </row>
    <row r="602" spans="1:26" x14ac:dyDescent="0.2">
      <c r="A602" s="19">
        <v>0.59599999999999997</v>
      </c>
      <c r="B602" s="20">
        <v>0</v>
      </c>
      <c r="C602" s="20">
        <v>0.1018</v>
      </c>
      <c r="D602" s="20">
        <v>0.1988</v>
      </c>
      <c r="E602" s="20">
        <v>0.2913</v>
      </c>
      <c r="F602" s="20">
        <v>0.37959999999999999</v>
      </c>
      <c r="G602" s="20">
        <v>0.46410000000000001</v>
      </c>
      <c r="H602" s="20">
        <v>0.54500000000000004</v>
      </c>
      <c r="I602" s="20">
        <v>0.62250000000000005</v>
      </c>
      <c r="J602" s="20">
        <v>0.69699999999999995</v>
      </c>
      <c r="K602" s="20">
        <v>0.76870000000000005</v>
      </c>
      <c r="L602" s="20">
        <v>0.83760000000000001</v>
      </c>
      <c r="M602" s="20">
        <v>0.9042</v>
      </c>
      <c r="N602" s="20">
        <v>0.96840000000000004</v>
      </c>
      <c r="O602" s="20">
        <v>1.0305</v>
      </c>
      <c r="P602" s="20">
        <v>1.0907</v>
      </c>
      <c r="Q602" s="20">
        <v>1.149</v>
      </c>
      <c r="R602" s="20">
        <v>1.2055</v>
      </c>
      <c r="S602" s="20">
        <v>1.2605</v>
      </c>
      <c r="T602" s="20">
        <v>1.3139000000000001</v>
      </c>
      <c r="U602" s="20">
        <v>1.3658999999999999</v>
      </c>
      <c r="V602" s="20">
        <v>1.4166000000000001</v>
      </c>
      <c r="W602"/>
      <c r="X602"/>
      <c r="Y602"/>
      <c r="Z602"/>
    </row>
    <row r="603" spans="1:26" x14ac:dyDescent="0.2">
      <c r="A603" s="19">
        <v>0.59699999999999998</v>
      </c>
      <c r="B603" s="20">
        <v>0</v>
      </c>
      <c r="C603" s="20">
        <v>0.1019</v>
      </c>
      <c r="D603" s="20">
        <v>0.19889999999999999</v>
      </c>
      <c r="E603" s="20">
        <v>0.29149999999999998</v>
      </c>
      <c r="F603" s="20">
        <v>0.37980000000000003</v>
      </c>
      <c r="G603" s="20">
        <v>0.46429999999999999</v>
      </c>
      <c r="H603" s="20">
        <v>0.54520000000000002</v>
      </c>
      <c r="I603" s="20">
        <v>0.62280000000000002</v>
      </c>
      <c r="J603" s="20">
        <v>0.69730000000000003</v>
      </c>
      <c r="K603" s="20">
        <v>0.76900000000000002</v>
      </c>
      <c r="L603" s="20">
        <v>0.83799999999999997</v>
      </c>
      <c r="M603" s="20">
        <v>0.90459999999999996</v>
      </c>
      <c r="N603" s="20">
        <v>0.96879999999999999</v>
      </c>
      <c r="O603" s="20">
        <v>1.0309999999999999</v>
      </c>
      <c r="P603" s="20">
        <v>1.0911</v>
      </c>
      <c r="Q603" s="20">
        <v>1.1494</v>
      </c>
      <c r="R603" s="20">
        <v>1.206</v>
      </c>
      <c r="S603" s="20">
        <v>1.2609999999999999</v>
      </c>
      <c r="T603" s="20">
        <v>1.3144</v>
      </c>
      <c r="U603" s="20">
        <v>1.3664000000000001</v>
      </c>
      <c r="V603" s="20">
        <v>1.4171</v>
      </c>
      <c r="W603"/>
      <c r="X603"/>
      <c r="Y603"/>
      <c r="Z603"/>
    </row>
    <row r="604" spans="1:26" x14ac:dyDescent="0.2">
      <c r="A604" s="19">
        <v>0.59799999999999998</v>
      </c>
      <c r="B604" s="20">
        <v>0</v>
      </c>
      <c r="C604" s="20">
        <v>0.1019</v>
      </c>
      <c r="D604" s="20">
        <v>0.19900000000000001</v>
      </c>
      <c r="E604" s="20">
        <v>0.29160000000000003</v>
      </c>
      <c r="F604" s="20">
        <v>0.38</v>
      </c>
      <c r="G604" s="20">
        <v>0.46450000000000002</v>
      </c>
      <c r="H604" s="20">
        <v>0.54549999999999998</v>
      </c>
      <c r="I604" s="20">
        <v>0.62309999999999999</v>
      </c>
      <c r="J604" s="20">
        <v>0.69769999999999999</v>
      </c>
      <c r="K604" s="20">
        <v>0.76929999999999998</v>
      </c>
      <c r="L604" s="20">
        <v>0.83840000000000003</v>
      </c>
      <c r="M604" s="20">
        <v>0.90490000000000004</v>
      </c>
      <c r="N604" s="20">
        <v>0.96919999999999995</v>
      </c>
      <c r="O604" s="20">
        <v>1.0314000000000001</v>
      </c>
      <c r="P604" s="20">
        <v>1.0915999999999999</v>
      </c>
      <c r="Q604" s="20">
        <v>1.1498999999999999</v>
      </c>
      <c r="R604" s="20">
        <v>1.2064999999999999</v>
      </c>
      <c r="S604" s="20">
        <v>1.2615000000000001</v>
      </c>
      <c r="T604" s="20">
        <v>1.3149</v>
      </c>
      <c r="U604" s="20">
        <v>1.3669</v>
      </c>
      <c r="V604" s="20">
        <v>1.4176</v>
      </c>
      <c r="W604"/>
      <c r="X604"/>
      <c r="Y604"/>
      <c r="Z604"/>
    </row>
    <row r="605" spans="1:26" x14ac:dyDescent="0.2">
      <c r="A605" s="19">
        <v>0.59899999999999998</v>
      </c>
      <c r="B605" s="20">
        <v>0</v>
      </c>
      <c r="C605" s="20">
        <v>0.10199999999999999</v>
      </c>
      <c r="D605" s="20">
        <v>0.1991</v>
      </c>
      <c r="E605" s="20">
        <v>0.29170000000000001</v>
      </c>
      <c r="F605" s="20">
        <v>0.38019999999999998</v>
      </c>
      <c r="G605" s="20">
        <v>0.46479999999999999</v>
      </c>
      <c r="H605" s="20">
        <v>0.54579999999999995</v>
      </c>
      <c r="I605" s="20">
        <v>0.62339999999999995</v>
      </c>
      <c r="J605" s="20">
        <v>0.69799999999999995</v>
      </c>
      <c r="K605" s="20">
        <v>0.76970000000000005</v>
      </c>
      <c r="L605" s="20">
        <v>0.8387</v>
      </c>
      <c r="M605" s="20">
        <v>0.90529999999999999</v>
      </c>
      <c r="N605" s="20">
        <v>0.96960000000000002</v>
      </c>
      <c r="O605" s="20">
        <v>1.0318000000000001</v>
      </c>
      <c r="P605" s="20">
        <v>1.0920000000000001</v>
      </c>
      <c r="Q605" s="20">
        <v>1.1503000000000001</v>
      </c>
      <c r="R605" s="20">
        <v>1.2069000000000001</v>
      </c>
      <c r="S605" s="20">
        <v>1.2619</v>
      </c>
      <c r="T605" s="20">
        <v>1.3153999999999999</v>
      </c>
      <c r="U605" s="20">
        <v>1.3673999999999999</v>
      </c>
      <c r="V605" s="20">
        <v>1.4179999999999999</v>
      </c>
      <c r="W605"/>
      <c r="X605"/>
      <c r="Y605"/>
      <c r="Z605"/>
    </row>
    <row r="606" spans="1:26" x14ac:dyDescent="0.2">
      <c r="A606" s="19">
        <v>0.6</v>
      </c>
      <c r="B606" s="20">
        <v>0</v>
      </c>
      <c r="C606" s="20">
        <v>0.10199999999999999</v>
      </c>
      <c r="D606" s="20">
        <v>0.19919999999999999</v>
      </c>
      <c r="E606" s="20">
        <v>0.29189999999999999</v>
      </c>
      <c r="F606" s="20">
        <v>0.38040000000000002</v>
      </c>
      <c r="G606" s="20">
        <v>0.46500000000000002</v>
      </c>
      <c r="H606" s="20">
        <v>0.54600000000000004</v>
      </c>
      <c r="I606" s="20">
        <v>0.62370000000000003</v>
      </c>
      <c r="J606" s="20">
        <v>0.69830000000000003</v>
      </c>
      <c r="K606" s="20">
        <v>0.77</v>
      </c>
      <c r="L606" s="20">
        <v>0.83909999999999996</v>
      </c>
      <c r="M606" s="20">
        <v>0.90569999999999995</v>
      </c>
      <c r="N606" s="20">
        <v>0.97009999999999996</v>
      </c>
      <c r="O606" s="20">
        <v>1.0322</v>
      </c>
      <c r="P606" s="20">
        <v>1.0925</v>
      </c>
      <c r="Q606" s="20">
        <v>1.1508</v>
      </c>
      <c r="R606" s="20">
        <v>1.2074</v>
      </c>
      <c r="S606" s="20">
        <v>1.2624</v>
      </c>
      <c r="T606" s="20">
        <v>1.3159000000000001</v>
      </c>
      <c r="U606" s="20">
        <v>1.3678999999999999</v>
      </c>
      <c r="V606" s="20">
        <v>1.4185000000000001</v>
      </c>
      <c r="W606"/>
      <c r="X606"/>
      <c r="Y606"/>
      <c r="Z606"/>
    </row>
    <row r="607" spans="1:26" x14ac:dyDescent="0.2">
      <c r="A607" s="19">
        <v>0.60099999999999998</v>
      </c>
      <c r="B607" s="20">
        <v>0</v>
      </c>
      <c r="C607" s="20">
        <v>0.1021</v>
      </c>
      <c r="D607" s="20">
        <v>0.1993</v>
      </c>
      <c r="E607" s="20">
        <v>0.29199999999999998</v>
      </c>
      <c r="F607" s="20">
        <v>0.38059999999999999</v>
      </c>
      <c r="G607" s="20">
        <v>0.4652</v>
      </c>
      <c r="H607" s="20">
        <v>0.54630000000000001</v>
      </c>
      <c r="I607" s="20">
        <v>0.624</v>
      </c>
      <c r="J607" s="20">
        <v>0.6986</v>
      </c>
      <c r="K607" s="20">
        <v>0.77039999999999997</v>
      </c>
      <c r="L607" s="20">
        <v>0.83950000000000002</v>
      </c>
      <c r="M607" s="20">
        <v>0.90610000000000002</v>
      </c>
      <c r="N607" s="20">
        <v>0.97050000000000003</v>
      </c>
      <c r="O607" s="20">
        <v>1.0327</v>
      </c>
      <c r="P607" s="20">
        <v>1.0929</v>
      </c>
      <c r="Q607" s="20">
        <v>1.1513</v>
      </c>
      <c r="R607" s="20">
        <v>1.2079</v>
      </c>
      <c r="S607" s="20">
        <v>1.2628999999999999</v>
      </c>
      <c r="T607" s="20">
        <v>1.3163</v>
      </c>
      <c r="U607" s="20">
        <v>1.3683000000000001</v>
      </c>
      <c r="V607" s="20">
        <v>1.419</v>
      </c>
      <c r="W607"/>
      <c r="X607"/>
      <c r="Y607"/>
      <c r="Z607"/>
    </row>
    <row r="608" spans="1:26" x14ac:dyDescent="0.2">
      <c r="A608" s="19">
        <v>0.60199999999999998</v>
      </c>
      <c r="B608" s="20">
        <v>0</v>
      </c>
      <c r="C608" s="20">
        <v>0.1021</v>
      </c>
      <c r="D608" s="20">
        <v>0.19939999999999999</v>
      </c>
      <c r="E608" s="20">
        <v>0.29220000000000002</v>
      </c>
      <c r="F608" s="20">
        <v>0.38069999999999998</v>
      </c>
      <c r="G608" s="20">
        <v>0.46539999999999998</v>
      </c>
      <c r="H608" s="20">
        <v>0.54649999999999999</v>
      </c>
      <c r="I608" s="20">
        <v>0.62429999999999997</v>
      </c>
      <c r="J608" s="20">
        <v>0.69889999999999997</v>
      </c>
      <c r="K608" s="20">
        <v>0.77070000000000005</v>
      </c>
      <c r="L608" s="20">
        <v>0.83989999999999998</v>
      </c>
      <c r="M608" s="20">
        <v>0.90649999999999997</v>
      </c>
      <c r="N608" s="20">
        <v>0.97089999999999999</v>
      </c>
      <c r="O608" s="20">
        <v>1.0330999999999999</v>
      </c>
      <c r="P608" s="20">
        <v>1.0932999999999999</v>
      </c>
      <c r="Q608" s="20">
        <v>1.1516999999999999</v>
      </c>
      <c r="R608" s="20">
        <v>1.2082999999999999</v>
      </c>
      <c r="S608" s="20">
        <v>1.2633000000000001</v>
      </c>
      <c r="T608" s="20">
        <v>1.3168</v>
      </c>
      <c r="U608" s="20">
        <v>1.3688</v>
      </c>
      <c r="V608" s="20">
        <v>1.4195</v>
      </c>
      <c r="W608"/>
      <c r="X608"/>
      <c r="Y608"/>
      <c r="Z608"/>
    </row>
    <row r="609" spans="1:26" x14ac:dyDescent="0.2">
      <c r="A609" s="19">
        <v>0.60299999999999998</v>
      </c>
      <c r="B609" s="20">
        <v>0</v>
      </c>
      <c r="C609" s="20">
        <v>0.1022</v>
      </c>
      <c r="D609" s="20">
        <v>0.19950000000000001</v>
      </c>
      <c r="E609" s="20">
        <v>0.2923</v>
      </c>
      <c r="F609" s="20">
        <v>0.38090000000000002</v>
      </c>
      <c r="G609" s="20">
        <v>0.46560000000000001</v>
      </c>
      <c r="H609" s="20">
        <v>0.54679999999999995</v>
      </c>
      <c r="I609" s="20">
        <v>0.62460000000000004</v>
      </c>
      <c r="J609" s="20">
        <v>0.69930000000000003</v>
      </c>
      <c r="K609" s="20">
        <v>0.77110000000000001</v>
      </c>
      <c r="L609" s="20">
        <v>0.84019999999999995</v>
      </c>
      <c r="M609" s="20">
        <v>0.90690000000000004</v>
      </c>
      <c r="N609" s="20">
        <v>0.97130000000000005</v>
      </c>
      <c r="O609" s="20">
        <v>1.0335000000000001</v>
      </c>
      <c r="P609" s="20">
        <v>1.0938000000000001</v>
      </c>
      <c r="Q609" s="20">
        <v>1.1521999999999999</v>
      </c>
      <c r="R609" s="20">
        <v>1.2088000000000001</v>
      </c>
      <c r="S609" s="20">
        <v>1.2638</v>
      </c>
      <c r="T609" s="20">
        <v>1.3172999999999999</v>
      </c>
      <c r="U609" s="20">
        <v>1.3693</v>
      </c>
      <c r="V609" s="20">
        <v>1.42</v>
      </c>
      <c r="W609"/>
      <c r="X609"/>
      <c r="Y609"/>
      <c r="Z609"/>
    </row>
    <row r="610" spans="1:26" x14ac:dyDescent="0.2">
      <c r="A610" s="19">
        <v>0.60399999999999998</v>
      </c>
      <c r="B610" s="20">
        <v>0</v>
      </c>
      <c r="C610" s="20">
        <v>0.1022</v>
      </c>
      <c r="D610" s="20">
        <v>0.1996</v>
      </c>
      <c r="E610" s="20">
        <v>0.29239999999999999</v>
      </c>
      <c r="F610" s="20">
        <v>0.38109999999999999</v>
      </c>
      <c r="G610" s="20">
        <v>0.46589999999999998</v>
      </c>
      <c r="H610" s="20">
        <v>0.54700000000000004</v>
      </c>
      <c r="I610" s="20">
        <v>0.62480000000000002</v>
      </c>
      <c r="J610" s="20">
        <v>0.6996</v>
      </c>
      <c r="K610" s="20">
        <v>0.77139999999999997</v>
      </c>
      <c r="L610" s="20">
        <v>0.84060000000000001</v>
      </c>
      <c r="M610" s="20">
        <v>0.9073</v>
      </c>
      <c r="N610" s="20">
        <v>0.97170000000000001</v>
      </c>
      <c r="O610" s="20">
        <v>1.034</v>
      </c>
      <c r="P610" s="20">
        <v>1.0942000000000001</v>
      </c>
      <c r="Q610" s="20">
        <v>1.1526000000000001</v>
      </c>
      <c r="R610" s="20">
        <v>1.2093</v>
      </c>
      <c r="S610" s="20">
        <v>1.2643</v>
      </c>
      <c r="T610" s="20">
        <v>1.3178000000000001</v>
      </c>
      <c r="U610" s="20">
        <v>1.3697999999999999</v>
      </c>
      <c r="V610" s="20">
        <v>1.4204000000000001</v>
      </c>
      <c r="W610"/>
      <c r="X610"/>
      <c r="Y610"/>
      <c r="Z610"/>
    </row>
    <row r="611" spans="1:26" x14ac:dyDescent="0.2">
      <c r="A611" s="19">
        <v>0.60499999999999998</v>
      </c>
      <c r="B611" s="20">
        <v>0</v>
      </c>
      <c r="C611" s="20">
        <v>0.1023</v>
      </c>
      <c r="D611" s="20">
        <v>0.19969999999999999</v>
      </c>
      <c r="E611" s="20">
        <v>0.29260000000000003</v>
      </c>
      <c r="F611" s="20">
        <v>0.38129999999999997</v>
      </c>
      <c r="G611" s="20">
        <v>0.46610000000000001</v>
      </c>
      <c r="H611" s="20">
        <v>0.54730000000000001</v>
      </c>
      <c r="I611" s="20">
        <v>0.62509999999999999</v>
      </c>
      <c r="J611" s="20">
        <v>0.69989999999999997</v>
      </c>
      <c r="K611" s="20">
        <v>0.77180000000000004</v>
      </c>
      <c r="L611" s="20">
        <v>0.84099999999999997</v>
      </c>
      <c r="M611" s="20">
        <v>0.90769999999999995</v>
      </c>
      <c r="N611" s="20">
        <v>0.97209999999999996</v>
      </c>
      <c r="O611" s="20">
        <v>1.0344</v>
      </c>
      <c r="P611" s="20">
        <v>1.0947</v>
      </c>
      <c r="Q611" s="20">
        <v>1.1531</v>
      </c>
      <c r="R611" s="20">
        <v>1.2097</v>
      </c>
      <c r="S611" s="20">
        <v>1.2647999999999999</v>
      </c>
      <c r="T611" s="20">
        <v>1.3182</v>
      </c>
      <c r="U611" s="20">
        <v>1.3703000000000001</v>
      </c>
      <c r="V611" s="20">
        <v>1.4209000000000001</v>
      </c>
      <c r="W611"/>
      <c r="X611"/>
      <c r="Y611"/>
      <c r="Z611"/>
    </row>
    <row r="612" spans="1:26" x14ac:dyDescent="0.2">
      <c r="A612" s="19">
        <v>0.60599999999999998</v>
      </c>
      <c r="B612" s="20">
        <v>0</v>
      </c>
      <c r="C612" s="20">
        <v>0.1023</v>
      </c>
      <c r="D612" s="20">
        <v>0.19980000000000001</v>
      </c>
      <c r="E612" s="20">
        <v>0.29270000000000002</v>
      </c>
      <c r="F612" s="20">
        <v>0.38150000000000001</v>
      </c>
      <c r="G612" s="20">
        <v>0.46629999999999999</v>
      </c>
      <c r="H612" s="20">
        <v>0.54749999999999999</v>
      </c>
      <c r="I612" s="20">
        <v>0.62539999999999996</v>
      </c>
      <c r="J612" s="20">
        <v>0.70020000000000004</v>
      </c>
      <c r="K612" s="20">
        <v>0.77210000000000001</v>
      </c>
      <c r="L612" s="20">
        <v>0.84130000000000005</v>
      </c>
      <c r="M612" s="20">
        <v>0.90810000000000002</v>
      </c>
      <c r="N612" s="20">
        <v>0.97250000000000003</v>
      </c>
      <c r="O612" s="20">
        <v>1.0347999999999999</v>
      </c>
      <c r="P612" s="20">
        <v>1.0951</v>
      </c>
      <c r="Q612" s="20">
        <v>1.1535</v>
      </c>
      <c r="R612" s="20">
        <v>1.2101999999999999</v>
      </c>
      <c r="S612" s="20">
        <v>1.2652000000000001</v>
      </c>
      <c r="T612" s="20">
        <v>1.3187</v>
      </c>
      <c r="U612" s="20">
        <v>1.3707</v>
      </c>
      <c r="V612" s="20">
        <v>1.4214</v>
      </c>
      <c r="W612"/>
      <c r="X612"/>
      <c r="Y612"/>
      <c r="Z612"/>
    </row>
    <row r="613" spans="1:26" x14ac:dyDescent="0.2">
      <c r="A613" s="19">
        <v>0.60699999999999998</v>
      </c>
      <c r="B613" s="20">
        <v>0</v>
      </c>
      <c r="C613" s="20">
        <v>0.1024</v>
      </c>
      <c r="D613" s="20">
        <v>0.19989999999999999</v>
      </c>
      <c r="E613" s="20">
        <v>0.29289999999999999</v>
      </c>
      <c r="F613" s="20">
        <v>0.38159999999999999</v>
      </c>
      <c r="G613" s="20">
        <v>0.46650000000000003</v>
      </c>
      <c r="H613" s="20">
        <v>0.54779999999999995</v>
      </c>
      <c r="I613" s="20">
        <v>0.62570000000000003</v>
      </c>
      <c r="J613" s="20">
        <v>0.70050000000000001</v>
      </c>
      <c r="K613" s="20">
        <v>0.77239999999999998</v>
      </c>
      <c r="L613" s="20">
        <v>0.8417</v>
      </c>
      <c r="M613" s="20">
        <v>0.90849999999999997</v>
      </c>
      <c r="N613" s="20">
        <v>0.97289999999999999</v>
      </c>
      <c r="O613" s="20">
        <v>1.0351999999999999</v>
      </c>
      <c r="P613" s="20">
        <v>1.0954999999999999</v>
      </c>
      <c r="Q613" s="20">
        <v>1.1539999999999999</v>
      </c>
      <c r="R613" s="20">
        <v>1.2107000000000001</v>
      </c>
      <c r="S613" s="20">
        <v>1.2657</v>
      </c>
      <c r="T613" s="20">
        <v>1.3191999999999999</v>
      </c>
      <c r="U613" s="20">
        <v>1.3712</v>
      </c>
      <c r="V613" s="20">
        <v>1.4218999999999999</v>
      </c>
      <c r="W613"/>
      <c r="X613"/>
      <c r="Y613"/>
      <c r="Z613"/>
    </row>
    <row r="614" spans="1:26" x14ac:dyDescent="0.2">
      <c r="A614" s="19">
        <v>0.60799999999999998</v>
      </c>
      <c r="B614" s="20">
        <v>0</v>
      </c>
      <c r="C614" s="20">
        <v>0.1024</v>
      </c>
      <c r="D614" s="20">
        <v>0.2</v>
      </c>
      <c r="E614" s="20">
        <v>0.29299999999999998</v>
      </c>
      <c r="F614" s="20">
        <v>0.38179999999999997</v>
      </c>
      <c r="G614" s="20">
        <v>0.4667</v>
      </c>
      <c r="H614" s="20">
        <v>0.54800000000000004</v>
      </c>
      <c r="I614" s="20">
        <v>0.626</v>
      </c>
      <c r="J614" s="20">
        <v>0.70079999999999998</v>
      </c>
      <c r="K614" s="20">
        <v>0.77280000000000004</v>
      </c>
      <c r="L614" s="20">
        <v>0.84209999999999996</v>
      </c>
      <c r="M614" s="20">
        <v>0.90890000000000004</v>
      </c>
      <c r="N614" s="20">
        <v>0.97330000000000005</v>
      </c>
      <c r="O614" s="20">
        <v>1.0357000000000001</v>
      </c>
      <c r="P614" s="20">
        <v>1.0960000000000001</v>
      </c>
      <c r="Q614" s="20">
        <v>1.1544000000000001</v>
      </c>
      <c r="R614" s="20">
        <v>1.2111000000000001</v>
      </c>
      <c r="S614" s="20">
        <v>1.2662</v>
      </c>
      <c r="T614" s="20">
        <v>1.3197000000000001</v>
      </c>
      <c r="U614" s="20">
        <v>1.3716999999999999</v>
      </c>
      <c r="V614" s="20">
        <v>1.4222999999999999</v>
      </c>
      <c r="W614"/>
      <c r="X614"/>
      <c r="Y614"/>
      <c r="Z614"/>
    </row>
    <row r="615" spans="1:26" x14ac:dyDescent="0.2">
      <c r="A615" s="19">
        <v>0.60899999999999999</v>
      </c>
      <c r="B615" s="20">
        <v>0</v>
      </c>
      <c r="C615" s="20">
        <v>0.10249999999999999</v>
      </c>
      <c r="D615" s="20">
        <v>0.2001</v>
      </c>
      <c r="E615" s="20">
        <v>0.29310000000000003</v>
      </c>
      <c r="F615" s="20">
        <v>0.38200000000000001</v>
      </c>
      <c r="G615" s="20">
        <v>0.46689999999999998</v>
      </c>
      <c r="H615" s="20">
        <v>0.54830000000000001</v>
      </c>
      <c r="I615" s="20">
        <v>0.62629999999999997</v>
      </c>
      <c r="J615" s="20">
        <v>0.70109999999999995</v>
      </c>
      <c r="K615" s="20">
        <v>0.77310000000000001</v>
      </c>
      <c r="L615" s="20">
        <v>0.84240000000000004</v>
      </c>
      <c r="M615" s="20">
        <v>0.90920000000000001</v>
      </c>
      <c r="N615" s="20">
        <v>0.97370000000000001</v>
      </c>
      <c r="O615" s="20">
        <v>1.0361</v>
      </c>
      <c r="P615" s="20">
        <v>1.0964</v>
      </c>
      <c r="Q615" s="20">
        <v>1.1549</v>
      </c>
      <c r="R615" s="20">
        <v>1.2116</v>
      </c>
      <c r="S615" s="20">
        <v>1.2665999999999999</v>
      </c>
      <c r="T615" s="20">
        <v>1.3201000000000001</v>
      </c>
      <c r="U615" s="20">
        <v>1.3722000000000001</v>
      </c>
      <c r="V615" s="20">
        <v>1.4228000000000001</v>
      </c>
      <c r="W615"/>
      <c r="X615"/>
      <c r="Y615"/>
      <c r="Z615"/>
    </row>
    <row r="616" spans="1:26" x14ac:dyDescent="0.2">
      <c r="A616" s="19">
        <v>0.61</v>
      </c>
      <c r="B616" s="20">
        <v>0</v>
      </c>
      <c r="C616" s="20">
        <v>0.10249999999999999</v>
      </c>
      <c r="D616" s="20">
        <v>0.20019999999999999</v>
      </c>
      <c r="E616" s="20">
        <v>0.29330000000000001</v>
      </c>
      <c r="F616" s="20">
        <v>0.38219999999999998</v>
      </c>
      <c r="G616" s="20">
        <v>0.4672</v>
      </c>
      <c r="H616" s="20">
        <v>0.54849999999999999</v>
      </c>
      <c r="I616" s="20">
        <v>0.62660000000000005</v>
      </c>
      <c r="J616" s="20">
        <v>0.70150000000000001</v>
      </c>
      <c r="K616" s="20">
        <v>0.77349999999999997</v>
      </c>
      <c r="L616" s="20">
        <v>0.84279999999999999</v>
      </c>
      <c r="M616" s="20">
        <v>0.90959999999999996</v>
      </c>
      <c r="N616" s="20">
        <v>0.97409999999999997</v>
      </c>
      <c r="O616" s="20">
        <v>1.0365</v>
      </c>
      <c r="P616" s="20">
        <v>1.0969</v>
      </c>
      <c r="Q616" s="20">
        <v>1.1553</v>
      </c>
      <c r="R616" s="20">
        <v>1.212</v>
      </c>
      <c r="S616" s="20">
        <v>1.2670999999999999</v>
      </c>
      <c r="T616" s="20">
        <v>1.3206</v>
      </c>
      <c r="U616" s="20">
        <v>1.3726</v>
      </c>
      <c r="V616" s="20">
        <v>1.4233</v>
      </c>
      <c r="W616"/>
      <c r="X616"/>
      <c r="Y616"/>
      <c r="Z616"/>
    </row>
    <row r="617" spans="1:26" x14ac:dyDescent="0.2">
      <c r="A617" s="19">
        <v>0.61099999999999999</v>
      </c>
      <c r="B617" s="20">
        <v>0</v>
      </c>
      <c r="C617" s="20">
        <v>0.1026</v>
      </c>
      <c r="D617" s="20">
        <v>0.20030000000000001</v>
      </c>
      <c r="E617" s="20">
        <v>0.29339999999999999</v>
      </c>
      <c r="F617" s="20">
        <v>0.38229999999999997</v>
      </c>
      <c r="G617" s="20">
        <v>0.46739999999999998</v>
      </c>
      <c r="H617" s="20">
        <v>0.54879999999999995</v>
      </c>
      <c r="I617" s="20">
        <v>0.62680000000000002</v>
      </c>
      <c r="J617" s="20">
        <v>0.70179999999999998</v>
      </c>
      <c r="K617" s="20">
        <v>0.77380000000000004</v>
      </c>
      <c r="L617" s="20">
        <v>0.84319999999999995</v>
      </c>
      <c r="M617" s="20">
        <v>0.91</v>
      </c>
      <c r="N617" s="20">
        <v>0.97460000000000002</v>
      </c>
      <c r="O617" s="20">
        <v>1.0368999999999999</v>
      </c>
      <c r="P617" s="20">
        <v>1.0972999999999999</v>
      </c>
      <c r="Q617" s="20">
        <v>1.1557999999999999</v>
      </c>
      <c r="R617" s="20">
        <v>1.2124999999999999</v>
      </c>
      <c r="S617" s="20">
        <v>1.2675000000000001</v>
      </c>
      <c r="T617" s="20">
        <v>1.3210999999999999</v>
      </c>
      <c r="U617" s="20">
        <v>1.3731</v>
      </c>
      <c r="V617" s="20">
        <v>1.4238</v>
      </c>
      <c r="W617"/>
      <c r="X617"/>
      <c r="Y617"/>
      <c r="Z617"/>
    </row>
    <row r="618" spans="1:26" x14ac:dyDescent="0.2">
      <c r="A618" s="19">
        <v>0.61199999999999999</v>
      </c>
      <c r="B618" s="20">
        <v>0</v>
      </c>
      <c r="C618" s="20">
        <v>0.1026</v>
      </c>
      <c r="D618" s="20">
        <v>0.20030000000000001</v>
      </c>
      <c r="E618" s="20">
        <v>0.29349999999999998</v>
      </c>
      <c r="F618" s="20">
        <v>0.38250000000000001</v>
      </c>
      <c r="G618" s="20">
        <v>0.46760000000000002</v>
      </c>
      <c r="H618" s="20">
        <v>0.54900000000000004</v>
      </c>
      <c r="I618" s="20">
        <v>0.62709999999999999</v>
      </c>
      <c r="J618" s="20">
        <v>0.70209999999999995</v>
      </c>
      <c r="K618" s="20">
        <v>0.77410000000000001</v>
      </c>
      <c r="L618" s="20">
        <v>0.84350000000000003</v>
      </c>
      <c r="M618" s="20">
        <v>0.91039999999999999</v>
      </c>
      <c r="N618" s="20">
        <v>0.97499999999999998</v>
      </c>
      <c r="O618" s="20">
        <v>1.0373000000000001</v>
      </c>
      <c r="P618" s="20">
        <v>1.0976999999999999</v>
      </c>
      <c r="Q618" s="20">
        <v>1.1561999999999999</v>
      </c>
      <c r="R618" s="20">
        <v>1.2129000000000001</v>
      </c>
      <c r="S618" s="20">
        <v>1.268</v>
      </c>
      <c r="T618" s="20">
        <v>1.3214999999999999</v>
      </c>
      <c r="U618" s="20">
        <v>1.3735999999999999</v>
      </c>
      <c r="V618" s="20">
        <v>1.4241999999999999</v>
      </c>
      <c r="W618"/>
      <c r="X618"/>
      <c r="Y618"/>
      <c r="Z618"/>
    </row>
    <row r="619" spans="1:26" x14ac:dyDescent="0.2">
      <c r="A619" s="19">
        <v>0.61299999999999999</v>
      </c>
      <c r="B619" s="20">
        <v>0</v>
      </c>
      <c r="C619" s="20">
        <v>0.1027</v>
      </c>
      <c r="D619" s="20">
        <v>0.20039999999999999</v>
      </c>
      <c r="E619" s="20">
        <v>0.29370000000000002</v>
      </c>
      <c r="F619" s="20">
        <v>0.38269999999999998</v>
      </c>
      <c r="G619" s="20">
        <v>0.46779999999999999</v>
      </c>
      <c r="H619" s="20">
        <v>0.54930000000000001</v>
      </c>
      <c r="I619" s="20">
        <v>0.62739999999999996</v>
      </c>
      <c r="J619" s="20">
        <v>0.70240000000000002</v>
      </c>
      <c r="K619" s="20">
        <v>0.77449999999999997</v>
      </c>
      <c r="L619" s="20">
        <v>0.84389999999999998</v>
      </c>
      <c r="M619" s="20">
        <v>0.91080000000000005</v>
      </c>
      <c r="N619" s="20">
        <v>0.97540000000000004</v>
      </c>
      <c r="O619" s="20">
        <v>1.0378000000000001</v>
      </c>
      <c r="P619" s="20">
        <v>1.0982000000000001</v>
      </c>
      <c r="Q619" s="20">
        <v>1.1567000000000001</v>
      </c>
      <c r="R619" s="20">
        <v>1.2134</v>
      </c>
      <c r="S619" s="20">
        <v>1.2685</v>
      </c>
      <c r="T619" s="20">
        <v>1.3220000000000001</v>
      </c>
      <c r="U619" s="20">
        <v>1.3741000000000001</v>
      </c>
      <c r="V619" s="20">
        <v>1.4247000000000001</v>
      </c>
      <c r="W619"/>
      <c r="X619"/>
      <c r="Y619"/>
      <c r="Z619"/>
    </row>
    <row r="620" spans="1:26" x14ac:dyDescent="0.2">
      <c r="A620" s="19">
        <v>0.61399999999999999</v>
      </c>
      <c r="B620" s="20">
        <v>0</v>
      </c>
      <c r="C620" s="20">
        <v>0.1027</v>
      </c>
      <c r="D620" s="20">
        <v>0.20050000000000001</v>
      </c>
      <c r="E620" s="20">
        <v>0.29380000000000001</v>
      </c>
      <c r="F620" s="20">
        <v>0.38290000000000002</v>
      </c>
      <c r="G620" s="20">
        <v>0.46800000000000003</v>
      </c>
      <c r="H620" s="20">
        <v>0.54949999999999999</v>
      </c>
      <c r="I620" s="20">
        <v>0.62770000000000004</v>
      </c>
      <c r="J620" s="20">
        <v>0.70269999999999999</v>
      </c>
      <c r="K620" s="20">
        <v>0.77480000000000004</v>
      </c>
      <c r="L620" s="20">
        <v>0.84419999999999995</v>
      </c>
      <c r="M620" s="20">
        <v>0.91120000000000001</v>
      </c>
      <c r="N620" s="20">
        <v>0.9758</v>
      </c>
      <c r="O620" s="20">
        <v>1.0382</v>
      </c>
      <c r="P620" s="20">
        <v>1.0986</v>
      </c>
      <c r="Q620" s="20">
        <v>1.1571</v>
      </c>
      <c r="R620" s="20">
        <v>1.2139</v>
      </c>
      <c r="S620" s="20">
        <v>1.2688999999999999</v>
      </c>
      <c r="T620" s="20">
        <v>1.3225</v>
      </c>
      <c r="U620" s="20">
        <v>1.3745000000000001</v>
      </c>
      <c r="V620" s="20">
        <v>1.4252</v>
      </c>
      <c r="W620"/>
      <c r="X620"/>
      <c r="Y620"/>
      <c r="Z620"/>
    </row>
    <row r="621" spans="1:26" x14ac:dyDescent="0.2">
      <c r="A621" s="19">
        <v>0.61499999999999999</v>
      </c>
      <c r="B621" s="20">
        <v>0</v>
      </c>
      <c r="C621" s="20">
        <v>0.1028</v>
      </c>
      <c r="D621" s="20">
        <v>0.2006</v>
      </c>
      <c r="E621" s="20">
        <v>0.29399999999999998</v>
      </c>
      <c r="F621" s="20">
        <v>0.3831</v>
      </c>
      <c r="G621" s="20">
        <v>0.46820000000000001</v>
      </c>
      <c r="H621" s="20">
        <v>0.54979999999999996</v>
      </c>
      <c r="I621" s="20">
        <v>0.628</v>
      </c>
      <c r="J621" s="20">
        <v>0.70299999999999996</v>
      </c>
      <c r="K621" s="20">
        <v>0.7752</v>
      </c>
      <c r="L621" s="20">
        <v>0.84460000000000002</v>
      </c>
      <c r="M621" s="20">
        <v>0.91159999999999997</v>
      </c>
      <c r="N621" s="20">
        <v>0.97619999999999996</v>
      </c>
      <c r="O621" s="20">
        <v>1.0386</v>
      </c>
      <c r="P621" s="20">
        <v>1.099</v>
      </c>
      <c r="Q621" s="20">
        <v>1.1576</v>
      </c>
      <c r="R621" s="20">
        <v>1.2142999999999999</v>
      </c>
      <c r="S621" s="20">
        <v>1.2694000000000001</v>
      </c>
      <c r="T621" s="20">
        <v>1.3229</v>
      </c>
      <c r="U621" s="20">
        <v>1.375</v>
      </c>
      <c r="V621" s="20">
        <v>1.4257</v>
      </c>
      <c r="W621"/>
      <c r="X621"/>
      <c r="Y621"/>
      <c r="Z621"/>
    </row>
    <row r="622" spans="1:26" x14ac:dyDescent="0.2">
      <c r="A622" s="19">
        <v>0.61599999999999999</v>
      </c>
      <c r="B622" s="20">
        <v>0</v>
      </c>
      <c r="C622" s="20">
        <v>0.1028</v>
      </c>
      <c r="D622" s="20">
        <v>0.20069999999999999</v>
      </c>
      <c r="E622" s="20">
        <v>0.29409999999999997</v>
      </c>
      <c r="F622" s="20">
        <v>0.38319999999999999</v>
      </c>
      <c r="G622" s="20">
        <v>0.46839999999999998</v>
      </c>
      <c r="H622" s="20">
        <v>0.55000000000000004</v>
      </c>
      <c r="I622" s="20">
        <v>0.62819999999999998</v>
      </c>
      <c r="J622" s="20">
        <v>0.70330000000000004</v>
      </c>
      <c r="K622" s="20">
        <v>0.77549999999999997</v>
      </c>
      <c r="L622" s="20">
        <v>0.84499999999999997</v>
      </c>
      <c r="M622" s="20">
        <v>0.91190000000000004</v>
      </c>
      <c r="N622" s="20">
        <v>0.97660000000000002</v>
      </c>
      <c r="O622" s="20">
        <v>1.0389999999999999</v>
      </c>
      <c r="P622" s="20">
        <v>1.0994999999999999</v>
      </c>
      <c r="Q622" s="20">
        <v>1.1579999999999999</v>
      </c>
      <c r="R622" s="20">
        <v>1.2148000000000001</v>
      </c>
      <c r="S622" s="20">
        <v>1.2699</v>
      </c>
      <c r="T622" s="20">
        <v>1.3233999999999999</v>
      </c>
      <c r="U622" s="20">
        <v>1.3754999999999999</v>
      </c>
      <c r="V622" s="20">
        <v>1.4260999999999999</v>
      </c>
      <c r="W622"/>
      <c r="X622"/>
      <c r="Y622"/>
      <c r="Z622"/>
    </row>
    <row r="623" spans="1:26" x14ac:dyDescent="0.2">
      <c r="A623" s="19">
        <v>0.61699999999999999</v>
      </c>
      <c r="B623" s="20">
        <v>0</v>
      </c>
      <c r="C623" s="20">
        <v>0.10290000000000001</v>
      </c>
      <c r="D623" s="20">
        <v>0.20080000000000001</v>
      </c>
      <c r="E623" s="20">
        <v>0.29420000000000002</v>
      </c>
      <c r="F623" s="20">
        <v>0.38340000000000002</v>
      </c>
      <c r="G623" s="20">
        <v>0.46870000000000001</v>
      </c>
      <c r="H623" s="20">
        <v>0.55030000000000001</v>
      </c>
      <c r="I623" s="20">
        <v>0.62849999999999995</v>
      </c>
      <c r="J623" s="20">
        <v>0.7036</v>
      </c>
      <c r="K623" s="20">
        <v>0.77580000000000005</v>
      </c>
      <c r="L623" s="20">
        <v>0.84530000000000005</v>
      </c>
      <c r="M623" s="20">
        <v>0.9123</v>
      </c>
      <c r="N623" s="20">
        <v>0.97699999999999998</v>
      </c>
      <c r="O623" s="20">
        <v>1.0394000000000001</v>
      </c>
      <c r="P623" s="20">
        <v>1.0999000000000001</v>
      </c>
      <c r="Q623" s="20">
        <v>1.1584000000000001</v>
      </c>
      <c r="R623" s="20">
        <v>1.2152000000000001</v>
      </c>
      <c r="S623" s="20">
        <v>1.2703</v>
      </c>
      <c r="T623" s="20">
        <v>1.3239000000000001</v>
      </c>
      <c r="U623" s="20">
        <v>1.3758999999999999</v>
      </c>
      <c r="V623" s="20">
        <v>1.4266000000000001</v>
      </c>
      <c r="W623"/>
      <c r="X623"/>
      <c r="Y623"/>
      <c r="Z623"/>
    </row>
    <row r="624" spans="1:26" x14ac:dyDescent="0.2">
      <c r="A624" s="19">
        <v>0.61799999999999999</v>
      </c>
      <c r="B624" s="20">
        <v>0</v>
      </c>
      <c r="C624" s="20">
        <v>0.10290000000000001</v>
      </c>
      <c r="D624" s="20">
        <v>0.2009</v>
      </c>
      <c r="E624" s="20">
        <v>0.2944</v>
      </c>
      <c r="F624" s="20">
        <v>0.3836</v>
      </c>
      <c r="G624" s="20">
        <v>0.46889999999999998</v>
      </c>
      <c r="H624" s="20">
        <v>0.55049999999999999</v>
      </c>
      <c r="I624" s="20">
        <v>0.62880000000000003</v>
      </c>
      <c r="J624" s="20">
        <v>0.70389999999999997</v>
      </c>
      <c r="K624" s="20">
        <v>0.7762</v>
      </c>
      <c r="L624" s="20">
        <v>0.84570000000000001</v>
      </c>
      <c r="M624" s="20">
        <v>0.91269999999999996</v>
      </c>
      <c r="N624" s="20">
        <v>0.97740000000000005</v>
      </c>
      <c r="O624" s="20">
        <v>1.0399</v>
      </c>
      <c r="P624" s="20">
        <v>1.1003000000000001</v>
      </c>
      <c r="Q624" s="20">
        <v>1.1589</v>
      </c>
      <c r="R624" s="20">
        <v>1.2157</v>
      </c>
      <c r="S624" s="20">
        <v>1.2707999999999999</v>
      </c>
      <c r="T624" s="20">
        <v>1.3243</v>
      </c>
      <c r="U624" s="20">
        <v>1.3764000000000001</v>
      </c>
      <c r="V624" s="20">
        <v>1.4271</v>
      </c>
      <c r="W624"/>
      <c r="X624"/>
      <c r="Y624"/>
      <c r="Z624"/>
    </row>
    <row r="625" spans="1:26" x14ac:dyDescent="0.2">
      <c r="A625" s="19">
        <v>0.61899999999999999</v>
      </c>
      <c r="B625" s="20">
        <v>0</v>
      </c>
      <c r="C625" s="20">
        <v>0.10299999999999999</v>
      </c>
      <c r="D625" s="20">
        <v>0.20100000000000001</v>
      </c>
      <c r="E625" s="20">
        <v>0.29449999999999998</v>
      </c>
      <c r="F625" s="20">
        <v>0.38379999999999997</v>
      </c>
      <c r="G625" s="20">
        <v>0.46910000000000002</v>
      </c>
      <c r="H625" s="20">
        <v>0.55079999999999996</v>
      </c>
      <c r="I625" s="20">
        <v>0.62909999999999999</v>
      </c>
      <c r="J625" s="20">
        <v>0.70430000000000004</v>
      </c>
      <c r="K625" s="20">
        <v>0.77649999999999997</v>
      </c>
      <c r="L625" s="20">
        <v>0.84609999999999996</v>
      </c>
      <c r="M625" s="20">
        <v>0.91310000000000002</v>
      </c>
      <c r="N625" s="20">
        <v>0.9778</v>
      </c>
      <c r="O625" s="20">
        <v>1.0403</v>
      </c>
      <c r="P625" s="20">
        <v>1.1008</v>
      </c>
      <c r="Q625" s="20">
        <v>1.1593</v>
      </c>
      <c r="R625" s="20">
        <v>1.2161</v>
      </c>
      <c r="S625" s="20">
        <v>1.2712000000000001</v>
      </c>
      <c r="T625" s="20">
        <v>1.3248</v>
      </c>
      <c r="U625" s="20">
        <v>1.3769</v>
      </c>
      <c r="V625" s="20">
        <v>1.4275</v>
      </c>
      <c r="W625"/>
      <c r="X625"/>
      <c r="Y625"/>
      <c r="Z625"/>
    </row>
    <row r="626" spans="1:26" x14ac:dyDescent="0.2">
      <c r="A626" s="19">
        <v>0.62</v>
      </c>
      <c r="B626" s="20">
        <v>0</v>
      </c>
      <c r="C626" s="20">
        <v>0.10299999999999999</v>
      </c>
      <c r="D626" s="20">
        <v>0.2011</v>
      </c>
      <c r="E626" s="20">
        <v>0.29459999999999997</v>
      </c>
      <c r="F626" s="20">
        <v>0.38390000000000002</v>
      </c>
      <c r="G626" s="20">
        <v>0.46929999999999999</v>
      </c>
      <c r="H626" s="20">
        <v>0.55100000000000005</v>
      </c>
      <c r="I626" s="20">
        <v>0.62939999999999996</v>
      </c>
      <c r="J626" s="20">
        <v>0.7046</v>
      </c>
      <c r="K626" s="20">
        <v>0.77680000000000005</v>
      </c>
      <c r="L626" s="20">
        <v>0.84640000000000004</v>
      </c>
      <c r="M626" s="20">
        <v>0.91349999999999998</v>
      </c>
      <c r="N626" s="20">
        <v>0.97819999999999996</v>
      </c>
      <c r="O626" s="20">
        <v>1.0407</v>
      </c>
      <c r="P626" s="20">
        <v>1.1012</v>
      </c>
      <c r="Q626" s="20">
        <v>1.1597999999999999</v>
      </c>
      <c r="R626" s="20">
        <v>1.2165999999999999</v>
      </c>
      <c r="S626" s="20">
        <v>1.2717000000000001</v>
      </c>
      <c r="T626" s="20">
        <v>1.3252999999999999</v>
      </c>
      <c r="U626" s="20">
        <v>1.3773</v>
      </c>
      <c r="V626" s="20">
        <v>1.4279999999999999</v>
      </c>
      <c r="W626"/>
      <c r="X626"/>
      <c r="Y626"/>
      <c r="Z626"/>
    </row>
    <row r="627" spans="1:26" x14ac:dyDescent="0.2">
      <c r="A627" s="19">
        <v>0.621</v>
      </c>
      <c r="B627" s="20">
        <v>0</v>
      </c>
      <c r="C627" s="20">
        <v>0.10299999999999999</v>
      </c>
      <c r="D627" s="20">
        <v>0.20119999999999999</v>
      </c>
      <c r="E627" s="20">
        <v>0.29480000000000001</v>
      </c>
      <c r="F627" s="20">
        <v>0.3841</v>
      </c>
      <c r="G627" s="20">
        <v>0.46949999999999997</v>
      </c>
      <c r="H627" s="20">
        <v>0.55130000000000001</v>
      </c>
      <c r="I627" s="20">
        <v>0.62960000000000005</v>
      </c>
      <c r="J627" s="20">
        <v>0.70489999999999997</v>
      </c>
      <c r="K627" s="20">
        <v>0.7772</v>
      </c>
      <c r="L627" s="20">
        <v>0.8468</v>
      </c>
      <c r="M627" s="20">
        <v>0.91379999999999995</v>
      </c>
      <c r="N627" s="20">
        <v>0.97860000000000003</v>
      </c>
      <c r="O627" s="20">
        <v>1.0410999999999999</v>
      </c>
      <c r="P627" s="20">
        <v>1.1015999999999999</v>
      </c>
      <c r="Q627" s="20">
        <v>1.1601999999999999</v>
      </c>
      <c r="R627" s="20">
        <v>1.2170000000000001</v>
      </c>
      <c r="S627" s="20">
        <v>1.2722</v>
      </c>
      <c r="T627" s="20">
        <v>1.3257000000000001</v>
      </c>
      <c r="U627" s="20">
        <v>1.3777999999999999</v>
      </c>
      <c r="V627" s="20">
        <v>1.4285000000000001</v>
      </c>
      <c r="W627"/>
      <c r="X627"/>
      <c r="Y627"/>
      <c r="Z627"/>
    </row>
    <row r="628" spans="1:26" x14ac:dyDescent="0.2">
      <c r="A628" s="19">
        <v>0.622</v>
      </c>
      <c r="B628" s="20">
        <v>0</v>
      </c>
      <c r="C628" s="20">
        <v>0.1031</v>
      </c>
      <c r="D628" s="20">
        <v>0.20130000000000001</v>
      </c>
      <c r="E628" s="20">
        <v>0.2949</v>
      </c>
      <c r="F628" s="20">
        <v>0.38429999999999997</v>
      </c>
      <c r="G628" s="20">
        <v>0.46970000000000001</v>
      </c>
      <c r="H628" s="20">
        <v>0.55149999999999999</v>
      </c>
      <c r="I628" s="20">
        <v>0.62990000000000002</v>
      </c>
      <c r="J628" s="20">
        <v>0.70520000000000005</v>
      </c>
      <c r="K628" s="20">
        <v>0.77749999999999997</v>
      </c>
      <c r="L628" s="20">
        <v>0.84709999999999996</v>
      </c>
      <c r="M628" s="20">
        <v>0.91420000000000001</v>
      </c>
      <c r="N628" s="20">
        <v>0.97899999999999998</v>
      </c>
      <c r="O628" s="20">
        <v>1.0415000000000001</v>
      </c>
      <c r="P628" s="20">
        <v>1.1020000000000001</v>
      </c>
      <c r="Q628" s="20">
        <v>1.1606000000000001</v>
      </c>
      <c r="R628" s="20">
        <v>1.2175</v>
      </c>
      <c r="S628" s="20">
        <v>1.2726</v>
      </c>
      <c r="T628" s="20">
        <v>1.3262</v>
      </c>
      <c r="U628" s="20">
        <v>1.3783000000000001</v>
      </c>
      <c r="V628" s="20">
        <v>1.4289000000000001</v>
      </c>
      <c r="W628"/>
      <c r="X628"/>
      <c r="Y628"/>
      <c r="Z628"/>
    </row>
    <row r="629" spans="1:26" x14ac:dyDescent="0.2">
      <c r="A629" s="19">
        <v>0.623</v>
      </c>
      <c r="B629" s="20">
        <v>0</v>
      </c>
      <c r="C629" s="20">
        <v>0.1031</v>
      </c>
      <c r="D629" s="20">
        <v>0.2014</v>
      </c>
      <c r="E629" s="20">
        <v>0.29499999999999998</v>
      </c>
      <c r="F629" s="20">
        <v>0.38450000000000001</v>
      </c>
      <c r="G629" s="20">
        <v>0.46989999999999998</v>
      </c>
      <c r="H629" s="20">
        <v>0.55179999999999996</v>
      </c>
      <c r="I629" s="20">
        <v>0.63019999999999998</v>
      </c>
      <c r="J629" s="20">
        <v>0.70550000000000002</v>
      </c>
      <c r="K629" s="20">
        <v>0.77780000000000005</v>
      </c>
      <c r="L629" s="20">
        <v>0.84750000000000003</v>
      </c>
      <c r="M629" s="20">
        <v>0.91459999999999997</v>
      </c>
      <c r="N629" s="20">
        <v>0.97940000000000005</v>
      </c>
      <c r="O629" s="20">
        <v>1.0419</v>
      </c>
      <c r="P629" s="20">
        <v>1.1025</v>
      </c>
      <c r="Q629" s="20">
        <v>1.1611</v>
      </c>
      <c r="R629" s="20">
        <v>1.2179</v>
      </c>
      <c r="S629" s="20">
        <v>1.2730999999999999</v>
      </c>
      <c r="T629" s="20">
        <v>1.3266</v>
      </c>
      <c r="U629" s="20">
        <v>1.3787</v>
      </c>
      <c r="V629" s="20">
        <v>1.4294</v>
      </c>
      <c r="W629"/>
      <c r="X629"/>
      <c r="Y629"/>
      <c r="Z629"/>
    </row>
    <row r="630" spans="1:26" x14ac:dyDescent="0.2">
      <c r="A630" s="19">
        <v>0.624</v>
      </c>
      <c r="B630" s="20">
        <v>0</v>
      </c>
      <c r="C630" s="20">
        <v>0.1032</v>
      </c>
      <c r="D630" s="20">
        <v>0.20150000000000001</v>
      </c>
      <c r="E630" s="20">
        <v>0.29520000000000002</v>
      </c>
      <c r="F630" s="20">
        <v>0.3846</v>
      </c>
      <c r="G630" s="20">
        <v>0.47010000000000002</v>
      </c>
      <c r="H630" s="20">
        <v>0.55200000000000005</v>
      </c>
      <c r="I630" s="20">
        <v>0.63049999999999995</v>
      </c>
      <c r="J630" s="20">
        <v>0.70579999999999998</v>
      </c>
      <c r="K630" s="20">
        <v>0.7782</v>
      </c>
      <c r="L630" s="20">
        <v>0.8478</v>
      </c>
      <c r="M630" s="20">
        <v>0.91500000000000004</v>
      </c>
      <c r="N630" s="20">
        <v>0.9798</v>
      </c>
      <c r="O630" s="20">
        <v>1.0423</v>
      </c>
      <c r="P630" s="20">
        <v>1.1029</v>
      </c>
      <c r="Q630" s="20">
        <v>1.1615</v>
      </c>
      <c r="R630" s="20">
        <v>1.2183999999999999</v>
      </c>
      <c r="S630" s="20">
        <v>1.2735000000000001</v>
      </c>
      <c r="T630" s="20">
        <v>1.3270999999999999</v>
      </c>
      <c r="U630" s="20">
        <v>1.3792</v>
      </c>
      <c r="V630" s="20">
        <v>1.4298999999999999</v>
      </c>
      <c r="W630"/>
      <c r="X630"/>
      <c r="Y630"/>
      <c r="Z630"/>
    </row>
    <row r="631" spans="1:26" x14ac:dyDescent="0.2">
      <c r="A631" s="19">
        <v>0.625</v>
      </c>
      <c r="B631" s="20">
        <v>0</v>
      </c>
      <c r="C631" s="20">
        <v>0.1032</v>
      </c>
      <c r="D631" s="20">
        <v>0.2016</v>
      </c>
      <c r="E631" s="20">
        <v>0.29530000000000001</v>
      </c>
      <c r="F631" s="20">
        <v>0.38479999999999998</v>
      </c>
      <c r="G631" s="20">
        <v>0.47039999999999998</v>
      </c>
      <c r="H631" s="20">
        <v>0.55230000000000001</v>
      </c>
      <c r="I631" s="20">
        <v>0.63070000000000004</v>
      </c>
      <c r="J631" s="20">
        <v>0.70609999999999995</v>
      </c>
      <c r="K631" s="20">
        <v>0.77849999999999997</v>
      </c>
      <c r="L631" s="20">
        <v>0.84819999999999995</v>
      </c>
      <c r="M631" s="20">
        <v>0.91539999999999999</v>
      </c>
      <c r="N631" s="20">
        <v>0.98019999999999996</v>
      </c>
      <c r="O631" s="20">
        <v>1.0427999999999999</v>
      </c>
      <c r="P631" s="20">
        <v>1.1032999999999999</v>
      </c>
      <c r="Q631" s="20">
        <v>1.1619999999999999</v>
      </c>
      <c r="R631" s="20">
        <v>1.2188000000000001</v>
      </c>
      <c r="S631" s="20">
        <v>1.274</v>
      </c>
      <c r="T631" s="20">
        <v>1.3275999999999999</v>
      </c>
      <c r="U631" s="20">
        <v>1.3795999999999999</v>
      </c>
      <c r="V631" s="20">
        <v>1.4302999999999999</v>
      </c>
      <c r="W631"/>
      <c r="X631"/>
      <c r="Y631"/>
      <c r="Z631"/>
    </row>
    <row r="632" spans="1:26" x14ac:dyDescent="0.2">
      <c r="A632" s="19">
        <v>0.626</v>
      </c>
      <c r="B632" s="20">
        <v>0</v>
      </c>
      <c r="C632" s="20">
        <v>0.1033</v>
      </c>
      <c r="D632" s="20">
        <v>0.2016</v>
      </c>
      <c r="E632" s="20">
        <v>0.2954</v>
      </c>
      <c r="F632" s="20">
        <v>0.38500000000000001</v>
      </c>
      <c r="G632" s="20">
        <v>0.47060000000000002</v>
      </c>
      <c r="H632" s="20">
        <v>0.55249999999999999</v>
      </c>
      <c r="I632" s="20">
        <v>0.63100000000000001</v>
      </c>
      <c r="J632" s="20">
        <v>0.70640000000000003</v>
      </c>
      <c r="K632" s="20">
        <v>0.77880000000000005</v>
      </c>
      <c r="L632" s="20">
        <v>0.84860000000000002</v>
      </c>
      <c r="M632" s="20">
        <v>0.91569999999999996</v>
      </c>
      <c r="N632" s="20">
        <v>0.98060000000000003</v>
      </c>
      <c r="O632" s="20">
        <v>1.0431999999999999</v>
      </c>
      <c r="P632" s="20">
        <v>1.1036999999999999</v>
      </c>
      <c r="Q632" s="20">
        <v>1.1624000000000001</v>
      </c>
      <c r="R632" s="20">
        <v>1.2193000000000001</v>
      </c>
      <c r="S632" s="20">
        <v>1.2744</v>
      </c>
      <c r="T632" s="20">
        <v>1.3280000000000001</v>
      </c>
      <c r="U632" s="20">
        <v>1.3801000000000001</v>
      </c>
      <c r="V632" s="20">
        <v>1.4308000000000001</v>
      </c>
      <c r="W632"/>
      <c r="X632"/>
      <c r="Y632"/>
      <c r="Z632"/>
    </row>
    <row r="633" spans="1:26" x14ac:dyDescent="0.2">
      <c r="A633" s="19">
        <v>0.627</v>
      </c>
      <c r="B633" s="20">
        <v>0</v>
      </c>
      <c r="C633" s="20">
        <v>0.1033</v>
      </c>
      <c r="D633" s="20">
        <v>0.20169999999999999</v>
      </c>
      <c r="E633" s="20">
        <v>0.29559999999999997</v>
      </c>
      <c r="F633" s="20">
        <v>0.3851</v>
      </c>
      <c r="G633" s="20">
        <v>0.4708</v>
      </c>
      <c r="H633" s="20">
        <v>0.55269999999999997</v>
      </c>
      <c r="I633" s="20">
        <v>0.63129999999999997</v>
      </c>
      <c r="J633" s="20">
        <v>0.70669999999999999</v>
      </c>
      <c r="K633" s="20">
        <v>0.7792</v>
      </c>
      <c r="L633" s="20">
        <v>0.84889999999999999</v>
      </c>
      <c r="M633" s="20">
        <v>0.91610000000000003</v>
      </c>
      <c r="N633" s="20">
        <v>0.98089999999999999</v>
      </c>
      <c r="O633" s="20">
        <v>1.0436000000000001</v>
      </c>
      <c r="P633" s="20">
        <v>1.1042000000000001</v>
      </c>
      <c r="Q633" s="20">
        <v>1.1628000000000001</v>
      </c>
      <c r="R633" s="20">
        <v>1.2197</v>
      </c>
      <c r="S633" s="20">
        <v>1.2748999999999999</v>
      </c>
      <c r="T633" s="20">
        <v>1.3285</v>
      </c>
      <c r="U633" s="20">
        <v>1.3806</v>
      </c>
      <c r="V633" s="20">
        <v>1.4312</v>
      </c>
      <c r="W633"/>
      <c r="X633"/>
      <c r="Y633"/>
      <c r="Z633"/>
    </row>
    <row r="634" spans="1:26" x14ac:dyDescent="0.2">
      <c r="A634" s="19">
        <v>0.628</v>
      </c>
      <c r="B634" s="20">
        <v>0</v>
      </c>
      <c r="C634" s="20">
        <v>0.10340000000000001</v>
      </c>
      <c r="D634" s="20">
        <v>0.20180000000000001</v>
      </c>
      <c r="E634" s="20">
        <v>0.29570000000000002</v>
      </c>
      <c r="F634" s="20">
        <v>0.38529999999999998</v>
      </c>
      <c r="G634" s="20">
        <v>0.47099999999999997</v>
      </c>
      <c r="H634" s="20">
        <v>0.55300000000000005</v>
      </c>
      <c r="I634" s="20">
        <v>0.63160000000000005</v>
      </c>
      <c r="J634" s="20">
        <v>0.70699999999999996</v>
      </c>
      <c r="K634" s="20">
        <v>0.77949999999999997</v>
      </c>
      <c r="L634" s="20">
        <v>0.84930000000000005</v>
      </c>
      <c r="M634" s="20">
        <v>0.91649999999999998</v>
      </c>
      <c r="N634" s="20">
        <v>0.98129999999999995</v>
      </c>
      <c r="O634" s="20">
        <v>1.044</v>
      </c>
      <c r="P634" s="20">
        <v>1.1046</v>
      </c>
      <c r="Q634" s="20">
        <v>1.1633</v>
      </c>
      <c r="R634" s="20">
        <v>1.2201</v>
      </c>
      <c r="S634" s="20">
        <v>1.2753000000000001</v>
      </c>
      <c r="T634" s="20">
        <v>1.3289</v>
      </c>
      <c r="U634" s="20">
        <v>1.381</v>
      </c>
      <c r="V634" s="20">
        <v>1.4317</v>
      </c>
      <c r="W634"/>
      <c r="X634"/>
      <c r="Y634"/>
      <c r="Z634"/>
    </row>
    <row r="635" spans="1:26" x14ac:dyDescent="0.2">
      <c r="A635" s="19">
        <v>0.629</v>
      </c>
      <c r="B635" s="20">
        <v>0</v>
      </c>
      <c r="C635" s="20">
        <v>0.10340000000000001</v>
      </c>
      <c r="D635" s="20">
        <v>0.2019</v>
      </c>
      <c r="E635" s="20">
        <v>0.29580000000000001</v>
      </c>
      <c r="F635" s="20">
        <v>0.38550000000000001</v>
      </c>
      <c r="G635" s="20">
        <v>0.47120000000000001</v>
      </c>
      <c r="H635" s="20">
        <v>0.55320000000000003</v>
      </c>
      <c r="I635" s="20">
        <v>0.63190000000000002</v>
      </c>
      <c r="J635" s="20">
        <v>0.70730000000000004</v>
      </c>
      <c r="K635" s="20">
        <v>0.77980000000000005</v>
      </c>
      <c r="L635" s="20">
        <v>0.84960000000000002</v>
      </c>
      <c r="M635" s="20">
        <v>0.91690000000000005</v>
      </c>
      <c r="N635" s="20">
        <v>0.98170000000000002</v>
      </c>
      <c r="O635" s="20">
        <v>1.0444</v>
      </c>
      <c r="P635" s="20">
        <v>1.105</v>
      </c>
      <c r="Q635" s="20">
        <v>1.1637</v>
      </c>
      <c r="R635" s="20">
        <v>1.2205999999999999</v>
      </c>
      <c r="S635" s="20">
        <v>1.2758</v>
      </c>
      <c r="T635" s="20">
        <v>1.3293999999999999</v>
      </c>
      <c r="U635" s="20">
        <v>1.3815</v>
      </c>
      <c r="V635" s="20">
        <v>1.4321999999999999</v>
      </c>
      <c r="W635"/>
      <c r="X635"/>
      <c r="Y635"/>
      <c r="Z635"/>
    </row>
    <row r="636" spans="1:26" x14ac:dyDescent="0.2">
      <c r="A636" s="19">
        <v>0.63</v>
      </c>
      <c r="B636" s="20">
        <v>0</v>
      </c>
      <c r="C636" s="20">
        <v>0.10349999999999999</v>
      </c>
      <c r="D636" s="20">
        <v>0.20200000000000001</v>
      </c>
      <c r="E636" s="20">
        <v>0.29599999999999999</v>
      </c>
      <c r="F636" s="20">
        <v>0.38569999999999999</v>
      </c>
      <c r="G636" s="20">
        <v>0.47139999999999999</v>
      </c>
      <c r="H636" s="20">
        <v>0.55349999999999999</v>
      </c>
      <c r="I636" s="20">
        <v>0.6321</v>
      </c>
      <c r="J636" s="20">
        <v>0.70760000000000001</v>
      </c>
      <c r="K636" s="20">
        <v>0.7802</v>
      </c>
      <c r="L636" s="20">
        <v>0.85</v>
      </c>
      <c r="M636" s="20">
        <v>0.91720000000000002</v>
      </c>
      <c r="N636" s="20">
        <v>0.98209999999999997</v>
      </c>
      <c r="O636" s="20">
        <v>1.0448</v>
      </c>
      <c r="P636" s="20">
        <v>1.1053999999999999</v>
      </c>
      <c r="Q636" s="20">
        <v>1.1640999999999999</v>
      </c>
      <c r="R636" s="20">
        <v>1.2210000000000001</v>
      </c>
      <c r="S636" s="20">
        <v>1.2762</v>
      </c>
      <c r="T636" s="20">
        <v>1.3298000000000001</v>
      </c>
      <c r="U636" s="20">
        <v>1.3818999999999999</v>
      </c>
      <c r="V636" s="20">
        <v>1.4326000000000001</v>
      </c>
      <c r="W636"/>
      <c r="X636"/>
      <c r="Y636"/>
      <c r="Z636"/>
    </row>
    <row r="637" spans="1:26" x14ac:dyDescent="0.2">
      <c r="A637" s="19">
        <v>0.63100000000000001</v>
      </c>
      <c r="B637" s="20">
        <v>0</v>
      </c>
      <c r="C637" s="20">
        <v>0.10349999999999999</v>
      </c>
      <c r="D637" s="20">
        <v>0.2021</v>
      </c>
      <c r="E637" s="20">
        <v>0.29609999999999997</v>
      </c>
      <c r="F637" s="20">
        <v>0.38579999999999998</v>
      </c>
      <c r="G637" s="20">
        <v>0.47160000000000002</v>
      </c>
      <c r="H637" s="20">
        <v>0.55369999999999997</v>
      </c>
      <c r="I637" s="20">
        <v>0.63239999999999996</v>
      </c>
      <c r="J637" s="20">
        <v>0.70789999999999997</v>
      </c>
      <c r="K637" s="20">
        <v>0.78049999999999997</v>
      </c>
      <c r="L637" s="20">
        <v>0.85029999999999994</v>
      </c>
      <c r="M637" s="20">
        <v>0.91759999999999997</v>
      </c>
      <c r="N637" s="20">
        <v>0.98250000000000004</v>
      </c>
      <c r="O637" s="20">
        <v>1.0451999999999999</v>
      </c>
      <c r="P637" s="20">
        <v>1.1059000000000001</v>
      </c>
      <c r="Q637" s="20">
        <v>1.1646000000000001</v>
      </c>
      <c r="R637" s="20">
        <v>1.2215</v>
      </c>
      <c r="S637" s="20">
        <v>1.2766999999999999</v>
      </c>
      <c r="T637" s="20">
        <v>1.3303</v>
      </c>
      <c r="U637" s="20">
        <v>1.3824000000000001</v>
      </c>
      <c r="V637" s="20">
        <v>1.4331</v>
      </c>
      <c r="W637"/>
      <c r="X637"/>
      <c r="Y637"/>
      <c r="Z637"/>
    </row>
    <row r="638" spans="1:26" x14ac:dyDescent="0.2">
      <c r="A638" s="19">
        <v>0.63200000000000001</v>
      </c>
      <c r="B638" s="20">
        <v>0</v>
      </c>
      <c r="C638" s="20">
        <v>0.1036</v>
      </c>
      <c r="D638" s="20">
        <v>0.20219999999999999</v>
      </c>
      <c r="E638" s="20">
        <v>0.29620000000000002</v>
      </c>
      <c r="F638" s="20">
        <v>0.38600000000000001</v>
      </c>
      <c r="G638" s="20">
        <v>0.4718</v>
      </c>
      <c r="H638" s="20">
        <v>0.55400000000000005</v>
      </c>
      <c r="I638" s="20">
        <v>0.63270000000000004</v>
      </c>
      <c r="J638" s="20">
        <v>0.70820000000000005</v>
      </c>
      <c r="K638" s="20">
        <v>0.78080000000000005</v>
      </c>
      <c r="L638" s="20">
        <v>0.85070000000000001</v>
      </c>
      <c r="M638" s="20">
        <v>0.91800000000000004</v>
      </c>
      <c r="N638" s="20">
        <v>0.9829</v>
      </c>
      <c r="O638" s="20">
        <v>1.0456000000000001</v>
      </c>
      <c r="P638" s="20">
        <v>1.1063000000000001</v>
      </c>
      <c r="Q638" s="20">
        <v>1.165</v>
      </c>
      <c r="R638" s="20">
        <v>1.2219</v>
      </c>
      <c r="S638" s="20">
        <v>1.2770999999999999</v>
      </c>
      <c r="T638" s="20">
        <v>1.3308</v>
      </c>
      <c r="U638" s="20">
        <v>1.3829</v>
      </c>
      <c r="V638" s="20">
        <v>1.4335</v>
      </c>
      <c r="W638"/>
      <c r="X638"/>
      <c r="Y638"/>
      <c r="Z638"/>
    </row>
    <row r="639" spans="1:26" x14ac:dyDescent="0.2">
      <c r="A639" s="19">
        <v>0.63300000000000001</v>
      </c>
      <c r="B639" s="20">
        <v>0</v>
      </c>
      <c r="C639" s="20">
        <v>0.1036</v>
      </c>
      <c r="D639" s="20">
        <v>0.20230000000000001</v>
      </c>
      <c r="E639" s="20">
        <v>0.2964</v>
      </c>
      <c r="F639" s="20">
        <v>0.38619999999999999</v>
      </c>
      <c r="G639" s="20">
        <v>0.47199999999999998</v>
      </c>
      <c r="H639" s="20">
        <v>0.55420000000000003</v>
      </c>
      <c r="I639" s="20">
        <v>0.63290000000000002</v>
      </c>
      <c r="J639" s="20">
        <v>0.70850000000000002</v>
      </c>
      <c r="K639" s="20">
        <v>0.78110000000000002</v>
      </c>
      <c r="L639" s="20">
        <v>0.85099999999999998</v>
      </c>
      <c r="M639" s="20">
        <v>0.91839999999999999</v>
      </c>
      <c r="N639" s="20">
        <v>0.98329999999999995</v>
      </c>
      <c r="O639" s="20">
        <v>1.046</v>
      </c>
      <c r="P639" s="20">
        <v>1.1067</v>
      </c>
      <c r="Q639" s="20">
        <v>1.1654</v>
      </c>
      <c r="R639" s="20">
        <v>1.2223999999999999</v>
      </c>
      <c r="S639" s="20">
        <v>1.2776000000000001</v>
      </c>
      <c r="T639" s="20">
        <v>1.3311999999999999</v>
      </c>
      <c r="U639" s="20">
        <v>1.3833</v>
      </c>
      <c r="V639" s="20">
        <v>1.4339999999999999</v>
      </c>
      <c r="W639"/>
      <c r="X639"/>
      <c r="Y639"/>
      <c r="Z639"/>
    </row>
    <row r="640" spans="1:26" x14ac:dyDescent="0.2">
      <c r="A640" s="19">
        <v>0.63400000000000001</v>
      </c>
      <c r="B640" s="20">
        <v>0</v>
      </c>
      <c r="C640" s="20">
        <v>0.1037</v>
      </c>
      <c r="D640" s="20">
        <v>0.2024</v>
      </c>
      <c r="E640" s="20">
        <v>0.29649999999999999</v>
      </c>
      <c r="F640" s="20">
        <v>0.38629999999999998</v>
      </c>
      <c r="G640" s="20">
        <v>0.47220000000000001</v>
      </c>
      <c r="H640" s="20">
        <v>0.5544</v>
      </c>
      <c r="I640" s="20">
        <v>0.63319999999999999</v>
      </c>
      <c r="J640" s="20">
        <v>0.70879999999999999</v>
      </c>
      <c r="K640" s="20">
        <v>0.78149999999999997</v>
      </c>
      <c r="L640" s="20">
        <v>0.85140000000000005</v>
      </c>
      <c r="M640" s="20">
        <v>0.91869999999999996</v>
      </c>
      <c r="N640" s="20">
        <v>0.98370000000000002</v>
      </c>
      <c r="O640" s="20">
        <v>1.0464</v>
      </c>
      <c r="P640" s="20">
        <v>1.1071</v>
      </c>
      <c r="Q640" s="20">
        <v>1.1658999999999999</v>
      </c>
      <c r="R640" s="20">
        <v>1.2228000000000001</v>
      </c>
      <c r="S640" s="20">
        <v>1.278</v>
      </c>
      <c r="T640" s="20">
        <v>1.3317000000000001</v>
      </c>
      <c r="U640" s="20">
        <v>1.3837999999999999</v>
      </c>
      <c r="V640" s="20">
        <v>1.4343999999999999</v>
      </c>
      <c r="W640"/>
      <c r="X640"/>
      <c r="Y640"/>
      <c r="Z640"/>
    </row>
    <row r="641" spans="1:26" x14ac:dyDescent="0.2">
      <c r="A641" s="19">
        <v>0.63500000000000001</v>
      </c>
      <c r="B641" s="20">
        <v>0</v>
      </c>
      <c r="C641" s="20">
        <v>0.1037</v>
      </c>
      <c r="D641" s="20">
        <v>0.20250000000000001</v>
      </c>
      <c r="E641" s="20">
        <v>0.29659999999999997</v>
      </c>
      <c r="F641" s="20">
        <v>0.38650000000000001</v>
      </c>
      <c r="G641" s="20">
        <v>0.47239999999999999</v>
      </c>
      <c r="H641" s="20">
        <v>0.55469999999999997</v>
      </c>
      <c r="I641" s="20">
        <v>0.63349999999999995</v>
      </c>
      <c r="J641" s="20">
        <v>0.70909999999999995</v>
      </c>
      <c r="K641" s="20">
        <v>0.78180000000000005</v>
      </c>
      <c r="L641" s="20">
        <v>0.85170000000000001</v>
      </c>
      <c r="M641" s="20">
        <v>0.91910000000000003</v>
      </c>
      <c r="N641" s="20">
        <v>0.98409999999999997</v>
      </c>
      <c r="O641" s="20">
        <v>1.0468</v>
      </c>
      <c r="P641" s="20">
        <v>1.1074999999999999</v>
      </c>
      <c r="Q641" s="20">
        <v>1.1662999999999999</v>
      </c>
      <c r="R641" s="20">
        <v>1.2232000000000001</v>
      </c>
      <c r="S641" s="20">
        <v>1.2785</v>
      </c>
      <c r="T641" s="20">
        <v>1.3321000000000001</v>
      </c>
      <c r="U641" s="20">
        <v>1.3842000000000001</v>
      </c>
      <c r="V641" s="20">
        <v>1.4349000000000001</v>
      </c>
      <c r="W641"/>
      <c r="X641"/>
      <c r="Y641"/>
      <c r="Z641"/>
    </row>
    <row r="642" spans="1:26" x14ac:dyDescent="0.2">
      <c r="A642" s="19">
        <v>0.63600000000000001</v>
      </c>
      <c r="B642" s="20">
        <v>0</v>
      </c>
      <c r="C642" s="20">
        <v>0.1038</v>
      </c>
      <c r="D642" s="20">
        <v>0.2026</v>
      </c>
      <c r="E642" s="20">
        <v>0.29680000000000001</v>
      </c>
      <c r="F642" s="20">
        <v>0.38669999999999999</v>
      </c>
      <c r="G642" s="20">
        <v>0.47260000000000002</v>
      </c>
      <c r="H642" s="20">
        <v>0.55489999999999995</v>
      </c>
      <c r="I642" s="20">
        <v>0.63380000000000003</v>
      </c>
      <c r="J642" s="20">
        <v>0.70940000000000003</v>
      </c>
      <c r="K642" s="20">
        <v>0.78210000000000002</v>
      </c>
      <c r="L642" s="20">
        <v>0.85209999999999997</v>
      </c>
      <c r="M642" s="20">
        <v>0.91949999999999998</v>
      </c>
      <c r="N642" s="20">
        <v>0.98450000000000004</v>
      </c>
      <c r="O642" s="20">
        <v>1.0472999999999999</v>
      </c>
      <c r="P642" s="20">
        <v>1.1080000000000001</v>
      </c>
      <c r="Q642" s="20">
        <v>1.1667000000000001</v>
      </c>
      <c r="R642" s="20">
        <v>1.2237</v>
      </c>
      <c r="S642" s="20">
        <v>1.2788999999999999</v>
      </c>
      <c r="T642" s="20">
        <v>1.3326</v>
      </c>
      <c r="U642" s="20">
        <v>1.3847</v>
      </c>
      <c r="V642" s="20">
        <v>1.4354</v>
      </c>
      <c r="W642"/>
      <c r="X642"/>
      <c r="Y642"/>
      <c r="Z642"/>
    </row>
    <row r="643" spans="1:26" x14ac:dyDescent="0.2">
      <c r="A643" s="19">
        <v>0.63700000000000001</v>
      </c>
      <c r="B643" s="20">
        <v>0</v>
      </c>
      <c r="C643" s="20">
        <v>0.1038</v>
      </c>
      <c r="D643" s="20">
        <v>0.2026</v>
      </c>
      <c r="E643" s="20">
        <v>0.2969</v>
      </c>
      <c r="F643" s="20">
        <v>0.38690000000000002</v>
      </c>
      <c r="G643" s="20">
        <v>0.47289999999999999</v>
      </c>
      <c r="H643" s="20">
        <v>0.55520000000000003</v>
      </c>
      <c r="I643" s="20">
        <v>0.63400000000000001</v>
      </c>
      <c r="J643" s="20">
        <v>0.7097</v>
      </c>
      <c r="K643" s="20">
        <v>0.78249999999999997</v>
      </c>
      <c r="L643" s="20">
        <v>0.85240000000000005</v>
      </c>
      <c r="M643" s="20">
        <v>0.91979999999999995</v>
      </c>
      <c r="N643" s="20">
        <v>0.9849</v>
      </c>
      <c r="O643" s="20">
        <v>1.0477000000000001</v>
      </c>
      <c r="P643" s="20">
        <v>1.1084000000000001</v>
      </c>
      <c r="Q643" s="20">
        <v>1.1672</v>
      </c>
      <c r="R643" s="20">
        <v>1.2241</v>
      </c>
      <c r="S643" s="20">
        <v>1.2794000000000001</v>
      </c>
      <c r="T643" s="20">
        <v>1.333</v>
      </c>
      <c r="U643" s="20">
        <v>1.3851</v>
      </c>
      <c r="V643" s="20">
        <v>1.4358</v>
      </c>
      <c r="W643"/>
      <c r="X643"/>
      <c r="Y643"/>
      <c r="Z643"/>
    </row>
    <row r="644" spans="1:26" x14ac:dyDescent="0.2">
      <c r="A644" s="19">
        <v>0.63800000000000001</v>
      </c>
      <c r="B644" s="20">
        <v>0</v>
      </c>
      <c r="C644" s="20">
        <v>0.1038</v>
      </c>
      <c r="D644" s="20">
        <v>0.20269999999999999</v>
      </c>
      <c r="E644" s="20">
        <v>0.29699999999999999</v>
      </c>
      <c r="F644" s="20">
        <v>0.38700000000000001</v>
      </c>
      <c r="G644" s="20">
        <v>0.47310000000000002</v>
      </c>
      <c r="H644" s="20">
        <v>0.5554</v>
      </c>
      <c r="I644" s="20">
        <v>0.63429999999999997</v>
      </c>
      <c r="J644" s="20">
        <v>0.71</v>
      </c>
      <c r="K644" s="20">
        <v>0.78280000000000005</v>
      </c>
      <c r="L644" s="20">
        <v>0.8528</v>
      </c>
      <c r="M644" s="20">
        <v>0.92020000000000002</v>
      </c>
      <c r="N644" s="20">
        <v>0.98519999999999996</v>
      </c>
      <c r="O644" s="20">
        <v>1.0481</v>
      </c>
      <c r="P644" s="20">
        <v>1.1088</v>
      </c>
      <c r="Q644" s="20">
        <v>1.1676</v>
      </c>
      <c r="R644" s="20">
        <v>1.2245999999999999</v>
      </c>
      <c r="S644" s="20">
        <v>1.2798</v>
      </c>
      <c r="T644" s="20">
        <v>1.3334999999999999</v>
      </c>
      <c r="U644" s="20">
        <v>1.3855999999999999</v>
      </c>
      <c r="V644" s="20">
        <v>1.4362999999999999</v>
      </c>
      <c r="W644"/>
      <c r="X644"/>
      <c r="Y644"/>
      <c r="Z644"/>
    </row>
    <row r="645" spans="1:26" x14ac:dyDescent="0.2">
      <c r="A645" s="19">
        <v>0.63900000000000001</v>
      </c>
      <c r="B645" s="20">
        <v>0</v>
      </c>
      <c r="C645" s="20">
        <v>0.10390000000000001</v>
      </c>
      <c r="D645" s="20">
        <v>0.20280000000000001</v>
      </c>
      <c r="E645" s="20">
        <v>0.29720000000000002</v>
      </c>
      <c r="F645" s="20">
        <v>0.38719999999999999</v>
      </c>
      <c r="G645" s="20">
        <v>0.4733</v>
      </c>
      <c r="H645" s="20">
        <v>0.55559999999999998</v>
      </c>
      <c r="I645" s="20">
        <v>0.63460000000000005</v>
      </c>
      <c r="J645" s="20">
        <v>0.71030000000000004</v>
      </c>
      <c r="K645" s="20">
        <v>0.78310000000000002</v>
      </c>
      <c r="L645" s="20">
        <v>0.85309999999999997</v>
      </c>
      <c r="M645" s="20">
        <v>0.92059999999999997</v>
      </c>
      <c r="N645" s="20">
        <v>0.98560000000000003</v>
      </c>
      <c r="O645" s="20">
        <v>1.0485</v>
      </c>
      <c r="P645" s="20">
        <v>1.1092</v>
      </c>
      <c r="Q645" s="20">
        <v>1.1679999999999999</v>
      </c>
      <c r="R645" s="20">
        <v>1.2250000000000001</v>
      </c>
      <c r="S645" s="20">
        <v>1.2803</v>
      </c>
      <c r="T645" s="20">
        <v>1.3339000000000001</v>
      </c>
      <c r="U645" s="20">
        <v>1.3859999999999999</v>
      </c>
      <c r="V645" s="20">
        <v>1.4367000000000001</v>
      </c>
      <c r="W645"/>
      <c r="X645"/>
      <c r="Y645"/>
      <c r="Z645"/>
    </row>
    <row r="646" spans="1:26" x14ac:dyDescent="0.2">
      <c r="A646" s="19">
        <v>0.64</v>
      </c>
      <c r="B646" s="20">
        <v>0</v>
      </c>
      <c r="C646" s="20">
        <v>0.10390000000000001</v>
      </c>
      <c r="D646" s="20">
        <v>0.2029</v>
      </c>
      <c r="E646" s="20">
        <v>0.29730000000000001</v>
      </c>
      <c r="F646" s="20">
        <v>0.38740000000000002</v>
      </c>
      <c r="G646" s="20">
        <v>0.47349999999999998</v>
      </c>
      <c r="H646" s="20">
        <v>0.55589999999999995</v>
      </c>
      <c r="I646" s="20">
        <v>0.63480000000000003</v>
      </c>
      <c r="J646" s="20">
        <v>0.71060000000000001</v>
      </c>
      <c r="K646" s="20">
        <v>0.78339999999999999</v>
      </c>
      <c r="L646" s="20">
        <v>0.85350000000000004</v>
      </c>
      <c r="M646" s="20">
        <v>0.92090000000000005</v>
      </c>
      <c r="N646" s="20">
        <v>0.98599999999999999</v>
      </c>
      <c r="O646" s="20">
        <v>1.0488999999999999</v>
      </c>
      <c r="P646" s="20">
        <v>1.1095999999999999</v>
      </c>
      <c r="Q646" s="20">
        <v>1.1684000000000001</v>
      </c>
      <c r="R646" s="20">
        <v>1.2254</v>
      </c>
      <c r="S646" s="20">
        <v>1.2806999999999999</v>
      </c>
      <c r="T646" s="20">
        <v>1.3344</v>
      </c>
      <c r="U646" s="20">
        <v>1.3865000000000001</v>
      </c>
      <c r="V646" s="20">
        <v>1.4372</v>
      </c>
      <c r="W646"/>
      <c r="X646"/>
      <c r="Y646"/>
      <c r="Z646"/>
    </row>
    <row r="647" spans="1:26" x14ac:dyDescent="0.2">
      <c r="A647" s="19">
        <v>0.64100000000000001</v>
      </c>
      <c r="B647" s="20">
        <v>0</v>
      </c>
      <c r="C647" s="20">
        <v>0.104</v>
      </c>
      <c r="D647" s="20">
        <v>0.20300000000000001</v>
      </c>
      <c r="E647" s="20">
        <v>0.2974</v>
      </c>
      <c r="F647" s="20">
        <v>0.38750000000000001</v>
      </c>
      <c r="G647" s="20">
        <v>0.47370000000000001</v>
      </c>
      <c r="H647" s="20">
        <v>0.55610000000000004</v>
      </c>
      <c r="I647" s="20">
        <v>0.6351</v>
      </c>
      <c r="J647" s="20">
        <v>0.71089999999999998</v>
      </c>
      <c r="K647" s="20">
        <v>0.78369999999999995</v>
      </c>
      <c r="L647" s="20">
        <v>0.8538</v>
      </c>
      <c r="M647" s="20">
        <v>0.92130000000000001</v>
      </c>
      <c r="N647" s="20">
        <v>0.98640000000000005</v>
      </c>
      <c r="O647" s="20">
        <v>1.0492999999999999</v>
      </c>
      <c r="P647" s="20">
        <v>1.1100000000000001</v>
      </c>
      <c r="Q647" s="20">
        <v>1.1689000000000001</v>
      </c>
      <c r="R647" s="20">
        <v>1.2259</v>
      </c>
      <c r="S647" s="20">
        <v>1.2810999999999999</v>
      </c>
      <c r="T647" s="20">
        <v>1.3348</v>
      </c>
      <c r="U647" s="20">
        <v>1.3869</v>
      </c>
      <c r="V647" s="20">
        <v>1.4376</v>
      </c>
      <c r="W647"/>
      <c r="X647"/>
      <c r="Y647"/>
      <c r="Z647"/>
    </row>
    <row r="648" spans="1:26" x14ac:dyDescent="0.2">
      <c r="A648" s="19">
        <v>0.64200000000000002</v>
      </c>
      <c r="B648" s="20">
        <v>0</v>
      </c>
      <c r="C648" s="20">
        <v>0.104</v>
      </c>
      <c r="D648" s="20">
        <v>0.2031</v>
      </c>
      <c r="E648" s="20">
        <v>0.29749999999999999</v>
      </c>
      <c r="F648" s="20">
        <v>0.38769999999999999</v>
      </c>
      <c r="G648" s="20">
        <v>0.47389999999999999</v>
      </c>
      <c r="H648" s="20">
        <v>0.55640000000000001</v>
      </c>
      <c r="I648" s="20">
        <v>0.63539999999999996</v>
      </c>
      <c r="J648" s="20">
        <v>0.71120000000000005</v>
      </c>
      <c r="K648" s="20">
        <v>0.78410000000000002</v>
      </c>
      <c r="L648" s="20">
        <v>0.85419999999999996</v>
      </c>
      <c r="M648" s="20">
        <v>0.92169999999999996</v>
      </c>
      <c r="N648" s="20">
        <v>0.98680000000000001</v>
      </c>
      <c r="O648" s="20">
        <v>1.0497000000000001</v>
      </c>
      <c r="P648" s="20">
        <v>1.1105</v>
      </c>
      <c r="Q648" s="20">
        <v>1.1693</v>
      </c>
      <c r="R648" s="20">
        <v>1.2262999999999999</v>
      </c>
      <c r="S648" s="20">
        <v>1.2816000000000001</v>
      </c>
      <c r="T648" s="20">
        <v>1.3352999999999999</v>
      </c>
      <c r="U648" s="20">
        <v>1.3874</v>
      </c>
      <c r="V648" s="20">
        <v>1.4380999999999999</v>
      </c>
      <c r="W648"/>
      <c r="X648"/>
      <c r="Y648"/>
      <c r="Z648"/>
    </row>
    <row r="649" spans="1:26" x14ac:dyDescent="0.2">
      <c r="A649" s="19">
        <v>0.64300000000000002</v>
      </c>
      <c r="B649" s="20">
        <v>0</v>
      </c>
      <c r="C649" s="20">
        <v>0.1041</v>
      </c>
      <c r="D649" s="20">
        <v>0.20319999999999999</v>
      </c>
      <c r="E649" s="20">
        <v>0.29770000000000002</v>
      </c>
      <c r="F649" s="20">
        <v>0.38790000000000002</v>
      </c>
      <c r="G649" s="20">
        <v>0.47410000000000002</v>
      </c>
      <c r="H649" s="20">
        <v>0.55659999999999998</v>
      </c>
      <c r="I649" s="20">
        <v>0.63570000000000004</v>
      </c>
      <c r="J649" s="20">
        <v>0.71150000000000002</v>
      </c>
      <c r="K649" s="20">
        <v>0.78439999999999999</v>
      </c>
      <c r="L649" s="20">
        <v>0.85450000000000004</v>
      </c>
      <c r="M649" s="20">
        <v>0.92200000000000004</v>
      </c>
      <c r="N649" s="20">
        <v>0.98719999999999997</v>
      </c>
      <c r="O649" s="20">
        <v>1.0501</v>
      </c>
      <c r="P649" s="20">
        <v>1.1109</v>
      </c>
      <c r="Q649" s="20">
        <v>1.1697</v>
      </c>
      <c r="R649" s="20">
        <v>1.2266999999999999</v>
      </c>
      <c r="S649" s="20">
        <v>1.282</v>
      </c>
      <c r="T649" s="20">
        <v>1.3357000000000001</v>
      </c>
      <c r="U649" s="20">
        <v>1.3877999999999999</v>
      </c>
      <c r="V649" s="20">
        <v>1.4384999999999999</v>
      </c>
      <c r="W649"/>
      <c r="X649"/>
      <c r="Y649"/>
      <c r="Z649"/>
    </row>
    <row r="650" spans="1:26" x14ac:dyDescent="0.2">
      <c r="A650" s="19">
        <v>0.64400000000000002</v>
      </c>
      <c r="B650" s="20">
        <v>0</v>
      </c>
      <c r="C650" s="20">
        <v>0.1041</v>
      </c>
      <c r="D650" s="20">
        <v>0.20330000000000001</v>
      </c>
      <c r="E650" s="20">
        <v>0.29780000000000001</v>
      </c>
      <c r="F650" s="20">
        <v>0.38800000000000001</v>
      </c>
      <c r="G650" s="20">
        <v>0.4743</v>
      </c>
      <c r="H650" s="20">
        <v>0.55679999999999996</v>
      </c>
      <c r="I650" s="20">
        <v>0.63590000000000002</v>
      </c>
      <c r="J650" s="20">
        <v>0.71179999999999999</v>
      </c>
      <c r="K650" s="20">
        <v>0.78469999999999995</v>
      </c>
      <c r="L650" s="20">
        <v>0.85489999999999999</v>
      </c>
      <c r="M650" s="20">
        <v>0.9224</v>
      </c>
      <c r="N650" s="20">
        <v>0.98760000000000003</v>
      </c>
      <c r="O650" s="20">
        <v>1.0505</v>
      </c>
      <c r="P650" s="20">
        <v>1.1113</v>
      </c>
      <c r="Q650" s="20">
        <v>1.1700999999999999</v>
      </c>
      <c r="R650" s="20">
        <v>1.2272000000000001</v>
      </c>
      <c r="S650" s="20">
        <v>1.2825</v>
      </c>
      <c r="T650" s="20">
        <v>1.3361000000000001</v>
      </c>
      <c r="U650" s="20">
        <v>1.3883000000000001</v>
      </c>
      <c r="V650" s="20">
        <v>1.4390000000000001</v>
      </c>
      <c r="W650"/>
      <c r="X650"/>
      <c r="Y650"/>
      <c r="Z650"/>
    </row>
    <row r="651" spans="1:26" x14ac:dyDescent="0.2">
      <c r="A651" s="19">
        <v>0.64500000000000002</v>
      </c>
      <c r="B651" s="20">
        <v>0</v>
      </c>
      <c r="C651" s="20">
        <v>0.1042</v>
      </c>
      <c r="D651" s="20">
        <v>0.2034</v>
      </c>
      <c r="E651" s="20">
        <v>0.2979</v>
      </c>
      <c r="F651" s="20">
        <v>0.38819999999999999</v>
      </c>
      <c r="G651" s="20">
        <v>0.47449999999999998</v>
      </c>
      <c r="H651" s="20">
        <v>0.55710000000000004</v>
      </c>
      <c r="I651" s="20">
        <v>0.63619999999999999</v>
      </c>
      <c r="J651" s="20">
        <v>0.71209999999999996</v>
      </c>
      <c r="K651" s="20">
        <v>0.78500000000000003</v>
      </c>
      <c r="L651" s="20">
        <v>0.85519999999999996</v>
      </c>
      <c r="M651" s="20">
        <v>0.92279999999999995</v>
      </c>
      <c r="N651" s="20">
        <v>0.9879</v>
      </c>
      <c r="O651" s="20">
        <v>1.0508999999999999</v>
      </c>
      <c r="P651" s="20">
        <v>1.1116999999999999</v>
      </c>
      <c r="Q651" s="20">
        <v>1.1706000000000001</v>
      </c>
      <c r="R651" s="20">
        <v>1.2276</v>
      </c>
      <c r="S651" s="20">
        <v>1.2828999999999999</v>
      </c>
      <c r="T651" s="20">
        <v>1.3366</v>
      </c>
      <c r="U651" s="20">
        <v>1.3887</v>
      </c>
      <c r="V651" s="20">
        <v>1.4394</v>
      </c>
      <c r="W651"/>
      <c r="X651"/>
      <c r="Y651"/>
      <c r="Z651"/>
    </row>
    <row r="652" spans="1:26" x14ac:dyDescent="0.2">
      <c r="A652" s="19">
        <v>0.64600000000000002</v>
      </c>
      <c r="B652" s="20">
        <v>0</v>
      </c>
      <c r="C652" s="20">
        <v>0.1042</v>
      </c>
      <c r="D652" s="20">
        <v>0.20349999999999999</v>
      </c>
      <c r="E652" s="20">
        <v>0.29809999999999998</v>
      </c>
      <c r="F652" s="20">
        <v>0.38840000000000002</v>
      </c>
      <c r="G652" s="20">
        <v>0.47470000000000001</v>
      </c>
      <c r="H652" s="20">
        <v>0.55730000000000002</v>
      </c>
      <c r="I652" s="20">
        <v>0.63649999999999995</v>
      </c>
      <c r="J652" s="20">
        <v>0.71240000000000003</v>
      </c>
      <c r="K652" s="20">
        <v>0.78539999999999999</v>
      </c>
      <c r="L652" s="20">
        <v>0.85550000000000004</v>
      </c>
      <c r="M652" s="20">
        <v>0.92310000000000003</v>
      </c>
      <c r="N652" s="20">
        <v>0.98829999999999996</v>
      </c>
      <c r="O652" s="20">
        <v>1.0512999999999999</v>
      </c>
      <c r="P652" s="20">
        <v>1.1121000000000001</v>
      </c>
      <c r="Q652" s="20">
        <v>1.171</v>
      </c>
      <c r="R652" s="20">
        <v>1.228</v>
      </c>
      <c r="S652" s="20">
        <v>1.2833000000000001</v>
      </c>
      <c r="T652" s="20">
        <v>1.337</v>
      </c>
      <c r="U652" s="20">
        <v>1.3892</v>
      </c>
      <c r="V652" s="20">
        <v>1.4399</v>
      </c>
      <c r="W652"/>
      <c r="X652"/>
      <c r="Y652"/>
      <c r="Z652"/>
    </row>
    <row r="653" spans="1:26" x14ac:dyDescent="0.2">
      <c r="A653" s="19">
        <v>0.64700000000000002</v>
      </c>
      <c r="B653" s="20">
        <v>0</v>
      </c>
      <c r="C653" s="20">
        <v>0.1043</v>
      </c>
      <c r="D653" s="20">
        <v>0.20349999999999999</v>
      </c>
      <c r="E653" s="20">
        <v>0.29820000000000002</v>
      </c>
      <c r="F653" s="20">
        <v>0.38850000000000001</v>
      </c>
      <c r="G653" s="20">
        <v>0.47489999999999999</v>
      </c>
      <c r="H653" s="20">
        <v>0.5575</v>
      </c>
      <c r="I653" s="20">
        <v>0.63670000000000004</v>
      </c>
      <c r="J653" s="20">
        <v>0.7127</v>
      </c>
      <c r="K653" s="20">
        <v>0.78569999999999995</v>
      </c>
      <c r="L653" s="20">
        <v>0.85589999999999999</v>
      </c>
      <c r="M653" s="20">
        <v>0.92349999999999999</v>
      </c>
      <c r="N653" s="20">
        <v>0.98870000000000002</v>
      </c>
      <c r="O653" s="20">
        <v>1.0517000000000001</v>
      </c>
      <c r="P653" s="20">
        <v>1.1125</v>
      </c>
      <c r="Q653" s="20">
        <v>1.1714</v>
      </c>
      <c r="R653" s="20">
        <v>1.2284999999999999</v>
      </c>
      <c r="S653" s="20">
        <v>1.2838000000000001</v>
      </c>
      <c r="T653" s="20">
        <v>1.3374999999999999</v>
      </c>
      <c r="U653" s="20">
        <v>1.3895999999999999</v>
      </c>
      <c r="V653" s="20">
        <v>1.4402999999999999</v>
      </c>
      <c r="W653"/>
      <c r="X653"/>
      <c r="Y653"/>
      <c r="Z653"/>
    </row>
    <row r="654" spans="1:26" x14ac:dyDescent="0.2">
      <c r="A654" s="19">
        <v>0.64800000000000002</v>
      </c>
      <c r="B654" s="20">
        <v>0</v>
      </c>
      <c r="C654" s="20">
        <v>0.1043</v>
      </c>
      <c r="D654" s="20">
        <v>0.2036</v>
      </c>
      <c r="E654" s="20">
        <v>0.29830000000000001</v>
      </c>
      <c r="F654" s="20">
        <v>0.38869999999999999</v>
      </c>
      <c r="G654" s="20">
        <v>0.47510000000000002</v>
      </c>
      <c r="H654" s="20">
        <v>0.55779999999999996</v>
      </c>
      <c r="I654" s="20">
        <v>0.63700000000000001</v>
      </c>
      <c r="J654" s="20">
        <v>0.71299999999999997</v>
      </c>
      <c r="K654" s="20">
        <v>0.78600000000000003</v>
      </c>
      <c r="L654" s="20">
        <v>0.85619999999999996</v>
      </c>
      <c r="M654" s="20">
        <v>0.92390000000000005</v>
      </c>
      <c r="N654" s="20">
        <v>0.98909999999999998</v>
      </c>
      <c r="O654" s="20">
        <v>1.0521</v>
      </c>
      <c r="P654" s="20">
        <v>1.1129</v>
      </c>
      <c r="Q654" s="20">
        <v>1.1718</v>
      </c>
      <c r="R654" s="20">
        <v>1.2289000000000001</v>
      </c>
      <c r="S654" s="20">
        <v>1.2842</v>
      </c>
      <c r="T654" s="20">
        <v>1.3379000000000001</v>
      </c>
      <c r="U654" s="20">
        <v>1.3900999999999999</v>
      </c>
      <c r="V654" s="20">
        <v>1.4408000000000001</v>
      </c>
      <c r="W654"/>
      <c r="X654"/>
      <c r="Y654"/>
      <c r="Z654"/>
    </row>
    <row r="655" spans="1:26" x14ac:dyDescent="0.2">
      <c r="A655" s="19">
        <v>0.64900000000000002</v>
      </c>
      <c r="B655" s="20">
        <v>0</v>
      </c>
      <c r="C655" s="20">
        <v>0.1043</v>
      </c>
      <c r="D655" s="20">
        <v>0.20369999999999999</v>
      </c>
      <c r="E655" s="20">
        <v>0.29849999999999999</v>
      </c>
      <c r="F655" s="20">
        <v>0.38890000000000002</v>
      </c>
      <c r="G655" s="20">
        <v>0.4753</v>
      </c>
      <c r="H655" s="20">
        <v>0.55800000000000005</v>
      </c>
      <c r="I655" s="20">
        <v>0.63729999999999998</v>
      </c>
      <c r="J655" s="20">
        <v>0.71330000000000005</v>
      </c>
      <c r="K655" s="20">
        <v>0.7863</v>
      </c>
      <c r="L655" s="20">
        <v>0.85660000000000003</v>
      </c>
      <c r="M655" s="20">
        <v>0.92420000000000002</v>
      </c>
      <c r="N655" s="20">
        <v>0.98950000000000005</v>
      </c>
      <c r="O655" s="20">
        <v>1.0525</v>
      </c>
      <c r="P655" s="20">
        <v>1.1133</v>
      </c>
      <c r="Q655" s="20">
        <v>1.1722999999999999</v>
      </c>
      <c r="R655" s="20">
        <v>1.2293000000000001</v>
      </c>
      <c r="S655" s="20">
        <v>1.2847</v>
      </c>
      <c r="T655" s="20">
        <v>1.3384</v>
      </c>
      <c r="U655" s="20">
        <v>1.3905000000000001</v>
      </c>
      <c r="V655" s="20">
        <v>1.4412</v>
      </c>
      <c r="W655"/>
      <c r="X655"/>
      <c r="Y655"/>
      <c r="Z655"/>
    </row>
    <row r="656" spans="1:26" x14ac:dyDescent="0.2">
      <c r="A656" s="19">
        <v>0.65</v>
      </c>
      <c r="B656" s="20">
        <v>0</v>
      </c>
      <c r="C656" s="20">
        <v>0.10440000000000001</v>
      </c>
      <c r="D656" s="20">
        <v>0.20380000000000001</v>
      </c>
      <c r="E656" s="20">
        <v>0.29859999999999998</v>
      </c>
      <c r="F656" s="20">
        <v>0.3891</v>
      </c>
      <c r="G656" s="20">
        <v>0.47549999999999998</v>
      </c>
      <c r="H656" s="20">
        <v>0.55820000000000003</v>
      </c>
      <c r="I656" s="20">
        <v>0.63749999999999996</v>
      </c>
      <c r="J656" s="20">
        <v>0.71360000000000001</v>
      </c>
      <c r="K656" s="20">
        <v>0.78659999999999997</v>
      </c>
      <c r="L656" s="20">
        <v>0.8569</v>
      </c>
      <c r="M656" s="20">
        <v>0.92459999999999998</v>
      </c>
      <c r="N656" s="20">
        <v>0.9899</v>
      </c>
      <c r="O656" s="20">
        <v>1.0528999999999999</v>
      </c>
      <c r="P656" s="20">
        <v>1.1137999999999999</v>
      </c>
      <c r="Q656" s="20">
        <v>1.1727000000000001</v>
      </c>
      <c r="R656" s="20">
        <v>1.2298</v>
      </c>
      <c r="S656" s="20">
        <v>1.2850999999999999</v>
      </c>
      <c r="T656" s="20">
        <v>1.3388</v>
      </c>
      <c r="U656" s="20">
        <v>1.391</v>
      </c>
      <c r="V656" s="20">
        <v>1.4417</v>
      </c>
      <c r="W656"/>
      <c r="X656"/>
      <c r="Y656"/>
      <c r="Z656"/>
    </row>
    <row r="657" spans="1:26" x14ac:dyDescent="0.2">
      <c r="A657" s="19">
        <v>0.65100000000000002</v>
      </c>
      <c r="B657" s="20">
        <v>0</v>
      </c>
      <c r="C657" s="20">
        <v>0.10440000000000001</v>
      </c>
      <c r="D657" s="20">
        <v>0.2039</v>
      </c>
      <c r="E657" s="20">
        <v>0.29870000000000002</v>
      </c>
      <c r="F657" s="20">
        <v>0.38919999999999999</v>
      </c>
      <c r="G657" s="20">
        <v>0.47570000000000001</v>
      </c>
      <c r="H657" s="20">
        <v>0.5585</v>
      </c>
      <c r="I657" s="20">
        <v>0.63780000000000003</v>
      </c>
      <c r="J657" s="20">
        <v>0.71389999999999998</v>
      </c>
      <c r="K657" s="20">
        <v>0.78700000000000003</v>
      </c>
      <c r="L657" s="20">
        <v>0.85729999999999995</v>
      </c>
      <c r="M657" s="20">
        <v>0.92500000000000004</v>
      </c>
      <c r="N657" s="20">
        <v>0.99019999999999997</v>
      </c>
      <c r="O657" s="20">
        <v>1.0532999999999999</v>
      </c>
      <c r="P657" s="20">
        <v>1.1142000000000001</v>
      </c>
      <c r="Q657" s="20">
        <v>1.1731</v>
      </c>
      <c r="R657" s="20">
        <v>1.2302</v>
      </c>
      <c r="S657" s="20">
        <v>1.2855000000000001</v>
      </c>
      <c r="T657" s="20">
        <v>1.3391999999999999</v>
      </c>
      <c r="U657" s="20">
        <v>1.3914</v>
      </c>
      <c r="V657" s="20">
        <v>1.4420999999999999</v>
      </c>
      <c r="W657"/>
      <c r="X657"/>
      <c r="Y657"/>
      <c r="Z657"/>
    </row>
    <row r="658" spans="1:26" x14ac:dyDescent="0.2">
      <c r="A658" s="19">
        <v>0.65200000000000002</v>
      </c>
      <c r="B658" s="20">
        <v>0</v>
      </c>
      <c r="C658" s="20">
        <v>0.1045</v>
      </c>
      <c r="D658" s="20">
        <v>0.20399999999999999</v>
      </c>
      <c r="E658" s="20">
        <v>0.29880000000000001</v>
      </c>
      <c r="F658" s="20">
        <v>0.38940000000000002</v>
      </c>
      <c r="G658" s="20">
        <v>0.47589999999999999</v>
      </c>
      <c r="H658" s="20">
        <v>0.55869999999999997</v>
      </c>
      <c r="I658" s="20">
        <v>0.6381</v>
      </c>
      <c r="J658" s="20">
        <v>0.71419999999999995</v>
      </c>
      <c r="K658" s="20">
        <v>0.7873</v>
      </c>
      <c r="L658" s="20">
        <v>0.85760000000000003</v>
      </c>
      <c r="M658" s="20">
        <v>0.92530000000000001</v>
      </c>
      <c r="N658" s="20">
        <v>0.99060000000000004</v>
      </c>
      <c r="O658" s="20">
        <v>1.0537000000000001</v>
      </c>
      <c r="P658" s="20">
        <v>1.1146</v>
      </c>
      <c r="Q658" s="20">
        <v>1.1735</v>
      </c>
      <c r="R658" s="20">
        <v>1.2305999999999999</v>
      </c>
      <c r="S658" s="20">
        <v>1.286</v>
      </c>
      <c r="T658" s="20">
        <v>1.3396999999999999</v>
      </c>
      <c r="U658" s="20">
        <v>1.3917999999999999</v>
      </c>
      <c r="V658" s="20">
        <v>1.4424999999999999</v>
      </c>
      <c r="W658"/>
      <c r="X658"/>
      <c r="Y658"/>
      <c r="Z658"/>
    </row>
    <row r="659" spans="1:26" x14ac:dyDescent="0.2">
      <c r="A659" s="19">
        <v>0.65300000000000002</v>
      </c>
      <c r="B659" s="20">
        <v>0</v>
      </c>
      <c r="C659" s="20">
        <v>0.1045</v>
      </c>
      <c r="D659" s="20">
        <v>0.2041</v>
      </c>
      <c r="E659" s="20">
        <v>0.29899999999999999</v>
      </c>
      <c r="F659" s="20">
        <v>0.38950000000000001</v>
      </c>
      <c r="G659" s="20">
        <v>0.47610000000000002</v>
      </c>
      <c r="H659" s="20">
        <v>0.55900000000000005</v>
      </c>
      <c r="I659" s="20">
        <v>0.63829999999999998</v>
      </c>
      <c r="J659" s="20">
        <v>0.71450000000000002</v>
      </c>
      <c r="K659" s="20">
        <v>0.78759999999999997</v>
      </c>
      <c r="L659" s="20">
        <v>0.8579</v>
      </c>
      <c r="M659" s="20">
        <v>0.92569999999999997</v>
      </c>
      <c r="N659" s="20">
        <v>0.99099999999999999</v>
      </c>
      <c r="O659" s="20">
        <v>1.054</v>
      </c>
      <c r="P659" s="20">
        <v>1.115</v>
      </c>
      <c r="Q659" s="20">
        <v>1.1738999999999999</v>
      </c>
      <c r="R659" s="20">
        <v>1.2310000000000001</v>
      </c>
      <c r="S659" s="20">
        <v>1.2864</v>
      </c>
      <c r="T659" s="20">
        <v>1.3401000000000001</v>
      </c>
      <c r="U659" s="20">
        <v>1.3923000000000001</v>
      </c>
      <c r="V659" s="20">
        <v>1.4430000000000001</v>
      </c>
      <c r="W659"/>
      <c r="X659"/>
      <c r="Y659"/>
      <c r="Z659"/>
    </row>
    <row r="660" spans="1:26" x14ac:dyDescent="0.2">
      <c r="A660" s="19">
        <v>0.65400000000000003</v>
      </c>
      <c r="B660" s="20">
        <v>0</v>
      </c>
      <c r="C660" s="20">
        <v>0.1046</v>
      </c>
      <c r="D660" s="20">
        <v>0.20419999999999999</v>
      </c>
      <c r="E660" s="20">
        <v>0.29909999999999998</v>
      </c>
      <c r="F660" s="20">
        <v>0.38969999999999999</v>
      </c>
      <c r="G660" s="20">
        <v>0.4763</v>
      </c>
      <c r="H660" s="20">
        <v>0.55920000000000003</v>
      </c>
      <c r="I660" s="20">
        <v>0.63859999999999995</v>
      </c>
      <c r="J660" s="20">
        <v>0.7147</v>
      </c>
      <c r="K660" s="20">
        <v>0.78790000000000004</v>
      </c>
      <c r="L660" s="20">
        <v>0.85829999999999995</v>
      </c>
      <c r="M660" s="20">
        <v>0.92600000000000005</v>
      </c>
      <c r="N660" s="20">
        <v>0.99139999999999995</v>
      </c>
      <c r="O660" s="20">
        <v>1.0544</v>
      </c>
      <c r="P660" s="20">
        <v>1.1153999999999999</v>
      </c>
      <c r="Q660" s="20">
        <v>1.1744000000000001</v>
      </c>
      <c r="R660" s="20">
        <v>1.2315</v>
      </c>
      <c r="S660" s="20">
        <v>1.2867999999999999</v>
      </c>
      <c r="T660" s="20">
        <v>1.3406</v>
      </c>
      <c r="U660" s="20">
        <v>1.3927</v>
      </c>
      <c r="V660" s="20">
        <v>1.4434</v>
      </c>
      <c r="W660"/>
      <c r="X660"/>
      <c r="Y660"/>
      <c r="Z660"/>
    </row>
    <row r="661" spans="1:26" x14ac:dyDescent="0.2">
      <c r="A661" s="19">
        <v>0.65500000000000003</v>
      </c>
      <c r="B661" s="20">
        <v>0</v>
      </c>
      <c r="C661" s="20">
        <v>0.1046</v>
      </c>
      <c r="D661" s="20">
        <v>0.20419999999999999</v>
      </c>
      <c r="E661" s="20">
        <v>0.29920000000000002</v>
      </c>
      <c r="F661" s="20">
        <v>0.38990000000000002</v>
      </c>
      <c r="G661" s="20">
        <v>0.47649999999999998</v>
      </c>
      <c r="H661" s="20">
        <v>0.55940000000000001</v>
      </c>
      <c r="I661" s="20">
        <v>0.63880000000000003</v>
      </c>
      <c r="J661" s="20">
        <v>0.71499999999999997</v>
      </c>
      <c r="K661" s="20">
        <v>0.78820000000000001</v>
      </c>
      <c r="L661" s="20">
        <v>0.85860000000000003</v>
      </c>
      <c r="M661" s="20">
        <v>0.9264</v>
      </c>
      <c r="N661" s="20">
        <v>0.99170000000000003</v>
      </c>
      <c r="O661" s="20">
        <v>1.0548</v>
      </c>
      <c r="P661" s="20">
        <v>1.1157999999999999</v>
      </c>
      <c r="Q661" s="20">
        <v>1.1748000000000001</v>
      </c>
      <c r="R661" s="20">
        <v>1.2319</v>
      </c>
      <c r="S661" s="20">
        <v>1.2873000000000001</v>
      </c>
      <c r="T661" s="20">
        <v>1.341</v>
      </c>
      <c r="U661" s="20">
        <v>1.3932</v>
      </c>
      <c r="V661" s="20">
        <v>1.4439</v>
      </c>
      <c r="W661"/>
      <c r="X661"/>
      <c r="Y661"/>
      <c r="Z661"/>
    </row>
    <row r="662" spans="1:26" x14ac:dyDescent="0.2">
      <c r="A662" s="19">
        <v>0.65600000000000003</v>
      </c>
      <c r="B662" s="20">
        <v>0</v>
      </c>
      <c r="C662" s="20">
        <v>0.1047</v>
      </c>
      <c r="D662" s="20">
        <v>0.20430000000000001</v>
      </c>
      <c r="E662" s="20">
        <v>0.2994</v>
      </c>
      <c r="F662" s="20">
        <v>0.39</v>
      </c>
      <c r="G662" s="20">
        <v>0.47670000000000001</v>
      </c>
      <c r="H662" s="20">
        <v>0.55969999999999998</v>
      </c>
      <c r="I662" s="20">
        <v>0.6391</v>
      </c>
      <c r="J662" s="20">
        <v>0.71530000000000005</v>
      </c>
      <c r="K662" s="20">
        <v>0.78849999999999998</v>
      </c>
      <c r="L662" s="20">
        <v>0.85899999999999999</v>
      </c>
      <c r="M662" s="20">
        <v>0.92679999999999996</v>
      </c>
      <c r="N662" s="20">
        <v>0.99209999999999998</v>
      </c>
      <c r="O662" s="20">
        <v>1.0551999999999999</v>
      </c>
      <c r="P662" s="20">
        <v>1.1162000000000001</v>
      </c>
      <c r="Q662" s="20">
        <v>1.1752</v>
      </c>
      <c r="R662" s="20">
        <v>1.2323</v>
      </c>
      <c r="S662" s="20">
        <v>1.2877000000000001</v>
      </c>
      <c r="T662" s="20">
        <v>1.3413999999999999</v>
      </c>
      <c r="U662" s="20">
        <v>1.3935999999999999</v>
      </c>
      <c r="V662" s="20">
        <v>1.4442999999999999</v>
      </c>
      <c r="W662"/>
      <c r="X662"/>
      <c r="Y662"/>
      <c r="Z662"/>
    </row>
    <row r="663" spans="1:26" x14ac:dyDescent="0.2">
      <c r="A663" s="19">
        <v>0.65700000000000003</v>
      </c>
      <c r="B663" s="20">
        <v>0</v>
      </c>
      <c r="C663" s="20">
        <v>0.1047</v>
      </c>
      <c r="D663" s="20">
        <v>0.2044</v>
      </c>
      <c r="E663" s="20">
        <v>0.29949999999999999</v>
      </c>
      <c r="F663" s="20">
        <v>0.39019999999999999</v>
      </c>
      <c r="G663" s="20">
        <v>0.47689999999999999</v>
      </c>
      <c r="H663" s="20">
        <v>0.55989999999999995</v>
      </c>
      <c r="I663" s="20">
        <v>0.63939999999999997</v>
      </c>
      <c r="J663" s="20">
        <v>0.71560000000000001</v>
      </c>
      <c r="K663" s="20">
        <v>0.78890000000000005</v>
      </c>
      <c r="L663" s="20">
        <v>0.85929999999999995</v>
      </c>
      <c r="M663" s="20">
        <v>0.92710000000000004</v>
      </c>
      <c r="N663" s="20">
        <v>0.99250000000000005</v>
      </c>
      <c r="O663" s="20">
        <v>1.0556000000000001</v>
      </c>
      <c r="P663" s="20">
        <v>1.1166</v>
      </c>
      <c r="Q663" s="20">
        <v>1.1756</v>
      </c>
      <c r="R663" s="20">
        <v>1.2326999999999999</v>
      </c>
      <c r="S663" s="20">
        <v>1.2881</v>
      </c>
      <c r="T663" s="20">
        <v>1.3419000000000001</v>
      </c>
      <c r="U663" s="20">
        <v>1.3939999999999999</v>
      </c>
      <c r="V663" s="20">
        <v>1.4447000000000001</v>
      </c>
      <c r="W663"/>
      <c r="X663"/>
      <c r="Y663"/>
      <c r="Z663"/>
    </row>
    <row r="664" spans="1:26" x14ac:dyDescent="0.2">
      <c r="A664" s="19">
        <v>0.65800000000000003</v>
      </c>
      <c r="B664" s="20">
        <v>0</v>
      </c>
      <c r="C664" s="20">
        <v>0.1048</v>
      </c>
      <c r="D664" s="20">
        <v>0.20449999999999999</v>
      </c>
      <c r="E664" s="20">
        <v>0.29959999999999998</v>
      </c>
      <c r="F664" s="20">
        <v>0.39040000000000002</v>
      </c>
      <c r="G664" s="20">
        <v>0.47710000000000002</v>
      </c>
      <c r="H664" s="20">
        <v>0.56010000000000004</v>
      </c>
      <c r="I664" s="20">
        <v>0.63959999999999995</v>
      </c>
      <c r="J664" s="20">
        <v>0.71589999999999998</v>
      </c>
      <c r="K664" s="20">
        <v>0.78920000000000001</v>
      </c>
      <c r="L664" s="20">
        <v>0.85960000000000003</v>
      </c>
      <c r="M664" s="20">
        <v>0.92749999999999999</v>
      </c>
      <c r="N664" s="20">
        <v>0.9929</v>
      </c>
      <c r="O664" s="20">
        <v>1.056</v>
      </c>
      <c r="P664" s="20">
        <v>1.117</v>
      </c>
      <c r="Q664" s="20">
        <v>1.1759999999999999</v>
      </c>
      <c r="R664" s="20">
        <v>1.2332000000000001</v>
      </c>
      <c r="S664" s="20">
        <v>1.2886</v>
      </c>
      <c r="T664" s="20">
        <v>1.3423</v>
      </c>
      <c r="U664" s="20">
        <v>1.3945000000000001</v>
      </c>
      <c r="V664" s="20">
        <v>1.4452</v>
      </c>
      <c r="W664"/>
      <c r="X664"/>
      <c r="Y664"/>
      <c r="Z664"/>
    </row>
    <row r="665" spans="1:26" x14ac:dyDescent="0.2">
      <c r="A665" s="19">
        <v>0.65900000000000003</v>
      </c>
      <c r="B665" s="20">
        <v>0</v>
      </c>
      <c r="C665" s="20">
        <v>0.1048</v>
      </c>
      <c r="D665" s="20">
        <v>0.2046</v>
      </c>
      <c r="E665" s="20">
        <v>0.29970000000000002</v>
      </c>
      <c r="F665" s="20">
        <v>0.39050000000000001</v>
      </c>
      <c r="G665" s="20">
        <v>0.4773</v>
      </c>
      <c r="H665" s="20">
        <v>0.56030000000000002</v>
      </c>
      <c r="I665" s="20">
        <v>0.63990000000000002</v>
      </c>
      <c r="J665" s="20">
        <v>0.71619999999999995</v>
      </c>
      <c r="K665" s="20">
        <v>0.78949999999999998</v>
      </c>
      <c r="L665" s="20">
        <v>0.86</v>
      </c>
      <c r="M665" s="20">
        <v>0.92779999999999996</v>
      </c>
      <c r="N665" s="20">
        <v>0.99329999999999996</v>
      </c>
      <c r="O665" s="20">
        <v>1.0564</v>
      </c>
      <c r="P665" s="20">
        <v>1.1173999999999999</v>
      </c>
      <c r="Q665" s="20">
        <v>1.1763999999999999</v>
      </c>
      <c r="R665" s="20">
        <v>1.2336</v>
      </c>
      <c r="S665" s="20">
        <v>1.2889999999999999</v>
      </c>
      <c r="T665" s="20">
        <v>1.3427</v>
      </c>
      <c r="U665" s="20">
        <v>1.3949</v>
      </c>
      <c r="V665" s="20">
        <v>1.4456</v>
      </c>
      <c r="W665"/>
      <c r="X665"/>
      <c r="Y665"/>
      <c r="Z665"/>
    </row>
    <row r="666" spans="1:26" x14ac:dyDescent="0.2">
      <c r="A666" s="19">
        <v>0.66</v>
      </c>
      <c r="B666" s="20">
        <v>0</v>
      </c>
      <c r="C666" s="20">
        <v>0.1048</v>
      </c>
      <c r="D666" s="20">
        <v>0.20469999999999999</v>
      </c>
      <c r="E666" s="20">
        <v>0.2999</v>
      </c>
      <c r="F666" s="20">
        <v>0.39069999999999999</v>
      </c>
      <c r="G666" s="20">
        <v>0.47749999999999998</v>
      </c>
      <c r="H666" s="20">
        <v>0.56059999999999999</v>
      </c>
      <c r="I666" s="20">
        <v>0.64019999999999999</v>
      </c>
      <c r="J666" s="20">
        <v>0.71650000000000003</v>
      </c>
      <c r="K666" s="20">
        <v>0.78979999999999995</v>
      </c>
      <c r="L666" s="20">
        <v>0.86029999999999995</v>
      </c>
      <c r="M666" s="20">
        <v>0.92820000000000003</v>
      </c>
      <c r="N666" s="20">
        <v>0.99360000000000004</v>
      </c>
      <c r="O666" s="20">
        <v>1.0568</v>
      </c>
      <c r="P666" s="20">
        <v>1.1177999999999999</v>
      </c>
      <c r="Q666" s="20">
        <v>1.1769000000000001</v>
      </c>
      <c r="R666" s="20">
        <v>1.234</v>
      </c>
      <c r="S666" s="20">
        <v>1.2894000000000001</v>
      </c>
      <c r="T666" s="20">
        <v>1.3431999999999999</v>
      </c>
      <c r="U666" s="20">
        <v>1.3954</v>
      </c>
      <c r="V666" s="20">
        <v>1.4460999999999999</v>
      </c>
      <c r="W666"/>
      <c r="X666"/>
      <c r="Y666"/>
      <c r="Z666"/>
    </row>
    <row r="667" spans="1:26" x14ac:dyDescent="0.2">
      <c r="A667" s="19">
        <v>0.66100000000000003</v>
      </c>
      <c r="B667" s="20">
        <v>0</v>
      </c>
      <c r="C667" s="20">
        <v>0.10489999999999999</v>
      </c>
      <c r="D667" s="20">
        <v>0.20480000000000001</v>
      </c>
      <c r="E667" s="20">
        <v>0.3</v>
      </c>
      <c r="F667" s="20">
        <v>0.39090000000000003</v>
      </c>
      <c r="G667" s="20">
        <v>0.47770000000000001</v>
      </c>
      <c r="H667" s="20">
        <v>0.56079999999999997</v>
      </c>
      <c r="I667" s="20">
        <v>0.64039999999999997</v>
      </c>
      <c r="J667" s="20">
        <v>0.71679999999999999</v>
      </c>
      <c r="K667" s="20">
        <v>0.79010000000000002</v>
      </c>
      <c r="L667" s="20">
        <v>0.86060000000000003</v>
      </c>
      <c r="M667" s="20">
        <v>0.92849999999999999</v>
      </c>
      <c r="N667" s="20">
        <v>0.99399999999999999</v>
      </c>
      <c r="O667" s="20">
        <v>1.0571999999999999</v>
      </c>
      <c r="P667" s="20">
        <v>1.1182000000000001</v>
      </c>
      <c r="Q667" s="20">
        <v>1.1773</v>
      </c>
      <c r="R667" s="20">
        <v>1.2343999999999999</v>
      </c>
      <c r="S667" s="20">
        <v>1.2898000000000001</v>
      </c>
      <c r="T667" s="20">
        <v>1.3435999999999999</v>
      </c>
      <c r="U667" s="20">
        <v>1.3957999999999999</v>
      </c>
      <c r="V667" s="20">
        <v>1.4464999999999999</v>
      </c>
      <c r="W667"/>
      <c r="X667"/>
      <c r="Y667"/>
      <c r="Z667"/>
    </row>
    <row r="668" spans="1:26" x14ac:dyDescent="0.2">
      <c r="A668" s="19">
        <v>0.66200000000000003</v>
      </c>
      <c r="B668" s="20">
        <v>0</v>
      </c>
      <c r="C668" s="20">
        <v>0.10489999999999999</v>
      </c>
      <c r="D668" s="20">
        <v>0.2049</v>
      </c>
      <c r="E668" s="20">
        <v>0.30009999999999998</v>
      </c>
      <c r="F668" s="20">
        <v>0.39100000000000001</v>
      </c>
      <c r="G668" s="20">
        <v>0.47789999999999999</v>
      </c>
      <c r="H668" s="20">
        <v>0.56100000000000005</v>
      </c>
      <c r="I668" s="20">
        <v>0.64070000000000005</v>
      </c>
      <c r="J668" s="20">
        <v>0.71709999999999996</v>
      </c>
      <c r="K668" s="20">
        <v>0.79039999999999999</v>
      </c>
      <c r="L668" s="20">
        <v>0.86099999999999999</v>
      </c>
      <c r="M668" s="20">
        <v>0.92889999999999995</v>
      </c>
      <c r="N668" s="20">
        <v>0.99439999999999995</v>
      </c>
      <c r="O668" s="20">
        <v>1.0576000000000001</v>
      </c>
      <c r="P668" s="20">
        <v>1.1186</v>
      </c>
      <c r="Q668" s="20">
        <v>1.1777</v>
      </c>
      <c r="R668" s="20">
        <v>1.2349000000000001</v>
      </c>
      <c r="S668" s="20">
        <v>1.2903</v>
      </c>
      <c r="T668" s="20">
        <v>1.3440000000000001</v>
      </c>
      <c r="U668" s="20">
        <v>1.3962000000000001</v>
      </c>
      <c r="V668" s="20">
        <v>1.4469000000000001</v>
      </c>
      <c r="W668"/>
      <c r="X668"/>
      <c r="Y668"/>
      <c r="Z668"/>
    </row>
    <row r="669" spans="1:26" x14ac:dyDescent="0.2">
      <c r="A669" s="19">
        <v>0.66300000000000003</v>
      </c>
      <c r="B669" s="20">
        <v>0</v>
      </c>
      <c r="C669" s="20">
        <v>0.105</v>
      </c>
      <c r="D669" s="20">
        <v>0.2049</v>
      </c>
      <c r="E669" s="20">
        <v>0.30020000000000002</v>
      </c>
      <c r="F669" s="20">
        <v>0.39119999999999999</v>
      </c>
      <c r="G669" s="20">
        <v>0.47810000000000002</v>
      </c>
      <c r="H669" s="20">
        <v>0.56130000000000002</v>
      </c>
      <c r="I669" s="20">
        <v>0.64090000000000003</v>
      </c>
      <c r="J669" s="20">
        <v>0.71740000000000004</v>
      </c>
      <c r="K669" s="20">
        <v>0.79069999999999996</v>
      </c>
      <c r="L669" s="20">
        <v>0.86129999999999995</v>
      </c>
      <c r="M669" s="20">
        <v>0.92930000000000001</v>
      </c>
      <c r="N669" s="20">
        <v>0.99470000000000003</v>
      </c>
      <c r="O669" s="20">
        <v>1.0580000000000001</v>
      </c>
      <c r="P669" s="20">
        <v>1.119</v>
      </c>
      <c r="Q669" s="20">
        <v>1.1780999999999999</v>
      </c>
      <c r="R669" s="20">
        <v>1.2353000000000001</v>
      </c>
      <c r="S669" s="20">
        <v>1.2907</v>
      </c>
      <c r="T669" s="20">
        <v>1.3445</v>
      </c>
      <c r="U669" s="20">
        <v>1.3967000000000001</v>
      </c>
      <c r="V669" s="20">
        <v>1.4474</v>
      </c>
      <c r="W669"/>
      <c r="X669"/>
      <c r="Y669"/>
      <c r="Z669"/>
    </row>
    <row r="670" spans="1:26" x14ac:dyDescent="0.2">
      <c r="A670" s="19">
        <v>0.66400000000000003</v>
      </c>
      <c r="B670" s="20">
        <v>0</v>
      </c>
      <c r="C670" s="20">
        <v>0.105</v>
      </c>
      <c r="D670" s="20">
        <v>0.20499999999999999</v>
      </c>
      <c r="E670" s="20">
        <v>0.3004</v>
      </c>
      <c r="F670" s="20">
        <v>0.39140000000000003</v>
      </c>
      <c r="G670" s="20">
        <v>0.4783</v>
      </c>
      <c r="H670" s="20">
        <v>0.5615</v>
      </c>
      <c r="I670" s="20">
        <v>0.64119999999999999</v>
      </c>
      <c r="J670" s="20">
        <v>0.71760000000000002</v>
      </c>
      <c r="K670" s="20">
        <v>0.79110000000000003</v>
      </c>
      <c r="L670" s="20">
        <v>0.86160000000000003</v>
      </c>
      <c r="M670" s="20">
        <v>0.92959999999999998</v>
      </c>
      <c r="N670" s="20">
        <v>0.99509999999999998</v>
      </c>
      <c r="O670" s="20">
        <v>1.0583</v>
      </c>
      <c r="P670" s="20">
        <v>1.1194</v>
      </c>
      <c r="Q670" s="20">
        <v>1.1785000000000001</v>
      </c>
      <c r="R670" s="20">
        <v>1.2357</v>
      </c>
      <c r="S670" s="20">
        <v>1.2910999999999999</v>
      </c>
      <c r="T670" s="20">
        <v>1.3449</v>
      </c>
      <c r="U670" s="20">
        <v>1.3971</v>
      </c>
      <c r="V670" s="20">
        <v>1.4478</v>
      </c>
      <c r="W670"/>
      <c r="X670"/>
      <c r="Y670"/>
      <c r="Z670"/>
    </row>
    <row r="671" spans="1:26" x14ac:dyDescent="0.2">
      <c r="A671" s="19">
        <v>0.66500000000000004</v>
      </c>
      <c r="B671" s="20">
        <v>0</v>
      </c>
      <c r="C671" s="20">
        <v>0.1051</v>
      </c>
      <c r="D671" s="20">
        <v>0.2051</v>
      </c>
      <c r="E671" s="20">
        <v>0.30049999999999999</v>
      </c>
      <c r="F671" s="20">
        <v>0.39150000000000001</v>
      </c>
      <c r="G671" s="20">
        <v>0.47849999999999998</v>
      </c>
      <c r="H671" s="20">
        <v>0.56169999999999998</v>
      </c>
      <c r="I671" s="20">
        <v>0.64149999999999996</v>
      </c>
      <c r="J671" s="20">
        <v>0.71789999999999998</v>
      </c>
      <c r="K671" s="20">
        <v>0.79139999999999999</v>
      </c>
      <c r="L671" s="20">
        <v>0.86199999999999999</v>
      </c>
      <c r="M671" s="20">
        <v>0.93</v>
      </c>
      <c r="N671" s="20">
        <v>0.99550000000000005</v>
      </c>
      <c r="O671" s="20">
        <v>1.0587</v>
      </c>
      <c r="P671" s="20">
        <v>1.1197999999999999</v>
      </c>
      <c r="Q671" s="20">
        <v>1.1789000000000001</v>
      </c>
      <c r="R671" s="20">
        <v>1.2361</v>
      </c>
      <c r="S671" s="20">
        <v>1.2916000000000001</v>
      </c>
      <c r="T671" s="20">
        <v>1.3452999999999999</v>
      </c>
      <c r="U671" s="20">
        <v>1.3975</v>
      </c>
      <c r="V671" s="20">
        <v>1.4481999999999999</v>
      </c>
      <c r="W671"/>
      <c r="X671"/>
      <c r="Y671"/>
      <c r="Z671"/>
    </row>
    <row r="672" spans="1:26" x14ac:dyDescent="0.2">
      <c r="A672" s="19">
        <v>0.66600000000000004</v>
      </c>
      <c r="B672" s="20">
        <v>0</v>
      </c>
      <c r="C672" s="20">
        <v>0.1051</v>
      </c>
      <c r="D672" s="20">
        <v>0.20519999999999999</v>
      </c>
      <c r="E672" s="20">
        <v>0.30059999999999998</v>
      </c>
      <c r="F672" s="20">
        <v>0.39169999999999999</v>
      </c>
      <c r="G672" s="20">
        <v>0.47870000000000001</v>
      </c>
      <c r="H672" s="20">
        <v>0.56200000000000006</v>
      </c>
      <c r="I672" s="20">
        <v>0.64170000000000005</v>
      </c>
      <c r="J672" s="20">
        <v>0.71819999999999995</v>
      </c>
      <c r="K672" s="20">
        <v>0.79169999999999996</v>
      </c>
      <c r="L672" s="20">
        <v>0.86229999999999996</v>
      </c>
      <c r="M672" s="20">
        <v>0.93030000000000002</v>
      </c>
      <c r="N672" s="20">
        <v>0.99590000000000001</v>
      </c>
      <c r="O672" s="20">
        <v>1.0590999999999999</v>
      </c>
      <c r="P672" s="20">
        <v>1.1202000000000001</v>
      </c>
      <c r="Q672" s="20">
        <v>1.1793</v>
      </c>
      <c r="R672" s="20">
        <v>1.2364999999999999</v>
      </c>
      <c r="S672" s="20">
        <v>1.292</v>
      </c>
      <c r="T672" s="20">
        <v>1.3458000000000001</v>
      </c>
      <c r="U672" s="20">
        <v>1.3979999999999999</v>
      </c>
      <c r="V672" s="20">
        <v>1.4487000000000001</v>
      </c>
      <c r="W672"/>
      <c r="X672"/>
      <c r="Y672"/>
      <c r="Z672"/>
    </row>
    <row r="673" spans="1:26" x14ac:dyDescent="0.2">
      <c r="A673" s="19">
        <v>0.66700000000000004</v>
      </c>
      <c r="B673" s="20">
        <v>0</v>
      </c>
      <c r="C673" s="20">
        <v>0.1052</v>
      </c>
      <c r="D673" s="20">
        <v>0.20530000000000001</v>
      </c>
      <c r="E673" s="20">
        <v>0.30070000000000002</v>
      </c>
      <c r="F673" s="20">
        <v>0.39179999999999998</v>
      </c>
      <c r="G673" s="20">
        <v>0.47889999999999999</v>
      </c>
      <c r="H673" s="20">
        <v>0.56220000000000003</v>
      </c>
      <c r="I673" s="20">
        <v>0.64200000000000002</v>
      </c>
      <c r="J673" s="20">
        <v>0.71850000000000003</v>
      </c>
      <c r="K673" s="20">
        <v>0.79200000000000004</v>
      </c>
      <c r="L673" s="20">
        <v>0.86260000000000003</v>
      </c>
      <c r="M673" s="20">
        <v>0.93069999999999997</v>
      </c>
      <c r="N673" s="20">
        <v>0.99619999999999997</v>
      </c>
      <c r="O673" s="20">
        <v>1.0595000000000001</v>
      </c>
      <c r="P673" s="20">
        <v>1.1206</v>
      </c>
      <c r="Q673" s="20">
        <v>1.1797</v>
      </c>
      <c r="R673" s="20">
        <v>1.2370000000000001</v>
      </c>
      <c r="S673" s="20">
        <v>1.2924</v>
      </c>
      <c r="T673" s="20">
        <v>1.3462000000000001</v>
      </c>
      <c r="U673" s="20">
        <v>1.3984000000000001</v>
      </c>
      <c r="V673" s="20">
        <v>1.4491000000000001</v>
      </c>
      <c r="W673"/>
      <c r="X673"/>
      <c r="Y673"/>
      <c r="Z673"/>
    </row>
    <row r="674" spans="1:26" x14ac:dyDescent="0.2">
      <c r="A674" s="19">
        <v>0.66800000000000004</v>
      </c>
      <c r="B674" s="20">
        <v>0</v>
      </c>
      <c r="C674" s="20">
        <v>0.1052</v>
      </c>
      <c r="D674" s="20">
        <v>0.2054</v>
      </c>
      <c r="E674" s="20">
        <v>0.3009</v>
      </c>
      <c r="F674" s="20">
        <v>0.39200000000000002</v>
      </c>
      <c r="G674" s="20">
        <v>0.47910000000000003</v>
      </c>
      <c r="H674" s="20">
        <v>0.56240000000000001</v>
      </c>
      <c r="I674" s="20">
        <v>0.64219999999999999</v>
      </c>
      <c r="J674" s="20">
        <v>0.71879999999999999</v>
      </c>
      <c r="K674" s="20">
        <v>0.7923</v>
      </c>
      <c r="L674" s="20">
        <v>0.86299999999999999</v>
      </c>
      <c r="M674" s="20">
        <v>0.93100000000000005</v>
      </c>
      <c r="N674" s="20">
        <v>0.99660000000000004</v>
      </c>
      <c r="O674" s="20">
        <v>1.0599000000000001</v>
      </c>
      <c r="P674" s="20">
        <v>1.121</v>
      </c>
      <c r="Q674" s="20">
        <v>1.1800999999999999</v>
      </c>
      <c r="R674" s="20">
        <v>1.2374000000000001</v>
      </c>
      <c r="S674" s="20">
        <v>1.2927999999999999</v>
      </c>
      <c r="T674" s="20">
        <v>1.3466</v>
      </c>
      <c r="U674" s="20">
        <v>1.3988</v>
      </c>
      <c r="V674" s="20">
        <v>1.4495</v>
      </c>
      <c r="W674"/>
      <c r="X674"/>
      <c r="Y674"/>
      <c r="Z674"/>
    </row>
    <row r="675" spans="1:26" x14ac:dyDescent="0.2">
      <c r="A675" s="19">
        <v>0.66900000000000004</v>
      </c>
      <c r="B675" s="20">
        <v>0</v>
      </c>
      <c r="C675" s="20">
        <v>0.1052</v>
      </c>
      <c r="D675" s="20">
        <v>0.20549999999999999</v>
      </c>
      <c r="E675" s="20">
        <v>0.30099999999999999</v>
      </c>
      <c r="F675" s="20">
        <v>0.39219999999999999</v>
      </c>
      <c r="G675" s="20">
        <v>0.4793</v>
      </c>
      <c r="H675" s="20">
        <v>0.56259999999999999</v>
      </c>
      <c r="I675" s="20">
        <v>0.64249999999999996</v>
      </c>
      <c r="J675" s="20">
        <v>0.71909999999999996</v>
      </c>
      <c r="K675" s="20">
        <v>0.79259999999999997</v>
      </c>
      <c r="L675" s="20">
        <v>0.86329999999999996</v>
      </c>
      <c r="M675" s="20">
        <v>0.93140000000000001</v>
      </c>
      <c r="N675" s="20">
        <v>0.997</v>
      </c>
      <c r="O675" s="20">
        <v>1.0603</v>
      </c>
      <c r="P675" s="20">
        <v>1.1214</v>
      </c>
      <c r="Q675" s="20">
        <v>1.1805000000000001</v>
      </c>
      <c r="R675" s="20">
        <v>1.2378</v>
      </c>
      <c r="S675" s="20">
        <v>1.2932999999999999</v>
      </c>
      <c r="T675" s="20">
        <v>1.347</v>
      </c>
      <c r="U675" s="20">
        <v>1.3993</v>
      </c>
      <c r="V675" s="20">
        <v>1.45</v>
      </c>
      <c r="W675"/>
      <c r="X675"/>
      <c r="Y675"/>
      <c r="Z675"/>
    </row>
    <row r="676" spans="1:26" x14ac:dyDescent="0.2">
      <c r="A676" s="19">
        <v>0.67</v>
      </c>
      <c r="B676" s="20">
        <v>0</v>
      </c>
      <c r="C676" s="20">
        <v>0.1053</v>
      </c>
      <c r="D676" s="20">
        <v>0.20549999999999999</v>
      </c>
      <c r="E676" s="20">
        <v>0.30109999999999998</v>
      </c>
      <c r="F676" s="20">
        <v>0.39229999999999998</v>
      </c>
      <c r="G676" s="20">
        <v>0.47949999999999998</v>
      </c>
      <c r="H676" s="20">
        <v>0.56289999999999996</v>
      </c>
      <c r="I676" s="20">
        <v>0.64270000000000005</v>
      </c>
      <c r="J676" s="20">
        <v>0.71940000000000004</v>
      </c>
      <c r="K676" s="20">
        <v>0.79290000000000005</v>
      </c>
      <c r="L676" s="20">
        <v>0.86360000000000003</v>
      </c>
      <c r="M676" s="20">
        <v>0.93169999999999997</v>
      </c>
      <c r="N676" s="20">
        <v>0.99729999999999996</v>
      </c>
      <c r="O676" s="20">
        <v>1.0607</v>
      </c>
      <c r="P676" s="20">
        <v>1.1217999999999999</v>
      </c>
      <c r="Q676" s="20">
        <v>1.181</v>
      </c>
      <c r="R676" s="20">
        <v>1.2382</v>
      </c>
      <c r="S676" s="20">
        <v>1.2937000000000001</v>
      </c>
      <c r="T676" s="20">
        <v>1.3474999999999999</v>
      </c>
      <c r="U676" s="20">
        <v>1.3996999999999999</v>
      </c>
      <c r="V676" s="20">
        <v>1.4503999999999999</v>
      </c>
      <c r="W676"/>
      <c r="X676"/>
      <c r="Y676"/>
      <c r="Z676"/>
    </row>
    <row r="677" spans="1:26" x14ac:dyDescent="0.2">
      <c r="A677" s="19">
        <v>0.67100000000000004</v>
      </c>
      <c r="B677" s="20">
        <v>0</v>
      </c>
      <c r="C677" s="20">
        <v>0.1053</v>
      </c>
      <c r="D677" s="20">
        <v>0.2056</v>
      </c>
      <c r="E677" s="20">
        <v>0.30120000000000002</v>
      </c>
      <c r="F677" s="20">
        <v>0.39250000000000002</v>
      </c>
      <c r="G677" s="20">
        <v>0.47970000000000002</v>
      </c>
      <c r="H677" s="20">
        <v>0.56310000000000004</v>
      </c>
      <c r="I677" s="20">
        <v>0.64300000000000002</v>
      </c>
      <c r="J677" s="20">
        <v>0.71960000000000002</v>
      </c>
      <c r="K677" s="20">
        <v>0.79320000000000002</v>
      </c>
      <c r="L677" s="20">
        <v>0.86399999999999999</v>
      </c>
      <c r="M677" s="20">
        <v>0.93210000000000004</v>
      </c>
      <c r="N677" s="20">
        <v>0.99770000000000003</v>
      </c>
      <c r="O677" s="20">
        <v>1.0609999999999999</v>
      </c>
      <c r="P677" s="20">
        <v>1.1222000000000001</v>
      </c>
      <c r="Q677" s="20">
        <v>1.1814</v>
      </c>
      <c r="R677" s="20">
        <v>1.2385999999999999</v>
      </c>
      <c r="S677" s="20">
        <v>1.2941</v>
      </c>
      <c r="T677" s="20">
        <v>1.3479000000000001</v>
      </c>
      <c r="U677" s="20">
        <v>1.4000999999999999</v>
      </c>
      <c r="V677" s="20">
        <v>1.4508000000000001</v>
      </c>
      <c r="W677"/>
      <c r="X677"/>
      <c r="Y677"/>
      <c r="Z677"/>
    </row>
    <row r="678" spans="1:26" x14ac:dyDescent="0.2">
      <c r="A678" s="19">
        <v>0.67200000000000004</v>
      </c>
      <c r="B678" s="20">
        <v>0</v>
      </c>
      <c r="C678" s="20">
        <v>0.10539999999999999</v>
      </c>
      <c r="D678" s="20">
        <v>0.20569999999999999</v>
      </c>
      <c r="E678" s="20">
        <v>0.3014</v>
      </c>
      <c r="F678" s="20">
        <v>0.39269999999999999</v>
      </c>
      <c r="G678" s="20">
        <v>0.47989999999999999</v>
      </c>
      <c r="H678" s="20">
        <v>0.56330000000000002</v>
      </c>
      <c r="I678" s="20">
        <v>0.64329999999999998</v>
      </c>
      <c r="J678" s="20">
        <v>0.71989999999999998</v>
      </c>
      <c r="K678" s="20">
        <v>0.79349999999999998</v>
      </c>
      <c r="L678" s="20">
        <v>0.86429999999999996</v>
      </c>
      <c r="M678" s="20">
        <v>0.93240000000000001</v>
      </c>
      <c r="N678" s="20">
        <v>0.99809999999999999</v>
      </c>
      <c r="O678" s="20">
        <v>1.0613999999999999</v>
      </c>
      <c r="P678" s="20">
        <v>1.1226</v>
      </c>
      <c r="Q678" s="20">
        <v>1.1818</v>
      </c>
      <c r="R678" s="20">
        <v>1.2390000000000001</v>
      </c>
      <c r="S678" s="20">
        <v>1.2945</v>
      </c>
      <c r="T678" s="20">
        <v>1.3483000000000001</v>
      </c>
      <c r="U678" s="20">
        <v>1.4005000000000001</v>
      </c>
      <c r="V678" s="20">
        <v>1.4513</v>
      </c>
      <c r="W678"/>
      <c r="X678"/>
      <c r="Y678"/>
      <c r="Z678"/>
    </row>
    <row r="679" spans="1:26" x14ac:dyDescent="0.2">
      <c r="A679" s="19">
        <v>0.67300000000000004</v>
      </c>
      <c r="B679" s="20">
        <v>0</v>
      </c>
      <c r="C679" s="20">
        <v>0.10539999999999999</v>
      </c>
      <c r="D679" s="20">
        <v>0.20580000000000001</v>
      </c>
      <c r="E679" s="20">
        <v>0.30149999999999999</v>
      </c>
      <c r="F679" s="20">
        <v>0.39279999999999998</v>
      </c>
      <c r="G679" s="20">
        <v>0.48010000000000003</v>
      </c>
      <c r="H679" s="20">
        <v>0.56359999999999999</v>
      </c>
      <c r="I679" s="20">
        <v>0.64349999999999996</v>
      </c>
      <c r="J679" s="20">
        <v>0.72019999999999995</v>
      </c>
      <c r="K679" s="20">
        <v>0.79379999999999995</v>
      </c>
      <c r="L679" s="20">
        <v>0.86460000000000004</v>
      </c>
      <c r="M679" s="20">
        <v>0.93279999999999996</v>
      </c>
      <c r="N679" s="20">
        <v>0.99839999999999995</v>
      </c>
      <c r="O679" s="20">
        <v>1.0618000000000001</v>
      </c>
      <c r="P679" s="20">
        <v>1.123</v>
      </c>
      <c r="Q679" s="20">
        <v>1.1821999999999999</v>
      </c>
      <c r="R679" s="20">
        <v>1.2394000000000001</v>
      </c>
      <c r="S679" s="20">
        <v>1.2948999999999999</v>
      </c>
      <c r="T679" s="20">
        <v>1.3487</v>
      </c>
      <c r="U679" s="20">
        <v>1.401</v>
      </c>
      <c r="V679" s="20">
        <v>1.4517</v>
      </c>
      <c r="W679"/>
      <c r="X679"/>
      <c r="Y679"/>
      <c r="Z679"/>
    </row>
    <row r="680" spans="1:26" x14ac:dyDescent="0.2">
      <c r="A680" s="19">
        <v>0.67400000000000004</v>
      </c>
      <c r="B680" s="20">
        <v>0</v>
      </c>
      <c r="C680" s="20">
        <v>0.1055</v>
      </c>
      <c r="D680" s="20">
        <v>0.2059</v>
      </c>
      <c r="E680" s="20">
        <v>0.30159999999999998</v>
      </c>
      <c r="F680" s="20">
        <v>0.39300000000000002</v>
      </c>
      <c r="G680" s="20">
        <v>0.4803</v>
      </c>
      <c r="H680" s="20">
        <v>0.56379999999999997</v>
      </c>
      <c r="I680" s="20">
        <v>0.64380000000000004</v>
      </c>
      <c r="J680" s="20">
        <v>0.72050000000000003</v>
      </c>
      <c r="K680" s="20">
        <v>0.79410000000000003</v>
      </c>
      <c r="L680" s="20">
        <v>0.86499999999999999</v>
      </c>
      <c r="M680" s="20">
        <v>0.93310000000000004</v>
      </c>
      <c r="N680" s="20">
        <v>0.99880000000000002</v>
      </c>
      <c r="O680" s="20">
        <v>1.0622</v>
      </c>
      <c r="P680" s="20">
        <v>1.1234</v>
      </c>
      <c r="Q680" s="20">
        <v>1.1826000000000001</v>
      </c>
      <c r="R680" s="20">
        <v>1.2399</v>
      </c>
      <c r="S680" s="20">
        <v>1.2954000000000001</v>
      </c>
      <c r="T680" s="20">
        <v>1.3492</v>
      </c>
      <c r="U680" s="20">
        <v>1.4014</v>
      </c>
      <c r="V680" s="20">
        <v>1.4520999999999999</v>
      </c>
      <c r="W680"/>
      <c r="X680"/>
      <c r="Y680"/>
      <c r="Z680"/>
    </row>
    <row r="681" spans="1:26" x14ac:dyDescent="0.2">
      <c r="A681" s="19">
        <v>0.67500000000000004</v>
      </c>
      <c r="B681" s="20">
        <v>0</v>
      </c>
      <c r="C681" s="20">
        <v>0.1055</v>
      </c>
      <c r="D681" s="20">
        <v>0.20599999999999999</v>
      </c>
      <c r="E681" s="20">
        <v>0.30170000000000002</v>
      </c>
      <c r="F681" s="20">
        <v>0.3931</v>
      </c>
      <c r="G681" s="20">
        <v>0.48049999999999998</v>
      </c>
      <c r="H681" s="20">
        <v>0.56399999999999995</v>
      </c>
      <c r="I681" s="20">
        <v>0.64400000000000002</v>
      </c>
      <c r="J681" s="20">
        <v>0.7208</v>
      </c>
      <c r="K681" s="20">
        <v>0.79449999999999998</v>
      </c>
      <c r="L681" s="20">
        <v>0.86529999999999996</v>
      </c>
      <c r="M681" s="20">
        <v>0.9335</v>
      </c>
      <c r="N681" s="20">
        <v>0.99919999999999998</v>
      </c>
      <c r="O681" s="20">
        <v>1.0626</v>
      </c>
      <c r="P681" s="20">
        <v>1.1237999999999999</v>
      </c>
      <c r="Q681" s="20">
        <v>1.1830000000000001</v>
      </c>
      <c r="R681" s="20">
        <v>1.2403</v>
      </c>
      <c r="S681" s="20">
        <v>1.2958000000000001</v>
      </c>
      <c r="T681" s="20">
        <v>1.3495999999999999</v>
      </c>
      <c r="U681" s="20">
        <v>1.4017999999999999</v>
      </c>
      <c r="V681" s="20">
        <v>1.4524999999999999</v>
      </c>
      <c r="W681"/>
      <c r="X681"/>
      <c r="Y681"/>
      <c r="Z681"/>
    </row>
    <row r="682" spans="1:26" x14ac:dyDescent="0.2">
      <c r="A682" s="19">
        <v>0.67600000000000005</v>
      </c>
      <c r="B682" s="20">
        <v>0</v>
      </c>
      <c r="C682" s="20">
        <v>0.1055</v>
      </c>
      <c r="D682" s="20">
        <v>0.20610000000000001</v>
      </c>
      <c r="E682" s="20">
        <v>0.3019</v>
      </c>
      <c r="F682" s="20">
        <v>0.39329999999999998</v>
      </c>
      <c r="G682" s="20">
        <v>0.48070000000000002</v>
      </c>
      <c r="H682" s="20">
        <v>0.56420000000000003</v>
      </c>
      <c r="I682" s="20">
        <v>0.64429999999999998</v>
      </c>
      <c r="J682" s="20">
        <v>0.72109999999999996</v>
      </c>
      <c r="K682" s="20">
        <v>0.79479999999999995</v>
      </c>
      <c r="L682" s="20">
        <v>0.86560000000000004</v>
      </c>
      <c r="M682" s="20">
        <v>0.93379999999999996</v>
      </c>
      <c r="N682" s="20">
        <v>0.99950000000000006</v>
      </c>
      <c r="O682" s="20">
        <v>1.0629</v>
      </c>
      <c r="P682" s="20">
        <v>1.1242000000000001</v>
      </c>
      <c r="Q682" s="20">
        <v>1.1834</v>
      </c>
      <c r="R682" s="20">
        <v>1.2406999999999999</v>
      </c>
      <c r="S682" s="20">
        <v>1.2962</v>
      </c>
      <c r="T682" s="20">
        <v>1.35</v>
      </c>
      <c r="U682" s="20">
        <v>1.4021999999999999</v>
      </c>
      <c r="V682" s="20">
        <v>1.4530000000000001</v>
      </c>
      <c r="W682"/>
      <c r="X682"/>
      <c r="Y682"/>
      <c r="Z682"/>
    </row>
    <row r="683" spans="1:26" x14ac:dyDescent="0.2">
      <c r="A683" s="19">
        <v>0.67700000000000005</v>
      </c>
      <c r="B683" s="20">
        <v>0</v>
      </c>
      <c r="C683" s="20">
        <v>0.1056</v>
      </c>
      <c r="D683" s="20">
        <v>0.20610000000000001</v>
      </c>
      <c r="E683" s="20">
        <v>0.30199999999999999</v>
      </c>
      <c r="F683" s="20">
        <v>0.39350000000000002</v>
      </c>
      <c r="G683" s="20">
        <v>0.48089999999999999</v>
      </c>
      <c r="H683" s="20">
        <v>0.5645</v>
      </c>
      <c r="I683" s="20">
        <v>0.64449999999999996</v>
      </c>
      <c r="J683" s="20">
        <v>0.72130000000000005</v>
      </c>
      <c r="K683" s="20">
        <v>0.79510000000000003</v>
      </c>
      <c r="L683" s="20">
        <v>0.8659</v>
      </c>
      <c r="M683" s="20">
        <v>0.93420000000000003</v>
      </c>
      <c r="N683" s="20">
        <v>0.99990000000000001</v>
      </c>
      <c r="O683" s="20">
        <v>1.0632999999999999</v>
      </c>
      <c r="P683" s="20">
        <v>1.1246</v>
      </c>
      <c r="Q683" s="20">
        <v>1.1838</v>
      </c>
      <c r="R683" s="20">
        <v>1.2411000000000001</v>
      </c>
      <c r="S683" s="20">
        <v>1.2966</v>
      </c>
      <c r="T683" s="20">
        <v>1.3504</v>
      </c>
      <c r="U683" s="20">
        <v>1.4027000000000001</v>
      </c>
      <c r="V683" s="20">
        <v>1.4534</v>
      </c>
      <c r="W683"/>
      <c r="X683"/>
      <c r="Y683"/>
      <c r="Z683"/>
    </row>
    <row r="684" spans="1:26" x14ac:dyDescent="0.2">
      <c r="A684" s="19">
        <v>0.67800000000000005</v>
      </c>
      <c r="B684" s="20">
        <v>0</v>
      </c>
      <c r="C684" s="20">
        <v>0.1056</v>
      </c>
      <c r="D684" s="20">
        <v>0.20619999999999999</v>
      </c>
      <c r="E684" s="20">
        <v>0.30209999999999998</v>
      </c>
      <c r="F684" s="20">
        <v>0.39360000000000001</v>
      </c>
      <c r="G684" s="20">
        <v>0.48099999999999998</v>
      </c>
      <c r="H684" s="20">
        <v>0.56469999999999998</v>
      </c>
      <c r="I684" s="20">
        <v>0.64480000000000004</v>
      </c>
      <c r="J684" s="20">
        <v>0.72160000000000002</v>
      </c>
      <c r="K684" s="20">
        <v>0.7954</v>
      </c>
      <c r="L684" s="20">
        <v>0.86629999999999996</v>
      </c>
      <c r="M684" s="20">
        <v>0.9345</v>
      </c>
      <c r="N684" s="20">
        <v>1.0003</v>
      </c>
      <c r="O684" s="20">
        <v>1.0637000000000001</v>
      </c>
      <c r="P684" s="20">
        <v>1.125</v>
      </c>
      <c r="Q684" s="20">
        <v>1.1841999999999999</v>
      </c>
      <c r="R684" s="20">
        <v>1.2415</v>
      </c>
      <c r="S684" s="20">
        <v>1.2969999999999999</v>
      </c>
      <c r="T684" s="20">
        <v>1.3509</v>
      </c>
      <c r="U684" s="20">
        <v>1.4031</v>
      </c>
      <c r="V684" s="20">
        <v>1.4538</v>
      </c>
      <c r="W684"/>
      <c r="X684"/>
      <c r="Y684"/>
      <c r="Z684"/>
    </row>
    <row r="685" spans="1:26" x14ac:dyDescent="0.2">
      <c r="A685" s="19">
        <v>0.67900000000000005</v>
      </c>
      <c r="B685" s="20">
        <v>0</v>
      </c>
      <c r="C685" s="20">
        <v>0.1057</v>
      </c>
      <c r="D685" s="20">
        <v>0.20630000000000001</v>
      </c>
      <c r="E685" s="20">
        <v>0.30220000000000002</v>
      </c>
      <c r="F685" s="20">
        <v>0.39379999999999998</v>
      </c>
      <c r="G685" s="20">
        <v>0.48120000000000002</v>
      </c>
      <c r="H685" s="20">
        <v>0.56489999999999996</v>
      </c>
      <c r="I685" s="20">
        <v>0.64500000000000002</v>
      </c>
      <c r="J685" s="20">
        <v>0.72189999999999999</v>
      </c>
      <c r="K685" s="20">
        <v>0.79569999999999996</v>
      </c>
      <c r="L685" s="20">
        <v>0.86660000000000004</v>
      </c>
      <c r="M685" s="20">
        <v>0.93489999999999995</v>
      </c>
      <c r="N685" s="20">
        <v>1.0005999999999999</v>
      </c>
      <c r="O685" s="20">
        <v>1.0641</v>
      </c>
      <c r="P685" s="20">
        <v>1.1254</v>
      </c>
      <c r="Q685" s="20">
        <v>1.1846000000000001</v>
      </c>
      <c r="R685" s="20">
        <v>1.2419</v>
      </c>
      <c r="S685" s="20">
        <v>1.2974000000000001</v>
      </c>
      <c r="T685" s="20">
        <v>1.3512999999999999</v>
      </c>
      <c r="U685" s="20">
        <v>1.4035</v>
      </c>
      <c r="V685" s="20">
        <v>1.4541999999999999</v>
      </c>
      <c r="W685"/>
      <c r="X685"/>
      <c r="Y685"/>
      <c r="Z685"/>
    </row>
    <row r="686" spans="1:26" x14ac:dyDescent="0.2">
      <c r="A686" s="19">
        <v>0.68</v>
      </c>
      <c r="B686" s="20">
        <v>0</v>
      </c>
      <c r="C686" s="20">
        <v>0.1057</v>
      </c>
      <c r="D686" s="20">
        <v>0.2064</v>
      </c>
      <c r="E686" s="20">
        <v>0.3024</v>
      </c>
      <c r="F686" s="20">
        <v>0.39389999999999997</v>
      </c>
      <c r="G686" s="20">
        <v>0.48139999999999999</v>
      </c>
      <c r="H686" s="20">
        <v>0.56510000000000005</v>
      </c>
      <c r="I686" s="20">
        <v>0.64529999999999998</v>
      </c>
      <c r="J686" s="20">
        <v>0.72219999999999995</v>
      </c>
      <c r="K686" s="20">
        <v>0.79600000000000004</v>
      </c>
      <c r="L686" s="20">
        <v>0.8669</v>
      </c>
      <c r="M686" s="20">
        <v>0.93520000000000003</v>
      </c>
      <c r="N686" s="20">
        <v>1.0009999999999999</v>
      </c>
      <c r="O686" s="20">
        <v>1.0645</v>
      </c>
      <c r="P686" s="20">
        <v>1.1256999999999999</v>
      </c>
      <c r="Q686" s="20">
        <v>1.1850000000000001</v>
      </c>
      <c r="R686" s="20">
        <v>1.2423</v>
      </c>
      <c r="S686" s="20">
        <v>1.2979000000000001</v>
      </c>
      <c r="T686" s="20">
        <v>1.3516999999999999</v>
      </c>
      <c r="U686" s="20">
        <v>1.4038999999999999</v>
      </c>
      <c r="V686" s="20">
        <v>1.4547000000000001</v>
      </c>
      <c r="W686"/>
      <c r="X686"/>
      <c r="Y686"/>
      <c r="Z686"/>
    </row>
    <row r="687" spans="1:26" x14ac:dyDescent="0.2">
      <c r="A687" s="19">
        <v>0.68100000000000005</v>
      </c>
      <c r="B687" s="20">
        <v>0</v>
      </c>
      <c r="C687" s="20">
        <v>0.10580000000000001</v>
      </c>
      <c r="D687" s="20">
        <v>0.20649999999999999</v>
      </c>
      <c r="E687" s="20">
        <v>0.30249999999999999</v>
      </c>
      <c r="F687" s="20">
        <v>0.39410000000000001</v>
      </c>
      <c r="G687" s="20">
        <v>0.48159999999999997</v>
      </c>
      <c r="H687" s="20">
        <v>0.56540000000000001</v>
      </c>
      <c r="I687" s="20">
        <v>0.64559999999999995</v>
      </c>
      <c r="J687" s="20">
        <v>0.72250000000000003</v>
      </c>
      <c r="K687" s="20">
        <v>0.79630000000000001</v>
      </c>
      <c r="L687" s="20">
        <v>0.86719999999999997</v>
      </c>
      <c r="M687" s="20">
        <v>0.9355</v>
      </c>
      <c r="N687" s="20">
        <v>1.0014000000000001</v>
      </c>
      <c r="O687" s="20">
        <v>1.0648</v>
      </c>
      <c r="P687" s="20">
        <v>1.1261000000000001</v>
      </c>
      <c r="Q687" s="20">
        <v>1.1854</v>
      </c>
      <c r="R687" s="20">
        <v>1.2426999999999999</v>
      </c>
      <c r="S687" s="20">
        <v>1.2983</v>
      </c>
      <c r="T687" s="20">
        <v>1.3521000000000001</v>
      </c>
      <c r="U687" s="20">
        <v>1.4044000000000001</v>
      </c>
      <c r="V687" s="20">
        <v>1.4551000000000001</v>
      </c>
      <c r="W687"/>
      <c r="X687"/>
      <c r="Y687"/>
      <c r="Z687"/>
    </row>
    <row r="688" spans="1:26" x14ac:dyDescent="0.2">
      <c r="A688" s="19">
        <v>0.68200000000000005</v>
      </c>
      <c r="B688" s="20">
        <v>0</v>
      </c>
      <c r="C688" s="20">
        <v>0.10580000000000001</v>
      </c>
      <c r="D688" s="20">
        <v>0.20660000000000001</v>
      </c>
      <c r="E688" s="20">
        <v>0.30259999999999998</v>
      </c>
      <c r="F688" s="20">
        <v>0.39419999999999999</v>
      </c>
      <c r="G688" s="20">
        <v>0.48180000000000001</v>
      </c>
      <c r="H688" s="20">
        <v>0.56559999999999999</v>
      </c>
      <c r="I688" s="20">
        <v>0.64580000000000004</v>
      </c>
      <c r="J688" s="20">
        <v>0.72270000000000001</v>
      </c>
      <c r="K688" s="20">
        <v>0.79659999999999997</v>
      </c>
      <c r="L688" s="20">
        <v>0.86760000000000004</v>
      </c>
      <c r="M688" s="20">
        <v>0.93589999999999995</v>
      </c>
      <c r="N688" s="20">
        <v>1.0017</v>
      </c>
      <c r="O688" s="20">
        <v>1.0651999999999999</v>
      </c>
      <c r="P688" s="20">
        <v>1.1265000000000001</v>
      </c>
      <c r="Q688" s="20">
        <v>1.1858</v>
      </c>
      <c r="R688" s="20">
        <v>1.2431000000000001</v>
      </c>
      <c r="S688" s="20">
        <v>1.2987</v>
      </c>
      <c r="T688" s="20">
        <v>1.3525</v>
      </c>
      <c r="U688" s="20">
        <v>1.4048</v>
      </c>
      <c r="V688" s="20">
        <v>1.4555</v>
      </c>
      <c r="W688"/>
      <c r="X688"/>
      <c r="Y688"/>
      <c r="Z688"/>
    </row>
    <row r="689" spans="1:26" x14ac:dyDescent="0.2">
      <c r="A689" s="19">
        <v>0.68300000000000005</v>
      </c>
      <c r="B689" s="20">
        <v>0</v>
      </c>
      <c r="C689" s="20">
        <v>0.10580000000000001</v>
      </c>
      <c r="D689" s="20">
        <v>0.20660000000000001</v>
      </c>
      <c r="E689" s="20">
        <v>0.30270000000000002</v>
      </c>
      <c r="F689" s="20">
        <v>0.39439999999999997</v>
      </c>
      <c r="G689" s="20">
        <v>0.48199999999999998</v>
      </c>
      <c r="H689" s="20">
        <v>0.56579999999999997</v>
      </c>
      <c r="I689" s="20">
        <v>0.64610000000000001</v>
      </c>
      <c r="J689" s="20">
        <v>0.72299999999999998</v>
      </c>
      <c r="K689" s="20">
        <v>0.79690000000000005</v>
      </c>
      <c r="L689" s="20">
        <v>0.8679</v>
      </c>
      <c r="M689" s="20">
        <v>0.93620000000000003</v>
      </c>
      <c r="N689" s="20">
        <v>1.0021</v>
      </c>
      <c r="O689" s="20">
        <v>1.0656000000000001</v>
      </c>
      <c r="P689" s="20">
        <v>1.1269</v>
      </c>
      <c r="Q689" s="20">
        <v>1.1861999999999999</v>
      </c>
      <c r="R689" s="20">
        <v>1.2436</v>
      </c>
      <c r="S689" s="20">
        <v>1.2990999999999999</v>
      </c>
      <c r="T689" s="20">
        <v>1.353</v>
      </c>
      <c r="U689" s="20">
        <v>1.4052</v>
      </c>
      <c r="V689" s="20">
        <v>1.4559</v>
      </c>
      <c r="W689"/>
      <c r="X689"/>
      <c r="Y689"/>
      <c r="Z689"/>
    </row>
    <row r="690" spans="1:26" x14ac:dyDescent="0.2">
      <c r="A690" s="19">
        <v>0.68400000000000005</v>
      </c>
      <c r="B690" s="20">
        <v>0</v>
      </c>
      <c r="C690" s="20">
        <v>0.10589999999999999</v>
      </c>
      <c r="D690" s="20">
        <v>0.20669999999999999</v>
      </c>
      <c r="E690" s="20">
        <v>0.30280000000000001</v>
      </c>
      <c r="F690" s="20">
        <v>0.39460000000000001</v>
      </c>
      <c r="G690" s="20">
        <v>0.48220000000000002</v>
      </c>
      <c r="H690" s="20">
        <v>0.56599999999999995</v>
      </c>
      <c r="I690" s="20">
        <v>0.64629999999999999</v>
      </c>
      <c r="J690" s="20">
        <v>0.72330000000000005</v>
      </c>
      <c r="K690" s="20">
        <v>0.79720000000000002</v>
      </c>
      <c r="L690" s="20">
        <v>0.86819999999999997</v>
      </c>
      <c r="M690" s="20">
        <v>0.93659999999999999</v>
      </c>
      <c r="N690" s="20">
        <v>1.0024</v>
      </c>
      <c r="O690" s="20">
        <v>1.0660000000000001</v>
      </c>
      <c r="P690" s="20">
        <v>1.1273</v>
      </c>
      <c r="Q690" s="20">
        <v>1.1866000000000001</v>
      </c>
      <c r="R690" s="20">
        <v>1.244</v>
      </c>
      <c r="S690" s="20">
        <v>1.2995000000000001</v>
      </c>
      <c r="T690" s="20">
        <v>1.3533999999999999</v>
      </c>
      <c r="U690" s="20">
        <v>1.4056</v>
      </c>
      <c r="V690" s="20">
        <v>1.4563999999999999</v>
      </c>
      <c r="W690"/>
      <c r="X690"/>
      <c r="Y690"/>
      <c r="Z690"/>
    </row>
    <row r="691" spans="1:26" x14ac:dyDescent="0.2">
      <c r="A691" s="19">
        <v>0.68500000000000005</v>
      </c>
      <c r="B691" s="20">
        <v>0</v>
      </c>
      <c r="C691" s="20">
        <v>0.10589999999999999</v>
      </c>
      <c r="D691" s="20">
        <v>0.20680000000000001</v>
      </c>
      <c r="E691" s="20">
        <v>0.30299999999999999</v>
      </c>
      <c r="F691" s="20">
        <v>0.3947</v>
      </c>
      <c r="G691" s="20">
        <v>0.4824</v>
      </c>
      <c r="H691" s="20">
        <v>0.56630000000000003</v>
      </c>
      <c r="I691" s="20">
        <v>0.64659999999999995</v>
      </c>
      <c r="J691" s="20">
        <v>0.72360000000000002</v>
      </c>
      <c r="K691" s="20">
        <v>0.79749999999999999</v>
      </c>
      <c r="L691" s="20">
        <v>0.86850000000000005</v>
      </c>
      <c r="M691" s="20">
        <v>0.93689999999999996</v>
      </c>
      <c r="N691" s="20">
        <v>1.0027999999999999</v>
      </c>
      <c r="O691" s="20">
        <v>1.0663</v>
      </c>
      <c r="P691" s="20">
        <v>1.1276999999999999</v>
      </c>
      <c r="Q691" s="20">
        <v>1.1870000000000001</v>
      </c>
      <c r="R691" s="20">
        <v>1.2444</v>
      </c>
      <c r="S691" s="20">
        <v>1.2999000000000001</v>
      </c>
      <c r="T691" s="20">
        <v>1.3537999999999999</v>
      </c>
      <c r="U691" s="20">
        <v>1.4059999999999999</v>
      </c>
      <c r="V691" s="20">
        <v>1.4568000000000001</v>
      </c>
      <c r="W691"/>
      <c r="X691"/>
      <c r="Y691"/>
      <c r="Z691"/>
    </row>
    <row r="692" spans="1:26" x14ac:dyDescent="0.2">
      <c r="A692" s="19">
        <v>0.68600000000000005</v>
      </c>
      <c r="B692" s="20">
        <v>0</v>
      </c>
      <c r="C692" s="20">
        <v>0.106</v>
      </c>
      <c r="D692" s="20">
        <v>0.2069</v>
      </c>
      <c r="E692" s="20">
        <v>0.30309999999999998</v>
      </c>
      <c r="F692" s="20">
        <v>0.39489999999999997</v>
      </c>
      <c r="G692" s="20">
        <v>0.48259999999999997</v>
      </c>
      <c r="H692" s="20">
        <v>0.5665</v>
      </c>
      <c r="I692" s="20">
        <v>0.64680000000000004</v>
      </c>
      <c r="J692" s="20">
        <v>0.7238</v>
      </c>
      <c r="K692" s="20">
        <v>0.79779999999999995</v>
      </c>
      <c r="L692" s="20">
        <v>0.86890000000000001</v>
      </c>
      <c r="M692" s="20">
        <v>0.93730000000000002</v>
      </c>
      <c r="N692" s="20">
        <v>1.0032000000000001</v>
      </c>
      <c r="O692" s="20">
        <v>1.0667</v>
      </c>
      <c r="P692" s="20">
        <v>1.1281000000000001</v>
      </c>
      <c r="Q692" s="20">
        <v>1.1874</v>
      </c>
      <c r="R692" s="20">
        <v>1.2447999999999999</v>
      </c>
      <c r="S692" s="20">
        <v>1.3003</v>
      </c>
      <c r="T692" s="20">
        <v>1.3542000000000001</v>
      </c>
      <c r="U692" s="20">
        <v>1.4065000000000001</v>
      </c>
      <c r="V692" s="20">
        <v>1.4572000000000001</v>
      </c>
      <c r="W692"/>
      <c r="X692"/>
      <c r="Y692"/>
      <c r="Z692"/>
    </row>
    <row r="693" spans="1:26" x14ac:dyDescent="0.2">
      <c r="A693" s="19">
        <v>0.68700000000000006</v>
      </c>
      <c r="B693" s="20">
        <v>0</v>
      </c>
      <c r="C693" s="20">
        <v>0.106</v>
      </c>
      <c r="D693" s="20">
        <v>0.20699999999999999</v>
      </c>
      <c r="E693" s="20">
        <v>0.30320000000000003</v>
      </c>
      <c r="F693" s="20">
        <v>0.39500000000000002</v>
      </c>
      <c r="G693" s="20">
        <v>0.48280000000000001</v>
      </c>
      <c r="H693" s="20">
        <v>0.56669999999999998</v>
      </c>
      <c r="I693" s="20">
        <v>0.64710000000000001</v>
      </c>
      <c r="J693" s="20">
        <v>0.72409999999999997</v>
      </c>
      <c r="K693" s="20">
        <v>0.79810000000000003</v>
      </c>
      <c r="L693" s="20">
        <v>0.86919999999999997</v>
      </c>
      <c r="M693" s="20">
        <v>0.93759999999999999</v>
      </c>
      <c r="N693" s="20">
        <v>1.0035000000000001</v>
      </c>
      <c r="O693" s="20">
        <v>1.0670999999999999</v>
      </c>
      <c r="P693" s="20">
        <v>1.1285000000000001</v>
      </c>
      <c r="Q693" s="20">
        <v>1.1878</v>
      </c>
      <c r="R693" s="20">
        <v>1.2452000000000001</v>
      </c>
      <c r="S693" s="20">
        <v>1.3008</v>
      </c>
      <c r="T693" s="20">
        <v>1.3546</v>
      </c>
      <c r="U693" s="20">
        <v>1.4069</v>
      </c>
      <c r="V693" s="20">
        <v>1.4576</v>
      </c>
      <c r="W693"/>
      <c r="X693"/>
      <c r="Y693"/>
      <c r="Z693"/>
    </row>
    <row r="694" spans="1:26" x14ac:dyDescent="0.2">
      <c r="A694" s="19">
        <v>0.68799999999999994</v>
      </c>
      <c r="B694" s="20">
        <v>0</v>
      </c>
      <c r="C694" s="20">
        <v>0.1061</v>
      </c>
      <c r="D694" s="20">
        <v>0.20710000000000001</v>
      </c>
      <c r="E694" s="20">
        <v>0.30330000000000001</v>
      </c>
      <c r="F694" s="20">
        <v>0.3952</v>
      </c>
      <c r="G694" s="20">
        <v>0.48299999999999998</v>
      </c>
      <c r="H694" s="20">
        <v>0.56689999999999996</v>
      </c>
      <c r="I694" s="20">
        <v>0.64729999999999999</v>
      </c>
      <c r="J694" s="20">
        <v>0.72440000000000004</v>
      </c>
      <c r="K694" s="20">
        <v>0.7984</v>
      </c>
      <c r="L694" s="20">
        <v>0.86950000000000005</v>
      </c>
      <c r="M694" s="20">
        <v>0.93789999999999996</v>
      </c>
      <c r="N694" s="20">
        <v>1.0039</v>
      </c>
      <c r="O694" s="20">
        <v>1.0674999999999999</v>
      </c>
      <c r="P694" s="20">
        <v>1.1288</v>
      </c>
      <c r="Q694" s="20">
        <v>1.1881999999999999</v>
      </c>
      <c r="R694" s="20">
        <v>1.2456</v>
      </c>
      <c r="S694" s="20">
        <v>1.3011999999999999</v>
      </c>
      <c r="T694" s="20">
        <v>1.355</v>
      </c>
      <c r="U694" s="20">
        <v>1.4073</v>
      </c>
      <c r="V694" s="20">
        <v>1.458</v>
      </c>
      <c r="W694"/>
      <c r="X694"/>
      <c r="Y694"/>
      <c r="Z694"/>
    </row>
    <row r="695" spans="1:26" x14ac:dyDescent="0.2">
      <c r="A695" s="19">
        <v>0.68899999999999995</v>
      </c>
      <c r="B695" s="20">
        <v>0</v>
      </c>
      <c r="C695" s="20">
        <v>0.1061</v>
      </c>
      <c r="D695" s="20">
        <v>0.20710000000000001</v>
      </c>
      <c r="E695" s="20">
        <v>0.3034</v>
      </c>
      <c r="F695" s="20">
        <v>0.39539999999999997</v>
      </c>
      <c r="G695" s="20">
        <v>0.48320000000000002</v>
      </c>
      <c r="H695" s="20">
        <v>0.56710000000000005</v>
      </c>
      <c r="I695" s="20">
        <v>0.64759999999999995</v>
      </c>
      <c r="J695" s="20">
        <v>0.72470000000000001</v>
      </c>
      <c r="K695" s="20">
        <v>0.79869999999999997</v>
      </c>
      <c r="L695" s="20">
        <v>0.86980000000000002</v>
      </c>
      <c r="M695" s="20">
        <v>0.93830000000000002</v>
      </c>
      <c r="N695" s="20">
        <v>1.0042</v>
      </c>
      <c r="O695" s="20">
        <v>1.0678000000000001</v>
      </c>
      <c r="P695" s="20">
        <v>1.1292</v>
      </c>
      <c r="Q695" s="20">
        <v>1.1886000000000001</v>
      </c>
      <c r="R695" s="20">
        <v>1.246</v>
      </c>
      <c r="S695" s="20">
        <v>1.3016000000000001</v>
      </c>
      <c r="T695" s="20">
        <v>1.3554999999999999</v>
      </c>
      <c r="U695" s="20">
        <v>1.4077</v>
      </c>
      <c r="V695" s="20">
        <v>1.4583999999999999</v>
      </c>
      <c r="W695"/>
      <c r="X695"/>
      <c r="Y695"/>
      <c r="Z695"/>
    </row>
    <row r="696" spans="1:26" x14ac:dyDescent="0.2">
      <c r="A696" s="19">
        <v>0.69</v>
      </c>
      <c r="B696" s="20">
        <v>0</v>
      </c>
      <c r="C696" s="20">
        <v>0.1061</v>
      </c>
      <c r="D696" s="20">
        <v>0.2072</v>
      </c>
      <c r="E696" s="20">
        <v>0.30359999999999998</v>
      </c>
      <c r="F696" s="20">
        <v>0.39550000000000002</v>
      </c>
      <c r="G696" s="20">
        <v>0.48330000000000001</v>
      </c>
      <c r="H696" s="20">
        <v>0.56740000000000002</v>
      </c>
      <c r="I696" s="20">
        <v>0.64780000000000004</v>
      </c>
      <c r="J696" s="20">
        <v>0.72489999999999999</v>
      </c>
      <c r="K696" s="20">
        <v>0.79900000000000004</v>
      </c>
      <c r="L696" s="20">
        <v>0.87019999999999997</v>
      </c>
      <c r="M696" s="20">
        <v>0.93859999999999999</v>
      </c>
      <c r="N696" s="20">
        <v>1.0045999999999999</v>
      </c>
      <c r="O696" s="20">
        <v>1.0682</v>
      </c>
      <c r="P696" s="20">
        <v>1.1295999999999999</v>
      </c>
      <c r="Q696" s="20">
        <v>1.1890000000000001</v>
      </c>
      <c r="R696" s="20">
        <v>1.2464</v>
      </c>
      <c r="S696" s="20">
        <v>1.302</v>
      </c>
      <c r="T696" s="20">
        <v>1.3559000000000001</v>
      </c>
      <c r="U696" s="20">
        <v>1.4080999999999999</v>
      </c>
      <c r="V696" s="20">
        <v>1.4589000000000001</v>
      </c>
      <c r="W696"/>
      <c r="X696"/>
      <c r="Y696"/>
      <c r="Z696"/>
    </row>
    <row r="697" spans="1:26" x14ac:dyDescent="0.2">
      <c r="A697" s="19">
        <v>0.69099999999999995</v>
      </c>
      <c r="B697" s="20">
        <v>0</v>
      </c>
      <c r="C697" s="20">
        <v>0.1062</v>
      </c>
      <c r="D697" s="20">
        <v>0.20730000000000001</v>
      </c>
      <c r="E697" s="20">
        <v>0.30370000000000003</v>
      </c>
      <c r="F697" s="20">
        <v>0.3957</v>
      </c>
      <c r="G697" s="20">
        <v>0.48349999999999999</v>
      </c>
      <c r="H697" s="20">
        <v>0.56759999999999999</v>
      </c>
      <c r="I697" s="20">
        <v>0.64810000000000001</v>
      </c>
      <c r="J697" s="20">
        <v>0.72519999999999996</v>
      </c>
      <c r="K697" s="20">
        <v>0.79930000000000001</v>
      </c>
      <c r="L697" s="20">
        <v>0.87050000000000005</v>
      </c>
      <c r="M697" s="20">
        <v>0.93899999999999995</v>
      </c>
      <c r="N697" s="20">
        <v>1.0048999999999999</v>
      </c>
      <c r="O697" s="20">
        <v>1.0686</v>
      </c>
      <c r="P697" s="20">
        <v>1.1299999999999999</v>
      </c>
      <c r="Q697" s="20">
        <v>1.1894</v>
      </c>
      <c r="R697" s="20">
        <v>1.2467999999999999</v>
      </c>
      <c r="S697" s="20">
        <v>1.3024</v>
      </c>
      <c r="T697" s="20">
        <v>1.3563000000000001</v>
      </c>
      <c r="U697" s="20">
        <v>1.4085000000000001</v>
      </c>
      <c r="V697" s="20">
        <v>1.4593</v>
      </c>
      <c r="W697"/>
      <c r="X697"/>
      <c r="Y697"/>
      <c r="Z697"/>
    </row>
    <row r="698" spans="1:26" x14ac:dyDescent="0.2">
      <c r="A698" s="19">
        <v>0.69199999999999995</v>
      </c>
      <c r="B698" s="20">
        <v>0</v>
      </c>
      <c r="C698" s="20">
        <v>0.1062</v>
      </c>
      <c r="D698" s="20">
        <v>0.2074</v>
      </c>
      <c r="E698" s="20">
        <v>0.30380000000000001</v>
      </c>
      <c r="F698" s="20">
        <v>0.39579999999999999</v>
      </c>
      <c r="G698" s="20">
        <v>0.48370000000000002</v>
      </c>
      <c r="H698" s="20">
        <v>0.56779999999999997</v>
      </c>
      <c r="I698" s="20">
        <v>0.64829999999999999</v>
      </c>
      <c r="J698" s="20">
        <v>0.72550000000000003</v>
      </c>
      <c r="K698" s="20">
        <v>0.79959999999999998</v>
      </c>
      <c r="L698" s="20">
        <v>0.87080000000000002</v>
      </c>
      <c r="M698" s="20">
        <v>0.93930000000000002</v>
      </c>
      <c r="N698" s="20">
        <v>1.0053000000000001</v>
      </c>
      <c r="O698" s="20">
        <v>1.0689</v>
      </c>
      <c r="P698" s="20">
        <v>1.1304000000000001</v>
      </c>
      <c r="Q698" s="20">
        <v>1.1898</v>
      </c>
      <c r="R698" s="20">
        <v>1.2472000000000001</v>
      </c>
      <c r="S698" s="20">
        <v>1.3028</v>
      </c>
      <c r="T698" s="20">
        <v>1.3567</v>
      </c>
      <c r="U698" s="20">
        <v>1.409</v>
      </c>
      <c r="V698" s="20">
        <v>1.4597</v>
      </c>
      <c r="W698"/>
      <c r="X698"/>
      <c r="Y698"/>
      <c r="Z698"/>
    </row>
    <row r="699" spans="1:26" x14ac:dyDescent="0.2">
      <c r="A699" s="19">
        <v>0.69299999999999995</v>
      </c>
      <c r="B699" s="20">
        <v>0</v>
      </c>
      <c r="C699" s="20">
        <v>0.10630000000000001</v>
      </c>
      <c r="D699" s="20">
        <v>0.20749999999999999</v>
      </c>
      <c r="E699" s="20">
        <v>0.3039</v>
      </c>
      <c r="F699" s="20">
        <v>0.39600000000000002</v>
      </c>
      <c r="G699" s="20">
        <v>0.4839</v>
      </c>
      <c r="H699" s="20">
        <v>0.56799999999999995</v>
      </c>
      <c r="I699" s="20">
        <v>0.64859999999999995</v>
      </c>
      <c r="J699" s="20">
        <v>0.7258</v>
      </c>
      <c r="K699" s="20">
        <v>0.79990000000000006</v>
      </c>
      <c r="L699" s="20">
        <v>0.87109999999999999</v>
      </c>
      <c r="M699" s="20">
        <v>0.93959999999999999</v>
      </c>
      <c r="N699" s="20">
        <v>1.0057</v>
      </c>
      <c r="O699" s="20">
        <v>1.0692999999999999</v>
      </c>
      <c r="P699" s="20">
        <v>1.1308</v>
      </c>
      <c r="Q699" s="20">
        <v>1.1900999999999999</v>
      </c>
      <c r="R699" s="20">
        <v>1.2476</v>
      </c>
      <c r="S699" s="20">
        <v>1.3031999999999999</v>
      </c>
      <c r="T699" s="20">
        <v>1.3571</v>
      </c>
      <c r="U699" s="20">
        <v>1.4094</v>
      </c>
      <c r="V699" s="20">
        <v>1.4601</v>
      </c>
      <c r="W699"/>
      <c r="X699"/>
      <c r="Y699"/>
      <c r="Z699"/>
    </row>
    <row r="700" spans="1:26" x14ac:dyDescent="0.2">
      <c r="A700" s="19">
        <v>0.69399999999999995</v>
      </c>
      <c r="B700" s="20">
        <v>0</v>
      </c>
      <c r="C700" s="20">
        <v>0.10630000000000001</v>
      </c>
      <c r="D700" s="20">
        <v>0.20760000000000001</v>
      </c>
      <c r="E700" s="20">
        <v>0.30399999999999999</v>
      </c>
      <c r="F700" s="20">
        <v>0.39610000000000001</v>
      </c>
      <c r="G700" s="20">
        <v>0.48409999999999997</v>
      </c>
      <c r="H700" s="20">
        <v>0.56820000000000004</v>
      </c>
      <c r="I700" s="20">
        <v>0.64880000000000004</v>
      </c>
      <c r="J700" s="20">
        <v>0.72599999999999998</v>
      </c>
      <c r="K700" s="20">
        <v>0.80020000000000002</v>
      </c>
      <c r="L700" s="20">
        <v>0.87139999999999995</v>
      </c>
      <c r="M700" s="20">
        <v>0.94</v>
      </c>
      <c r="N700" s="20">
        <v>1.006</v>
      </c>
      <c r="O700" s="20">
        <v>1.0697000000000001</v>
      </c>
      <c r="P700" s="20">
        <v>1.1311</v>
      </c>
      <c r="Q700" s="20">
        <v>1.1904999999999999</v>
      </c>
      <c r="R700" s="20">
        <v>1.248</v>
      </c>
      <c r="S700" s="20">
        <v>1.3036000000000001</v>
      </c>
      <c r="T700" s="20">
        <v>1.3574999999999999</v>
      </c>
      <c r="U700" s="20">
        <v>1.4097999999999999</v>
      </c>
      <c r="V700" s="20">
        <v>1.4604999999999999</v>
      </c>
      <c r="W700"/>
      <c r="X700"/>
      <c r="Y700"/>
      <c r="Z700"/>
    </row>
    <row r="701" spans="1:26" x14ac:dyDescent="0.2">
      <c r="A701" s="19">
        <v>0.69499999999999995</v>
      </c>
      <c r="B701" s="20">
        <v>0</v>
      </c>
      <c r="C701" s="20">
        <v>0.10639999999999999</v>
      </c>
      <c r="D701" s="20">
        <v>0.20760000000000001</v>
      </c>
      <c r="E701" s="20">
        <v>0.30420000000000003</v>
      </c>
      <c r="F701" s="20">
        <v>0.39629999999999999</v>
      </c>
      <c r="G701" s="20">
        <v>0.48430000000000001</v>
      </c>
      <c r="H701" s="20">
        <v>0.56850000000000001</v>
      </c>
      <c r="I701" s="20">
        <v>0.64900000000000002</v>
      </c>
      <c r="J701" s="20">
        <v>0.72629999999999995</v>
      </c>
      <c r="K701" s="20">
        <v>0.80049999999999999</v>
      </c>
      <c r="L701" s="20">
        <v>0.87170000000000003</v>
      </c>
      <c r="M701" s="20">
        <v>0.94030000000000002</v>
      </c>
      <c r="N701" s="20">
        <v>1.0064</v>
      </c>
      <c r="O701" s="20">
        <v>1.07</v>
      </c>
      <c r="P701" s="20">
        <v>1.1315</v>
      </c>
      <c r="Q701" s="20">
        <v>1.1909000000000001</v>
      </c>
      <c r="R701" s="20">
        <v>1.2484</v>
      </c>
      <c r="S701" s="20">
        <v>1.304</v>
      </c>
      <c r="T701" s="20">
        <v>1.3579000000000001</v>
      </c>
      <c r="U701" s="20">
        <v>1.4101999999999999</v>
      </c>
      <c r="V701" s="20">
        <v>1.4609000000000001</v>
      </c>
      <c r="W701"/>
      <c r="X701"/>
      <c r="Y701"/>
      <c r="Z701"/>
    </row>
    <row r="702" spans="1:26" x14ac:dyDescent="0.2">
      <c r="A702" s="19">
        <v>0.69599999999999995</v>
      </c>
      <c r="B702" s="20">
        <v>0</v>
      </c>
      <c r="C702" s="20">
        <v>0.10639999999999999</v>
      </c>
      <c r="D702" s="20">
        <v>0.2077</v>
      </c>
      <c r="E702" s="20">
        <v>0.30430000000000001</v>
      </c>
      <c r="F702" s="20">
        <v>0.39639999999999997</v>
      </c>
      <c r="G702" s="20">
        <v>0.48449999999999999</v>
      </c>
      <c r="H702" s="20">
        <v>0.56869999999999998</v>
      </c>
      <c r="I702" s="20">
        <v>0.64929999999999999</v>
      </c>
      <c r="J702" s="20">
        <v>0.72660000000000002</v>
      </c>
      <c r="K702" s="20">
        <v>0.80079999999999996</v>
      </c>
      <c r="L702" s="20">
        <v>0.87209999999999999</v>
      </c>
      <c r="M702" s="20">
        <v>0.94069999999999998</v>
      </c>
      <c r="N702" s="20">
        <v>1.0066999999999999</v>
      </c>
      <c r="O702" s="20">
        <v>1.0704</v>
      </c>
      <c r="P702" s="20">
        <v>1.1318999999999999</v>
      </c>
      <c r="Q702" s="20">
        <v>1.1913</v>
      </c>
      <c r="R702" s="20">
        <v>1.2487999999999999</v>
      </c>
      <c r="S702" s="20">
        <v>1.3044</v>
      </c>
      <c r="T702" s="20">
        <v>1.3583000000000001</v>
      </c>
      <c r="U702" s="20">
        <v>1.4106000000000001</v>
      </c>
      <c r="V702" s="20">
        <v>1.4614</v>
      </c>
      <c r="W702"/>
      <c r="X702"/>
      <c r="Y702"/>
      <c r="Z702"/>
    </row>
    <row r="703" spans="1:26" x14ac:dyDescent="0.2">
      <c r="A703" s="19">
        <v>0.69699999999999995</v>
      </c>
      <c r="B703" s="20">
        <v>0</v>
      </c>
      <c r="C703" s="20">
        <v>0.10639999999999999</v>
      </c>
      <c r="D703" s="20">
        <v>0.20780000000000001</v>
      </c>
      <c r="E703" s="20">
        <v>0.3044</v>
      </c>
      <c r="F703" s="20">
        <v>0.39660000000000001</v>
      </c>
      <c r="G703" s="20">
        <v>0.48470000000000002</v>
      </c>
      <c r="H703" s="20">
        <v>0.56889999999999996</v>
      </c>
      <c r="I703" s="20">
        <v>0.64949999999999997</v>
      </c>
      <c r="J703" s="20">
        <v>0.72689999999999999</v>
      </c>
      <c r="K703" s="20">
        <v>0.80110000000000003</v>
      </c>
      <c r="L703" s="20">
        <v>0.87239999999999995</v>
      </c>
      <c r="M703" s="20">
        <v>0.94099999999999995</v>
      </c>
      <c r="N703" s="20">
        <v>1.0071000000000001</v>
      </c>
      <c r="O703" s="20">
        <v>1.0708</v>
      </c>
      <c r="P703" s="20">
        <v>1.1323000000000001</v>
      </c>
      <c r="Q703" s="20">
        <v>1.1917</v>
      </c>
      <c r="R703" s="20">
        <v>1.2492000000000001</v>
      </c>
      <c r="S703" s="20">
        <v>1.3048</v>
      </c>
      <c r="T703" s="20">
        <v>1.3587</v>
      </c>
      <c r="U703" s="20">
        <v>1.411</v>
      </c>
      <c r="V703" s="20">
        <v>1.4618</v>
      </c>
      <c r="W703"/>
      <c r="X703"/>
      <c r="Y703"/>
      <c r="Z703"/>
    </row>
    <row r="704" spans="1:26" x14ac:dyDescent="0.2">
      <c r="A704" s="19">
        <v>0.69799999999999995</v>
      </c>
      <c r="B704" s="20">
        <v>0</v>
      </c>
      <c r="C704" s="20">
        <v>0.1065</v>
      </c>
      <c r="D704" s="20">
        <v>0.2079</v>
      </c>
      <c r="E704" s="20">
        <v>0.30449999999999999</v>
      </c>
      <c r="F704" s="20">
        <v>0.3967</v>
      </c>
      <c r="G704" s="20">
        <v>0.48480000000000001</v>
      </c>
      <c r="H704" s="20">
        <v>0.56910000000000005</v>
      </c>
      <c r="I704" s="20">
        <v>0.64980000000000004</v>
      </c>
      <c r="J704" s="20">
        <v>0.72709999999999997</v>
      </c>
      <c r="K704" s="20">
        <v>0.8014</v>
      </c>
      <c r="L704" s="20">
        <v>0.87270000000000003</v>
      </c>
      <c r="M704" s="20">
        <v>0.94130000000000003</v>
      </c>
      <c r="N704" s="20">
        <v>1.0074000000000001</v>
      </c>
      <c r="O704" s="20">
        <v>1.0710999999999999</v>
      </c>
      <c r="P704" s="20">
        <v>1.1327</v>
      </c>
      <c r="Q704" s="20">
        <v>1.1920999999999999</v>
      </c>
      <c r="R704" s="20">
        <v>1.2496</v>
      </c>
      <c r="S704" s="20">
        <v>1.3051999999999999</v>
      </c>
      <c r="T704" s="20">
        <v>1.3592</v>
      </c>
      <c r="U704" s="20">
        <v>1.4114</v>
      </c>
      <c r="V704" s="20">
        <v>1.4621999999999999</v>
      </c>
      <c r="W704"/>
      <c r="X704"/>
      <c r="Y704"/>
      <c r="Z704"/>
    </row>
    <row r="705" spans="1:26" x14ac:dyDescent="0.2">
      <c r="A705" s="19">
        <v>0.69899999999999995</v>
      </c>
      <c r="B705" s="20">
        <v>0</v>
      </c>
      <c r="C705" s="20">
        <v>0.1065</v>
      </c>
      <c r="D705" s="20">
        <v>0.20799999999999999</v>
      </c>
      <c r="E705" s="20">
        <v>0.30459999999999998</v>
      </c>
      <c r="F705" s="20">
        <v>0.39689999999999998</v>
      </c>
      <c r="G705" s="20">
        <v>0.48499999999999999</v>
      </c>
      <c r="H705" s="20">
        <v>0.56930000000000003</v>
      </c>
      <c r="I705" s="20">
        <v>0.65</v>
      </c>
      <c r="J705" s="20">
        <v>0.72740000000000005</v>
      </c>
      <c r="K705" s="20">
        <v>0.80169999999999997</v>
      </c>
      <c r="L705" s="20">
        <v>0.873</v>
      </c>
      <c r="M705" s="20">
        <v>0.94169999999999998</v>
      </c>
      <c r="N705" s="20">
        <v>1.0078</v>
      </c>
      <c r="O705" s="20">
        <v>1.0714999999999999</v>
      </c>
      <c r="P705" s="20">
        <v>1.133</v>
      </c>
      <c r="Q705" s="20">
        <v>1.1924999999999999</v>
      </c>
      <c r="R705" s="20">
        <v>1.25</v>
      </c>
      <c r="S705" s="20">
        <v>1.3056000000000001</v>
      </c>
      <c r="T705" s="20">
        <v>1.3595999999999999</v>
      </c>
      <c r="U705" s="20">
        <v>1.4117999999999999</v>
      </c>
      <c r="V705" s="20">
        <v>1.4625999999999999</v>
      </c>
      <c r="W705"/>
      <c r="X705"/>
      <c r="Y705"/>
      <c r="Z705"/>
    </row>
    <row r="706" spans="1:26" x14ac:dyDescent="0.2">
      <c r="A706" s="19">
        <v>0.7</v>
      </c>
      <c r="B706" s="20">
        <v>0</v>
      </c>
      <c r="C706" s="20">
        <v>0.1066</v>
      </c>
      <c r="D706" s="20">
        <v>0.20799999999999999</v>
      </c>
      <c r="E706" s="20">
        <v>0.30480000000000002</v>
      </c>
      <c r="F706" s="20">
        <v>0.39710000000000001</v>
      </c>
      <c r="G706" s="20">
        <v>0.48520000000000002</v>
      </c>
      <c r="H706" s="20">
        <v>0.56950000000000001</v>
      </c>
      <c r="I706" s="20">
        <v>0.65029999999999999</v>
      </c>
      <c r="J706" s="20">
        <v>0.72770000000000001</v>
      </c>
      <c r="K706" s="20">
        <v>0.80200000000000005</v>
      </c>
      <c r="L706" s="20">
        <v>0.87329999999999997</v>
      </c>
      <c r="M706" s="20">
        <v>0.94199999999999995</v>
      </c>
      <c r="N706" s="20">
        <v>1.0081</v>
      </c>
      <c r="O706" s="20">
        <v>1.0719000000000001</v>
      </c>
      <c r="P706" s="20">
        <v>1.1334</v>
      </c>
      <c r="Q706" s="20">
        <v>1.1929000000000001</v>
      </c>
      <c r="R706" s="20">
        <v>1.2504</v>
      </c>
      <c r="S706" s="20">
        <v>1.306</v>
      </c>
      <c r="T706" s="20">
        <v>1.36</v>
      </c>
      <c r="U706" s="20">
        <v>1.4123000000000001</v>
      </c>
      <c r="V706" s="20">
        <v>1.4630000000000001</v>
      </c>
      <c r="W706"/>
      <c r="X706"/>
      <c r="Y706"/>
      <c r="Z706"/>
    </row>
    <row r="707" spans="1:26" x14ac:dyDescent="0.2">
      <c r="A707" s="19">
        <v>0.70099999999999996</v>
      </c>
      <c r="B707" s="20">
        <v>0</v>
      </c>
      <c r="C707" s="20">
        <v>0.1066</v>
      </c>
      <c r="D707" s="20">
        <v>0.20810000000000001</v>
      </c>
      <c r="E707" s="20">
        <v>0.3049</v>
      </c>
      <c r="F707" s="20">
        <v>0.3972</v>
      </c>
      <c r="G707" s="20">
        <v>0.4854</v>
      </c>
      <c r="H707" s="20">
        <v>0.56979999999999997</v>
      </c>
      <c r="I707" s="20">
        <v>0.65049999999999997</v>
      </c>
      <c r="J707" s="20">
        <v>0.72789999999999999</v>
      </c>
      <c r="K707" s="20">
        <v>0.80220000000000002</v>
      </c>
      <c r="L707" s="20">
        <v>0.87360000000000004</v>
      </c>
      <c r="M707" s="20">
        <v>0.94230000000000003</v>
      </c>
      <c r="N707" s="20">
        <v>1.0085</v>
      </c>
      <c r="O707" s="20">
        <v>1.0722</v>
      </c>
      <c r="P707" s="20">
        <v>1.1337999999999999</v>
      </c>
      <c r="Q707" s="20">
        <v>1.1933</v>
      </c>
      <c r="R707" s="20">
        <v>1.2507999999999999</v>
      </c>
      <c r="S707" s="20">
        <v>1.3064</v>
      </c>
      <c r="T707" s="20">
        <v>1.3604000000000001</v>
      </c>
      <c r="U707" s="20">
        <v>1.4127000000000001</v>
      </c>
      <c r="V707" s="20">
        <v>1.4634</v>
      </c>
      <c r="W707"/>
      <c r="X707"/>
      <c r="Y707"/>
      <c r="Z707"/>
    </row>
    <row r="708" spans="1:26" x14ac:dyDescent="0.2">
      <c r="A708" s="19">
        <v>0.70199999999999996</v>
      </c>
      <c r="B708" s="20">
        <v>0</v>
      </c>
      <c r="C708" s="20">
        <v>0.1067</v>
      </c>
      <c r="D708" s="20">
        <v>0.2082</v>
      </c>
      <c r="E708" s="20">
        <v>0.30499999999999999</v>
      </c>
      <c r="F708" s="20">
        <v>0.39739999999999998</v>
      </c>
      <c r="G708" s="20">
        <v>0.48559999999999998</v>
      </c>
      <c r="H708" s="20">
        <v>0.56999999999999995</v>
      </c>
      <c r="I708" s="20">
        <v>0.65080000000000005</v>
      </c>
      <c r="J708" s="20">
        <v>0.72819999999999996</v>
      </c>
      <c r="K708" s="20">
        <v>0.80249999999999999</v>
      </c>
      <c r="L708" s="20">
        <v>0.874</v>
      </c>
      <c r="M708" s="20">
        <v>0.94269999999999998</v>
      </c>
      <c r="N708" s="20">
        <v>1.0087999999999999</v>
      </c>
      <c r="O708" s="20">
        <v>1.0726</v>
      </c>
      <c r="P708" s="20">
        <v>1.1342000000000001</v>
      </c>
      <c r="Q708" s="20">
        <v>1.1936</v>
      </c>
      <c r="R708" s="20">
        <v>1.2512000000000001</v>
      </c>
      <c r="S708" s="20">
        <v>1.3068</v>
      </c>
      <c r="T708" s="20">
        <v>1.3608</v>
      </c>
      <c r="U708" s="20">
        <v>1.4131</v>
      </c>
      <c r="V708" s="20">
        <v>1.4638</v>
      </c>
      <c r="W708"/>
      <c r="X708"/>
      <c r="Y708"/>
      <c r="Z708"/>
    </row>
    <row r="709" spans="1:26" x14ac:dyDescent="0.2">
      <c r="A709" s="19">
        <v>0.70299999999999996</v>
      </c>
      <c r="B709" s="20">
        <v>0</v>
      </c>
      <c r="C709" s="20">
        <v>0.1067</v>
      </c>
      <c r="D709" s="20">
        <v>0.20830000000000001</v>
      </c>
      <c r="E709" s="20">
        <v>0.30509999999999998</v>
      </c>
      <c r="F709" s="20">
        <v>0.39750000000000002</v>
      </c>
      <c r="G709" s="20">
        <v>0.48580000000000001</v>
      </c>
      <c r="H709" s="20">
        <v>0.57020000000000004</v>
      </c>
      <c r="I709" s="20">
        <v>0.65100000000000002</v>
      </c>
      <c r="J709" s="20">
        <v>0.72850000000000004</v>
      </c>
      <c r="K709" s="20">
        <v>0.80279999999999996</v>
      </c>
      <c r="L709" s="20">
        <v>0.87429999999999997</v>
      </c>
      <c r="M709" s="20">
        <v>0.94299999999999995</v>
      </c>
      <c r="N709" s="20">
        <v>1.0092000000000001</v>
      </c>
      <c r="O709" s="20">
        <v>1.073</v>
      </c>
      <c r="P709" s="20">
        <v>1.1345000000000001</v>
      </c>
      <c r="Q709" s="20">
        <v>1.194</v>
      </c>
      <c r="R709" s="20">
        <v>1.2516</v>
      </c>
      <c r="S709" s="20">
        <v>1.3071999999999999</v>
      </c>
      <c r="T709" s="20">
        <v>1.3612</v>
      </c>
      <c r="U709" s="20">
        <v>1.4135</v>
      </c>
      <c r="V709" s="20">
        <v>1.4641999999999999</v>
      </c>
      <c r="W709"/>
      <c r="X709"/>
      <c r="Y709"/>
      <c r="Z709"/>
    </row>
    <row r="710" spans="1:26" x14ac:dyDescent="0.2">
      <c r="A710" s="19">
        <v>0.70399999999999996</v>
      </c>
      <c r="B710" s="20">
        <v>0</v>
      </c>
      <c r="C710" s="20">
        <v>0.1067</v>
      </c>
      <c r="D710" s="20">
        <v>0.2084</v>
      </c>
      <c r="E710" s="20">
        <v>0.30520000000000003</v>
      </c>
      <c r="F710" s="20">
        <v>0.3977</v>
      </c>
      <c r="G710" s="20">
        <v>0.48599999999999999</v>
      </c>
      <c r="H710" s="20">
        <v>0.57040000000000002</v>
      </c>
      <c r="I710" s="20">
        <v>0.65129999999999999</v>
      </c>
      <c r="J710" s="20">
        <v>0.7288</v>
      </c>
      <c r="K710" s="20">
        <v>0.80310000000000004</v>
      </c>
      <c r="L710" s="20">
        <v>0.87460000000000004</v>
      </c>
      <c r="M710" s="20">
        <v>0.94330000000000003</v>
      </c>
      <c r="N710" s="20">
        <v>1.0095000000000001</v>
      </c>
      <c r="O710" s="20">
        <v>1.0732999999999999</v>
      </c>
      <c r="P710" s="20">
        <v>1.1349</v>
      </c>
      <c r="Q710" s="20">
        <v>1.1943999999999999</v>
      </c>
      <c r="R710" s="20">
        <v>1.252</v>
      </c>
      <c r="S710" s="20">
        <v>1.3076000000000001</v>
      </c>
      <c r="T710" s="20">
        <v>1.3615999999999999</v>
      </c>
      <c r="U710" s="20">
        <v>1.4138999999999999</v>
      </c>
      <c r="V710" s="20">
        <v>1.4645999999999999</v>
      </c>
      <c r="W710"/>
      <c r="X710"/>
      <c r="Y710"/>
      <c r="Z710"/>
    </row>
    <row r="711" spans="1:26" x14ac:dyDescent="0.2">
      <c r="A711" s="19">
        <v>0.70499999999999996</v>
      </c>
      <c r="B711" s="20">
        <v>0</v>
      </c>
      <c r="C711" s="20">
        <v>0.10680000000000001</v>
      </c>
      <c r="D711" s="20">
        <v>0.2084</v>
      </c>
      <c r="E711" s="20">
        <v>0.3054</v>
      </c>
      <c r="F711" s="20">
        <v>0.39779999999999999</v>
      </c>
      <c r="G711" s="20">
        <v>0.48620000000000002</v>
      </c>
      <c r="H711" s="20">
        <v>0.5706</v>
      </c>
      <c r="I711" s="20">
        <v>0.65149999999999997</v>
      </c>
      <c r="J711" s="20">
        <v>0.72899999999999998</v>
      </c>
      <c r="K711" s="20">
        <v>0.8034</v>
      </c>
      <c r="L711" s="20">
        <v>0.87490000000000001</v>
      </c>
      <c r="M711" s="20">
        <v>0.94369999999999998</v>
      </c>
      <c r="N711" s="20">
        <v>1.0099</v>
      </c>
      <c r="O711" s="20">
        <v>1.0737000000000001</v>
      </c>
      <c r="P711" s="20">
        <v>1.1353</v>
      </c>
      <c r="Q711" s="20">
        <v>1.1948000000000001</v>
      </c>
      <c r="R711" s="20">
        <v>1.2523</v>
      </c>
      <c r="S711" s="20">
        <v>1.3080000000000001</v>
      </c>
      <c r="T711" s="20">
        <v>1.3620000000000001</v>
      </c>
      <c r="U711" s="20">
        <v>1.4142999999999999</v>
      </c>
      <c r="V711" s="20">
        <v>1.4650000000000001</v>
      </c>
      <c r="W711"/>
      <c r="X711"/>
      <c r="Y711"/>
      <c r="Z711"/>
    </row>
    <row r="712" spans="1:26" x14ac:dyDescent="0.2">
      <c r="A712" s="19">
        <v>0.70599999999999996</v>
      </c>
      <c r="B712" s="20">
        <v>0</v>
      </c>
      <c r="C712" s="20">
        <v>0.10680000000000001</v>
      </c>
      <c r="D712" s="20">
        <v>0.20849999999999999</v>
      </c>
      <c r="E712" s="20">
        <v>0.30549999999999999</v>
      </c>
      <c r="F712" s="20">
        <v>0.39800000000000002</v>
      </c>
      <c r="G712" s="20">
        <v>0.48630000000000001</v>
      </c>
      <c r="H712" s="20">
        <v>0.57079999999999997</v>
      </c>
      <c r="I712" s="20">
        <v>0.65169999999999995</v>
      </c>
      <c r="J712" s="20">
        <v>0.72929999999999995</v>
      </c>
      <c r="K712" s="20">
        <v>0.80369999999999997</v>
      </c>
      <c r="L712" s="20">
        <v>0.87519999999999998</v>
      </c>
      <c r="M712" s="20">
        <v>0.94399999999999995</v>
      </c>
      <c r="N712" s="20">
        <v>1.0102</v>
      </c>
      <c r="O712" s="20">
        <v>1.0741000000000001</v>
      </c>
      <c r="P712" s="20">
        <v>1.1356999999999999</v>
      </c>
      <c r="Q712" s="20">
        <v>1.1952</v>
      </c>
      <c r="R712" s="20">
        <v>1.2526999999999999</v>
      </c>
      <c r="S712" s="20">
        <v>1.3084</v>
      </c>
      <c r="T712" s="20">
        <v>1.3624000000000001</v>
      </c>
      <c r="U712" s="20">
        <v>1.4147000000000001</v>
      </c>
      <c r="V712" s="20">
        <v>1.4654</v>
      </c>
      <c r="W712"/>
      <c r="X712"/>
      <c r="Y712"/>
      <c r="Z712"/>
    </row>
    <row r="713" spans="1:26" x14ac:dyDescent="0.2">
      <c r="A713" s="19">
        <v>0.70699999999999996</v>
      </c>
      <c r="B713" s="20">
        <v>0</v>
      </c>
      <c r="C713" s="20">
        <v>0.1069</v>
      </c>
      <c r="D713" s="20">
        <v>0.20860000000000001</v>
      </c>
      <c r="E713" s="20">
        <v>0.30559999999999998</v>
      </c>
      <c r="F713" s="20">
        <v>0.39810000000000001</v>
      </c>
      <c r="G713" s="20">
        <v>0.48649999999999999</v>
      </c>
      <c r="H713" s="20">
        <v>0.57110000000000005</v>
      </c>
      <c r="I713" s="20">
        <v>0.65200000000000002</v>
      </c>
      <c r="J713" s="20">
        <v>0.72960000000000003</v>
      </c>
      <c r="K713" s="20">
        <v>0.80400000000000005</v>
      </c>
      <c r="L713" s="20">
        <v>0.87549999999999994</v>
      </c>
      <c r="M713" s="20">
        <v>0.94430000000000003</v>
      </c>
      <c r="N713" s="20">
        <v>1.0105999999999999</v>
      </c>
      <c r="O713" s="20">
        <v>1.0744</v>
      </c>
      <c r="P713" s="20">
        <v>1.1359999999999999</v>
      </c>
      <c r="Q713" s="20">
        <v>1.1956</v>
      </c>
      <c r="R713" s="20">
        <v>1.2531000000000001</v>
      </c>
      <c r="S713" s="20">
        <v>1.3088</v>
      </c>
      <c r="T713" s="20">
        <v>1.3628</v>
      </c>
      <c r="U713" s="20">
        <v>1.4151</v>
      </c>
      <c r="V713" s="20">
        <v>1.4659</v>
      </c>
      <c r="W713"/>
      <c r="X713"/>
      <c r="Y713"/>
      <c r="Z713"/>
    </row>
    <row r="714" spans="1:26" x14ac:dyDescent="0.2">
      <c r="A714" s="19">
        <v>0.70799999999999996</v>
      </c>
      <c r="B714" s="20">
        <v>0</v>
      </c>
      <c r="C714" s="20">
        <v>0.1069</v>
      </c>
      <c r="D714" s="20">
        <v>0.2087</v>
      </c>
      <c r="E714" s="20">
        <v>0.30570000000000003</v>
      </c>
      <c r="F714" s="20">
        <v>0.39829999999999999</v>
      </c>
      <c r="G714" s="20">
        <v>0.48670000000000002</v>
      </c>
      <c r="H714" s="20">
        <v>0.57130000000000003</v>
      </c>
      <c r="I714" s="20">
        <v>0.6522</v>
      </c>
      <c r="J714" s="20">
        <v>0.7298</v>
      </c>
      <c r="K714" s="20">
        <v>0.80430000000000001</v>
      </c>
      <c r="L714" s="20">
        <v>0.87580000000000002</v>
      </c>
      <c r="M714" s="20">
        <v>0.9446</v>
      </c>
      <c r="N714" s="20">
        <v>1.0108999999999999</v>
      </c>
      <c r="O714" s="20">
        <v>1.0748</v>
      </c>
      <c r="P714" s="20">
        <v>1.1364000000000001</v>
      </c>
      <c r="Q714" s="20">
        <v>1.196</v>
      </c>
      <c r="R714" s="20">
        <v>1.2535000000000001</v>
      </c>
      <c r="S714" s="20">
        <v>1.3091999999999999</v>
      </c>
      <c r="T714" s="20">
        <v>1.3632</v>
      </c>
      <c r="U714" s="20">
        <v>1.4155</v>
      </c>
      <c r="V714" s="20">
        <v>1.4662999999999999</v>
      </c>
      <c r="W714"/>
      <c r="X714"/>
      <c r="Y714"/>
      <c r="Z714"/>
    </row>
    <row r="715" spans="1:26" x14ac:dyDescent="0.2">
      <c r="A715" s="19">
        <v>0.70899999999999996</v>
      </c>
      <c r="B715" s="20">
        <v>0</v>
      </c>
      <c r="C715" s="20">
        <v>0.1069</v>
      </c>
      <c r="D715" s="20">
        <v>0.20880000000000001</v>
      </c>
      <c r="E715" s="20">
        <v>0.30580000000000002</v>
      </c>
      <c r="F715" s="20">
        <v>0.39839999999999998</v>
      </c>
      <c r="G715" s="20">
        <v>0.4869</v>
      </c>
      <c r="H715" s="20">
        <v>0.57150000000000001</v>
      </c>
      <c r="I715" s="20">
        <v>0.65249999999999997</v>
      </c>
      <c r="J715" s="20">
        <v>0.73009999999999997</v>
      </c>
      <c r="K715" s="20">
        <v>0.80459999999999998</v>
      </c>
      <c r="L715" s="20">
        <v>0.87609999999999999</v>
      </c>
      <c r="M715" s="20">
        <v>0.94499999999999995</v>
      </c>
      <c r="N715" s="20">
        <v>1.0113000000000001</v>
      </c>
      <c r="O715" s="20">
        <v>1.0750999999999999</v>
      </c>
      <c r="P715" s="20">
        <v>1.1368</v>
      </c>
      <c r="Q715" s="20">
        <v>1.1962999999999999</v>
      </c>
      <c r="R715" s="20">
        <v>1.2539</v>
      </c>
      <c r="S715" s="20">
        <v>1.3096000000000001</v>
      </c>
      <c r="T715" s="20">
        <v>1.3635999999999999</v>
      </c>
      <c r="U715" s="20">
        <v>1.4158999999999999</v>
      </c>
      <c r="V715" s="20">
        <v>1.4666999999999999</v>
      </c>
      <c r="W715"/>
      <c r="X715"/>
      <c r="Y715"/>
      <c r="Z715"/>
    </row>
    <row r="716" spans="1:26" x14ac:dyDescent="0.2">
      <c r="A716" s="19">
        <v>0.71</v>
      </c>
      <c r="B716" s="20">
        <v>0</v>
      </c>
      <c r="C716" s="20">
        <v>0.107</v>
      </c>
      <c r="D716" s="20">
        <v>0.2089</v>
      </c>
      <c r="E716" s="20">
        <v>0.30590000000000001</v>
      </c>
      <c r="F716" s="20">
        <v>0.39860000000000001</v>
      </c>
      <c r="G716" s="20">
        <v>0.48709999999999998</v>
      </c>
      <c r="H716" s="20">
        <v>0.57169999999999999</v>
      </c>
      <c r="I716" s="20">
        <v>0.65269999999999995</v>
      </c>
      <c r="J716" s="20">
        <v>0.73040000000000005</v>
      </c>
      <c r="K716" s="20">
        <v>0.80489999999999995</v>
      </c>
      <c r="L716" s="20">
        <v>0.87649999999999995</v>
      </c>
      <c r="M716" s="20">
        <v>0.94530000000000003</v>
      </c>
      <c r="N716" s="20">
        <v>1.0116000000000001</v>
      </c>
      <c r="O716" s="20">
        <v>1.0754999999999999</v>
      </c>
      <c r="P716" s="20">
        <v>1.1372</v>
      </c>
      <c r="Q716" s="20">
        <v>1.1967000000000001</v>
      </c>
      <c r="R716" s="20">
        <v>1.2543</v>
      </c>
      <c r="S716" s="20">
        <v>1.31</v>
      </c>
      <c r="T716" s="20">
        <v>1.3640000000000001</v>
      </c>
      <c r="U716" s="20">
        <v>1.4162999999999999</v>
      </c>
      <c r="V716" s="20">
        <v>1.4671000000000001</v>
      </c>
      <c r="W716"/>
      <c r="X716"/>
      <c r="Y716"/>
      <c r="Z716"/>
    </row>
    <row r="717" spans="1:26" x14ac:dyDescent="0.2">
      <c r="A717" s="19">
        <v>0.71099999999999997</v>
      </c>
      <c r="B717" s="20">
        <v>0</v>
      </c>
      <c r="C717" s="20">
        <v>0.107</v>
      </c>
      <c r="D717" s="20">
        <v>0.2089</v>
      </c>
      <c r="E717" s="20">
        <v>0.30609999999999998</v>
      </c>
      <c r="F717" s="20">
        <v>0.3987</v>
      </c>
      <c r="G717" s="20">
        <v>0.48730000000000001</v>
      </c>
      <c r="H717" s="20">
        <v>0.57189999999999996</v>
      </c>
      <c r="I717" s="20">
        <v>0.65300000000000002</v>
      </c>
      <c r="J717" s="20">
        <v>0.73060000000000003</v>
      </c>
      <c r="K717" s="20">
        <v>0.80520000000000003</v>
      </c>
      <c r="L717" s="20">
        <v>0.87680000000000002</v>
      </c>
      <c r="M717" s="20">
        <v>0.9456</v>
      </c>
      <c r="N717" s="20">
        <v>1.0119</v>
      </c>
      <c r="O717" s="20">
        <v>1.0759000000000001</v>
      </c>
      <c r="P717" s="20">
        <v>1.1375</v>
      </c>
      <c r="Q717" s="20">
        <v>1.1971000000000001</v>
      </c>
      <c r="R717" s="20">
        <v>1.2546999999999999</v>
      </c>
      <c r="S717" s="20">
        <v>1.3104</v>
      </c>
      <c r="T717" s="20">
        <v>1.3644000000000001</v>
      </c>
      <c r="U717" s="20">
        <v>1.4167000000000001</v>
      </c>
      <c r="V717" s="20">
        <v>1.4675</v>
      </c>
      <c r="W717"/>
      <c r="X717"/>
      <c r="Y717"/>
      <c r="Z717"/>
    </row>
    <row r="718" spans="1:26" x14ac:dyDescent="0.2">
      <c r="A718" s="19">
        <v>0.71199999999999997</v>
      </c>
      <c r="B718" s="20">
        <v>0</v>
      </c>
      <c r="C718" s="20">
        <v>0.1071</v>
      </c>
      <c r="D718" s="20">
        <v>0.20899999999999999</v>
      </c>
      <c r="E718" s="20">
        <v>0.30620000000000003</v>
      </c>
      <c r="F718" s="20">
        <v>0.39889999999999998</v>
      </c>
      <c r="G718" s="20">
        <v>0.4874</v>
      </c>
      <c r="H718" s="20">
        <v>0.57210000000000005</v>
      </c>
      <c r="I718" s="20">
        <v>0.6532</v>
      </c>
      <c r="J718" s="20">
        <v>0.73089999999999999</v>
      </c>
      <c r="K718" s="20">
        <v>0.80549999999999999</v>
      </c>
      <c r="L718" s="20">
        <v>0.87709999999999999</v>
      </c>
      <c r="M718" s="20">
        <v>0.94599999999999995</v>
      </c>
      <c r="N718" s="20">
        <v>1.0123</v>
      </c>
      <c r="O718" s="20">
        <v>1.0762</v>
      </c>
      <c r="P718" s="20">
        <v>1.1378999999999999</v>
      </c>
      <c r="Q718" s="20">
        <v>1.1975</v>
      </c>
      <c r="R718" s="20">
        <v>1.2551000000000001</v>
      </c>
      <c r="S718" s="20">
        <v>1.3108</v>
      </c>
      <c r="T718" s="20">
        <v>1.3648</v>
      </c>
      <c r="U718" s="20">
        <v>1.4171</v>
      </c>
      <c r="V718" s="20">
        <v>1.4679</v>
      </c>
      <c r="W718"/>
      <c r="X718"/>
      <c r="Y718"/>
      <c r="Z718"/>
    </row>
    <row r="719" spans="1:26" x14ac:dyDescent="0.2">
      <c r="A719" s="19">
        <v>0.71299999999999997</v>
      </c>
      <c r="B719" s="20">
        <v>0</v>
      </c>
      <c r="C719" s="20">
        <v>0.1071</v>
      </c>
      <c r="D719" s="20">
        <v>0.20910000000000001</v>
      </c>
      <c r="E719" s="20">
        <v>0.30630000000000002</v>
      </c>
      <c r="F719" s="20">
        <v>0.39900000000000002</v>
      </c>
      <c r="G719" s="20">
        <v>0.48759999999999998</v>
      </c>
      <c r="H719" s="20">
        <v>0.57230000000000003</v>
      </c>
      <c r="I719" s="20">
        <v>0.65339999999999998</v>
      </c>
      <c r="J719" s="20">
        <v>0.73119999999999996</v>
      </c>
      <c r="K719" s="20">
        <v>0.80569999999999997</v>
      </c>
      <c r="L719" s="20">
        <v>0.87739999999999996</v>
      </c>
      <c r="M719" s="20">
        <v>0.94630000000000003</v>
      </c>
      <c r="N719" s="20">
        <v>1.0125999999999999</v>
      </c>
      <c r="O719" s="20">
        <v>1.0766</v>
      </c>
      <c r="P719" s="20">
        <v>1.1383000000000001</v>
      </c>
      <c r="Q719" s="20">
        <v>1.1979</v>
      </c>
      <c r="R719" s="20">
        <v>1.2555000000000001</v>
      </c>
      <c r="S719" s="20">
        <v>1.3111999999999999</v>
      </c>
      <c r="T719" s="20">
        <v>1.3652</v>
      </c>
      <c r="U719" s="20">
        <v>1.4175</v>
      </c>
      <c r="V719" s="20">
        <v>1.4682999999999999</v>
      </c>
      <c r="W719"/>
      <c r="X719"/>
      <c r="Y719"/>
      <c r="Z719"/>
    </row>
    <row r="720" spans="1:26" x14ac:dyDescent="0.2">
      <c r="A720" s="19">
        <v>0.71399999999999997</v>
      </c>
      <c r="B720" s="20">
        <v>0</v>
      </c>
      <c r="C720" s="20">
        <v>0.1071</v>
      </c>
      <c r="D720" s="20">
        <v>0.2092</v>
      </c>
      <c r="E720" s="20">
        <v>0.30640000000000001</v>
      </c>
      <c r="F720" s="20">
        <v>0.3992</v>
      </c>
      <c r="G720" s="20">
        <v>0.48780000000000001</v>
      </c>
      <c r="H720" s="20">
        <v>0.57250000000000001</v>
      </c>
      <c r="I720" s="20">
        <v>0.65369999999999995</v>
      </c>
      <c r="J720" s="20">
        <v>0.73140000000000005</v>
      </c>
      <c r="K720" s="20">
        <v>0.80600000000000005</v>
      </c>
      <c r="L720" s="20">
        <v>0.87770000000000004</v>
      </c>
      <c r="M720" s="20">
        <v>0.9466</v>
      </c>
      <c r="N720" s="20">
        <v>1.0129999999999999</v>
      </c>
      <c r="O720" s="20">
        <v>1.0769</v>
      </c>
      <c r="P720" s="20">
        <v>1.1386000000000001</v>
      </c>
      <c r="Q720" s="20">
        <v>1.1981999999999999</v>
      </c>
      <c r="R720" s="20">
        <v>1.2559</v>
      </c>
      <c r="S720" s="20">
        <v>1.3116000000000001</v>
      </c>
      <c r="T720" s="20">
        <v>1.3655999999999999</v>
      </c>
      <c r="U720" s="20">
        <v>1.4178999999999999</v>
      </c>
      <c r="V720" s="20">
        <v>1.4686999999999999</v>
      </c>
      <c r="W720"/>
      <c r="X720"/>
      <c r="Y720"/>
      <c r="Z720"/>
    </row>
    <row r="721" spans="1:26" x14ac:dyDescent="0.2">
      <c r="A721" s="19">
        <v>0.71499999999999997</v>
      </c>
      <c r="B721" s="20">
        <v>0</v>
      </c>
      <c r="C721" s="20">
        <v>0.1072</v>
      </c>
      <c r="D721" s="20">
        <v>0.2092</v>
      </c>
      <c r="E721" s="20">
        <v>0.30649999999999999</v>
      </c>
      <c r="F721" s="20">
        <v>0.39929999999999999</v>
      </c>
      <c r="G721" s="20">
        <v>0.48799999999999999</v>
      </c>
      <c r="H721" s="20">
        <v>0.57279999999999998</v>
      </c>
      <c r="I721" s="20">
        <v>0.65390000000000004</v>
      </c>
      <c r="J721" s="20">
        <v>0.73170000000000002</v>
      </c>
      <c r="K721" s="20">
        <v>0.80630000000000002</v>
      </c>
      <c r="L721" s="20">
        <v>0.878</v>
      </c>
      <c r="M721" s="20">
        <v>0.94689999999999996</v>
      </c>
      <c r="N721" s="20">
        <v>1.0133000000000001</v>
      </c>
      <c r="O721" s="20">
        <v>1.0772999999999999</v>
      </c>
      <c r="P721" s="20">
        <v>1.139</v>
      </c>
      <c r="Q721" s="20">
        <v>1.1986000000000001</v>
      </c>
      <c r="R721" s="20">
        <v>1.2562</v>
      </c>
      <c r="S721" s="20">
        <v>1.3120000000000001</v>
      </c>
      <c r="T721" s="20">
        <v>1.3660000000000001</v>
      </c>
      <c r="U721" s="20">
        <v>1.4182999999999999</v>
      </c>
      <c r="V721" s="20">
        <v>1.4691000000000001</v>
      </c>
      <c r="W721"/>
      <c r="X721"/>
      <c r="Y721"/>
      <c r="Z721"/>
    </row>
    <row r="722" spans="1:26" x14ac:dyDescent="0.2">
      <c r="A722" s="19">
        <v>0.71599999999999997</v>
      </c>
      <c r="B722" s="20">
        <v>0</v>
      </c>
      <c r="C722" s="20">
        <v>0.1072</v>
      </c>
      <c r="D722" s="20">
        <v>0.20930000000000001</v>
      </c>
      <c r="E722" s="20">
        <v>0.30659999999999998</v>
      </c>
      <c r="F722" s="20">
        <v>0.39950000000000002</v>
      </c>
      <c r="G722" s="20">
        <v>0.48820000000000002</v>
      </c>
      <c r="H722" s="20">
        <v>0.57299999999999995</v>
      </c>
      <c r="I722" s="20">
        <v>0.6542</v>
      </c>
      <c r="J722" s="20">
        <v>0.73199999999999998</v>
      </c>
      <c r="K722" s="20">
        <v>0.80659999999999998</v>
      </c>
      <c r="L722" s="20">
        <v>0.87829999999999997</v>
      </c>
      <c r="M722" s="20">
        <v>0.94730000000000003</v>
      </c>
      <c r="N722" s="20">
        <v>1.0137</v>
      </c>
      <c r="O722" s="20">
        <v>1.0775999999999999</v>
      </c>
      <c r="P722" s="20">
        <v>1.1394</v>
      </c>
      <c r="Q722" s="20">
        <v>1.1990000000000001</v>
      </c>
      <c r="R722" s="20">
        <v>1.2565999999999999</v>
      </c>
      <c r="S722" s="20">
        <v>1.3124</v>
      </c>
      <c r="T722" s="20">
        <v>1.3664000000000001</v>
      </c>
      <c r="U722" s="20">
        <v>1.4187000000000001</v>
      </c>
      <c r="V722" s="20">
        <v>1.4695</v>
      </c>
      <c r="W722"/>
      <c r="X722"/>
      <c r="Y722"/>
      <c r="Z722"/>
    </row>
    <row r="723" spans="1:26" x14ac:dyDescent="0.2">
      <c r="A723" s="19">
        <v>0.71699999999999997</v>
      </c>
      <c r="B723" s="20">
        <v>0</v>
      </c>
      <c r="C723" s="20">
        <v>0.10730000000000001</v>
      </c>
      <c r="D723" s="20">
        <v>0.2094</v>
      </c>
      <c r="E723" s="20">
        <v>0.30680000000000002</v>
      </c>
      <c r="F723" s="20">
        <v>0.39960000000000001</v>
      </c>
      <c r="G723" s="20">
        <v>0.4884</v>
      </c>
      <c r="H723" s="20">
        <v>0.57320000000000004</v>
      </c>
      <c r="I723" s="20">
        <v>0.65439999999999998</v>
      </c>
      <c r="J723" s="20">
        <v>0.73219999999999996</v>
      </c>
      <c r="K723" s="20">
        <v>0.80689999999999995</v>
      </c>
      <c r="L723" s="20">
        <v>0.87860000000000005</v>
      </c>
      <c r="M723" s="20">
        <v>0.9476</v>
      </c>
      <c r="N723" s="20">
        <v>1.014</v>
      </c>
      <c r="O723" s="20">
        <v>1.0780000000000001</v>
      </c>
      <c r="P723" s="20">
        <v>1.1396999999999999</v>
      </c>
      <c r="Q723" s="20">
        <v>1.1994</v>
      </c>
      <c r="R723" s="20">
        <v>1.2569999999999999</v>
      </c>
      <c r="S723" s="20">
        <v>1.3128</v>
      </c>
      <c r="T723" s="20">
        <v>1.3668</v>
      </c>
      <c r="U723" s="20">
        <v>1.4191</v>
      </c>
      <c r="V723" s="20">
        <v>1.4699</v>
      </c>
      <c r="W723"/>
      <c r="X723"/>
      <c r="Y723"/>
      <c r="Z723"/>
    </row>
    <row r="724" spans="1:26" x14ac:dyDescent="0.2">
      <c r="A724" s="19">
        <v>0.71799999999999997</v>
      </c>
      <c r="B724" s="20">
        <v>0</v>
      </c>
      <c r="C724" s="20">
        <v>0.10730000000000001</v>
      </c>
      <c r="D724" s="20">
        <v>0.20949999999999999</v>
      </c>
      <c r="E724" s="20">
        <v>0.30690000000000001</v>
      </c>
      <c r="F724" s="20">
        <v>0.39979999999999999</v>
      </c>
      <c r="G724" s="20">
        <v>0.48849999999999999</v>
      </c>
      <c r="H724" s="20">
        <v>0.57340000000000002</v>
      </c>
      <c r="I724" s="20">
        <v>0.65459999999999996</v>
      </c>
      <c r="J724" s="20">
        <v>0.73250000000000004</v>
      </c>
      <c r="K724" s="20">
        <v>0.80720000000000003</v>
      </c>
      <c r="L724" s="20">
        <v>0.87890000000000001</v>
      </c>
      <c r="M724" s="20">
        <v>0.94789999999999996</v>
      </c>
      <c r="N724" s="20">
        <v>1.0143</v>
      </c>
      <c r="O724" s="20">
        <v>1.0784</v>
      </c>
      <c r="P724" s="20">
        <v>1.1400999999999999</v>
      </c>
      <c r="Q724" s="20">
        <v>1.1998</v>
      </c>
      <c r="R724" s="20">
        <v>1.2574000000000001</v>
      </c>
      <c r="S724" s="20">
        <v>1.3131999999999999</v>
      </c>
      <c r="T724" s="20">
        <v>1.3672</v>
      </c>
      <c r="U724" s="20">
        <v>1.4195</v>
      </c>
      <c r="V724" s="20">
        <v>1.4702999999999999</v>
      </c>
      <c r="W724"/>
      <c r="X724"/>
      <c r="Y724"/>
      <c r="Z724"/>
    </row>
    <row r="725" spans="1:26" x14ac:dyDescent="0.2">
      <c r="A725" s="19">
        <v>0.71899999999999997</v>
      </c>
      <c r="B725" s="20">
        <v>0</v>
      </c>
      <c r="C725" s="20">
        <v>0.1074</v>
      </c>
      <c r="D725" s="20">
        <v>0.20960000000000001</v>
      </c>
      <c r="E725" s="20">
        <v>0.307</v>
      </c>
      <c r="F725" s="20">
        <v>0.39989999999999998</v>
      </c>
      <c r="G725" s="20">
        <v>0.48870000000000002</v>
      </c>
      <c r="H725" s="20">
        <v>0.5736</v>
      </c>
      <c r="I725" s="20">
        <v>0.65490000000000004</v>
      </c>
      <c r="J725" s="20">
        <v>0.73270000000000002</v>
      </c>
      <c r="K725" s="20">
        <v>0.8075</v>
      </c>
      <c r="L725" s="20">
        <v>0.87919999999999998</v>
      </c>
      <c r="M725" s="20">
        <v>0.94820000000000004</v>
      </c>
      <c r="N725" s="20">
        <v>1.0146999999999999</v>
      </c>
      <c r="O725" s="20">
        <v>1.0787</v>
      </c>
      <c r="P725" s="20">
        <v>1.1405000000000001</v>
      </c>
      <c r="Q725" s="20">
        <v>1.2000999999999999</v>
      </c>
      <c r="R725" s="20">
        <v>1.2578</v>
      </c>
      <c r="S725" s="20">
        <v>1.3136000000000001</v>
      </c>
      <c r="T725" s="20">
        <v>1.3675999999999999</v>
      </c>
      <c r="U725" s="20">
        <v>1.4198999999999999</v>
      </c>
      <c r="V725" s="20">
        <v>1.4706999999999999</v>
      </c>
      <c r="W725"/>
      <c r="X725"/>
      <c r="Y725"/>
      <c r="Z725"/>
    </row>
    <row r="726" spans="1:26" x14ac:dyDescent="0.2">
      <c r="A726" s="19">
        <v>0.72</v>
      </c>
      <c r="B726" s="20">
        <v>0</v>
      </c>
      <c r="C726" s="20">
        <v>0.1074</v>
      </c>
      <c r="D726" s="20">
        <v>0.20960000000000001</v>
      </c>
      <c r="E726" s="20">
        <v>0.30709999999999998</v>
      </c>
      <c r="F726" s="20">
        <v>0.40010000000000001</v>
      </c>
      <c r="G726" s="20">
        <v>0.4889</v>
      </c>
      <c r="H726" s="20">
        <v>0.57379999999999998</v>
      </c>
      <c r="I726" s="20">
        <v>0.65510000000000002</v>
      </c>
      <c r="J726" s="20">
        <v>0.73299999999999998</v>
      </c>
      <c r="K726" s="20">
        <v>0.80769999999999997</v>
      </c>
      <c r="L726" s="20">
        <v>0.87949999999999995</v>
      </c>
      <c r="M726" s="20">
        <v>0.9486</v>
      </c>
      <c r="N726" s="20">
        <v>1.0149999999999999</v>
      </c>
      <c r="O726" s="20">
        <v>1.0790999999999999</v>
      </c>
      <c r="P726" s="20">
        <v>1.1408</v>
      </c>
      <c r="Q726" s="20">
        <v>1.2004999999999999</v>
      </c>
      <c r="R726" s="20">
        <v>1.2582</v>
      </c>
      <c r="S726" s="20">
        <v>1.3140000000000001</v>
      </c>
      <c r="T726" s="20">
        <v>1.3680000000000001</v>
      </c>
      <c r="U726" s="20">
        <v>1.4202999999999999</v>
      </c>
      <c r="V726" s="20">
        <v>1.4711000000000001</v>
      </c>
      <c r="W726"/>
      <c r="X726"/>
      <c r="Y726"/>
      <c r="Z726"/>
    </row>
    <row r="727" spans="1:26" x14ac:dyDescent="0.2">
      <c r="A727" s="19">
        <v>0.72099999999999997</v>
      </c>
      <c r="B727" s="20">
        <v>0</v>
      </c>
      <c r="C727" s="20">
        <v>0.1074</v>
      </c>
      <c r="D727" s="20">
        <v>0.2097</v>
      </c>
      <c r="E727" s="20">
        <v>0.30719999999999997</v>
      </c>
      <c r="F727" s="20">
        <v>0.4002</v>
      </c>
      <c r="G727" s="20">
        <v>0.48909999999999998</v>
      </c>
      <c r="H727" s="20">
        <v>0.57399999999999995</v>
      </c>
      <c r="I727" s="20">
        <v>0.65529999999999999</v>
      </c>
      <c r="J727" s="20">
        <v>0.73329999999999995</v>
      </c>
      <c r="K727" s="20">
        <v>0.80800000000000005</v>
      </c>
      <c r="L727" s="20">
        <v>0.87980000000000003</v>
      </c>
      <c r="M727" s="20">
        <v>0.94889999999999997</v>
      </c>
      <c r="N727" s="20">
        <v>1.0154000000000001</v>
      </c>
      <c r="O727" s="20">
        <v>1.0793999999999999</v>
      </c>
      <c r="P727" s="20">
        <v>1.1412</v>
      </c>
      <c r="Q727" s="20">
        <v>1.2009000000000001</v>
      </c>
      <c r="R727" s="20">
        <v>1.2585999999999999</v>
      </c>
      <c r="S727" s="20">
        <v>1.3143</v>
      </c>
      <c r="T727" s="20">
        <v>1.3684000000000001</v>
      </c>
      <c r="U727" s="20">
        <v>1.4207000000000001</v>
      </c>
      <c r="V727" s="20">
        <v>1.4715</v>
      </c>
      <c r="W727"/>
      <c r="X727"/>
      <c r="Y727"/>
      <c r="Z727"/>
    </row>
    <row r="728" spans="1:26" x14ac:dyDescent="0.2">
      <c r="A728" s="19">
        <v>0.72199999999999998</v>
      </c>
      <c r="B728" s="20">
        <v>0</v>
      </c>
      <c r="C728" s="20">
        <v>0.1075</v>
      </c>
      <c r="D728" s="20">
        <v>0.20979999999999999</v>
      </c>
      <c r="E728" s="20">
        <v>0.30730000000000002</v>
      </c>
      <c r="F728" s="20">
        <v>0.40039999999999998</v>
      </c>
      <c r="G728" s="20">
        <v>0.48930000000000001</v>
      </c>
      <c r="H728" s="20">
        <v>0.57420000000000004</v>
      </c>
      <c r="I728" s="20">
        <v>0.65559999999999996</v>
      </c>
      <c r="J728" s="20">
        <v>0.73350000000000004</v>
      </c>
      <c r="K728" s="20">
        <v>0.80830000000000002</v>
      </c>
      <c r="L728" s="20">
        <v>0.88009999999999999</v>
      </c>
      <c r="M728" s="20">
        <v>0.94920000000000004</v>
      </c>
      <c r="N728" s="20">
        <v>1.0157</v>
      </c>
      <c r="O728" s="20">
        <v>1.0798000000000001</v>
      </c>
      <c r="P728" s="20">
        <v>1.1415999999999999</v>
      </c>
      <c r="Q728" s="20">
        <v>1.2013</v>
      </c>
      <c r="R728" s="20">
        <v>1.2588999999999999</v>
      </c>
      <c r="S728" s="20">
        <v>1.3147</v>
      </c>
      <c r="T728" s="20">
        <v>1.3688</v>
      </c>
      <c r="U728" s="20">
        <v>1.4211</v>
      </c>
      <c r="V728" s="20">
        <v>1.4719</v>
      </c>
      <c r="W728"/>
      <c r="X728"/>
      <c r="Y728"/>
      <c r="Z728"/>
    </row>
    <row r="729" spans="1:26" x14ac:dyDescent="0.2">
      <c r="A729" s="19">
        <v>0.72299999999999998</v>
      </c>
      <c r="B729" s="20">
        <v>0</v>
      </c>
      <c r="C729" s="20">
        <v>0.1075</v>
      </c>
      <c r="D729" s="20">
        <v>0.2099</v>
      </c>
      <c r="E729" s="20">
        <v>0.30740000000000001</v>
      </c>
      <c r="F729" s="20">
        <v>0.40050000000000002</v>
      </c>
      <c r="G729" s="20">
        <v>0.4894</v>
      </c>
      <c r="H729" s="20">
        <v>0.57440000000000002</v>
      </c>
      <c r="I729" s="20">
        <v>0.65580000000000005</v>
      </c>
      <c r="J729" s="20">
        <v>0.73380000000000001</v>
      </c>
      <c r="K729" s="20">
        <v>0.80859999999999999</v>
      </c>
      <c r="L729" s="20">
        <v>0.88049999999999995</v>
      </c>
      <c r="M729" s="20">
        <v>0.94950000000000001</v>
      </c>
      <c r="N729" s="20">
        <v>1.016</v>
      </c>
      <c r="O729" s="20">
        <v>1.0801000000000001</v>
      </c>
      <c r="P729" s="20">
        <v>1.1418999999999999</v>
      </c>
      <c r="Q729" s="20">
        <v>1.2016</v>
      </c>
      <c r="R729" s="20">
        <v>1.2593000000000001</v>
      </c>
      <c r="S729" s="20">
        <v>1.3150999999999999</v>
      </c>
      <c r="T729" s="20">
        <v>1.3691</v>
      </c>
      <c r="U729" s="20">
        <v>1.4215</v>
      </c>
      <c r="V729" s="20">
        <v>1.4722999999999999</v>
      </c>
      <c r="W729"/>
      <c r="X729"/>
      <c r="Y729"/>
      <c r="Z729"/>
    </row>
    <row r="730" spans="1:26" x14ac:dyDescent="0.2">
      <c r="A730" s="19">
        <v>0.72399999999999998</v>
      </c>
      <c r="B730" s="20">
        <v>0</v>
      </c>
      <c r="C730" s="20">
        <v>0.1076</v>
      </c>
      <c r="D730" s="20">
        <v>0.21</v>
      </c>
      <c r="E730" s="20">
        <v>0.30759999999999998</v>
      </c>
      <c r="F730" s="20">
        <v>0.4007</v>
      </c>
      <c r="G730" s="20">
        <v>0.48959999999999998</v>
      </c>
      <c r="H730" s="20">
        <v>0.57469999999999999</v>
      </c>
      <c r="I730" s="20">
        <v>0.65600000000000003</v>
      </c>
      <c r="J730" s="20">
        <v>0.73399999999999999</v>
      </c>
      <c r="K730" s="20">
        <v>0.80889999999999995</v>
      </c>
      <c r="L730" s="20">
        <v>0.88080000000000003</v>
      </c>
      <c r="M730" s="20">
        <v>0.94989999999999997</v>
      </c>
      <c r="N730" s="20">
        <v>1.0164</v>
      </c>
      <c r="O730" s="20">
        <v>1.0805</v>
      </c>
      <c r="P730" s="20">
        <v>1.1423000000000001</v>
      </c>
      <c r="Q730" s="20">
        <v>1.202</v>
      </c>
      <c r="R730" s="20">
        <v>1.2597</v>
      </c>
      <c r="S730" s="20">
        <v>1.3154999999999999</v>
      </c>
      <c r="T730" s="20">
        <v>1.3694999999999999</v>
      </c>
      <c r="U730" s="20">
        <v>1.4218999999999999</v>
      </c>
      <c r="V730" s="20">
        <v>1.4725999999999999</v>
      </c>
      <c r="W730"/>
      <c r="X730"/>
      <c r="Y730"/>
      <c r="Z730"/>
    </row>
    <row r="731" spans="1:26" x14ac:dyDescent="0.2">
      <c r="A731" s="19">
        <v>0.72499999999999998</v>
      </c>
      <c r="B731" s="20">
        <v>0</v>
      </c>
      <c r="C731" s="20">
        <v>0.1076</v>
      </c>
      <c r="D731" s="20">
        <v>0.21</v>
      </c>
      <c r="E731" s="20">
        <v>0.30769999999999997</v>
      </c>
      <c r="F731" s="20">
        <v>0.40079999999999999</v>
      </c>
      <c r="G731" s="20">
        <v>0.48980000000000001</v>
      </c>
      <c r="H731" s="20">
        <v>0.57489999999999997</v>
      </c>
      <c r="I731" s="20">
        <v>0.65629999999999999</v>
      </c>
      <c r="J731" s="20">
        <v>0.73429999999999995</v>
      </c>
      <c r="K731" s="20">
        <v>0.80920000000000003</v>
      </c>
      <c r="L731" s="20">
        <v>0.88109999999999999</v>
      </c>
      <c r="M731" s="20">
        <v>0.95020000000000004</v>
      </c>
      <c r="N731" s="20">
        <v>1.0166999999999999</v>
      </c>
      <c r="O731" s="20">
        <v>1.0808</v>
      </c>
      <c r="P731" s="20">
        <v>1.1427</v>
      </c>
      <c r="Q731" s="20">
        <v>1.2023999999999999</v>
      </c>
      <c r="R731" s="20">
        <v>1.2601</v>
      </c>
      <c r="S731" s="20">
        <v>1.3159000000000001</v>
      </c>
      <c r="T731" s="20">
        <v>1.3698999999999999</v>
      </c>
      <c r="U731" s="20">
        <v>1.4222999999999999</v>
      </c>
      <c r="V731" s="20">
        <v>1.4730000000000001</v>
      </c>
      <c r="W731"/>
      <c r="X731"/>
      <c r="Y731"/>
      <c r="Z731"/>
    </row>
    <row r="732" spans="1:26" x14ac:dyDescent="0.2">
      <c r="A732" s="19">
        <v>0.72599999999999998</v>
      </c>
      <c r="B732" s="20">
        <v>0</v>
      </c>
      <c r="C732" s="20">
        <v>0.1076</v>
      </c>
      <c r="D732" s="20">
        <v>0.21010000000000001</v>
      </c>
      <c r="E732" s="20">
        <v>0.30780000000000002</v>
      </c>
      <c r="F732" s="20">
        <v>0.40100000000000002</v>
      </c>
      <c r="G732" s="20">
        <v>0.49</v>
      </c>
      <c r="H732" s="20">
        <v>0.57509999999999994</v>
      </c>
      <c r="I732" s="20">
        <v>0.65649999999999997</v>
      </c>
      <c r="J732" s="20">
        <v>0.73460000000000003</v>
      </c>
      <c r="K732" s="20">
        <v>0.80940000000000001</v>
      </c>
      <c r="L732" s="20">
        <v>0.88139999999999996</v>
      </c>
      <c r="M732" s="20">
        <v>0.95050000000000001</v>
      </c>
      <c r="N732" s="20">
        <v>1.0170999999999999</v>
      </c>
      <c r="O732" s="20">
        <v>1.0811999999999999</v>
      </c>
      <c r="P732" s="20">
        <v>1.143</v>
      </c>
      <c r="Q732" s="20">
        <v>1.2027000000000001</v>
      </c>
      <c r="R732" s="20">
        <v>1.2605</v>
      </c>
      <c r="S732" s="20">
        <v>1.3163</v>
      </c>
      <c r="T732" s="20">
        <v>1.3703000000000001</v>
      </c>
      <c r="U732" s="20">
        <v>1.4227000000000001</v>
      </c>
      <c r="V732" s="20">
        <v>1.4734</v>
      </c>
      <c r="W732"/>
      <c r="X732"/>
      <c r="Y732"/>
      <c r="Z732"/>
    </row>
    <row r="733" spans="1:26" x14ac:dyDescent="0.2">
      <c r="A733" s="19">
        <v>0.72699999999999998</v>
      </c>
      <c r="B733" s="20">
        <v>0</v>
      </c>
      <c r="C733" s="20">
        <v>0.1077</v>
      </c>
      <c r="D733" s="20">
        <v>0.2102</v>
      </c>
      <c r="E733" s="20">
        <v>0.30790000000000001</v>
      </c>
      <c r="F733" s="20">
        <v>0.40110000000000001</v>
      </c>
      <c r="G733" s="20">
        <v>0.49020000000000002</v>
      </c>
      <c r="H733" s="20">
        <v>0.57530000000000003</v>
      </c>
      <c r="I733" s="20">
        <v>0.65680000000000005</v>
      </c>
      <c r="J733" s="20">
        <v>0.73480000000000001</v>
      </c>
      <c r="K733" s="20">
        <v>0.80969999999999998</v>
      </c>
      <c r="L733" s="20">
        <v>0.88170000000000004</v>
      </c>
      <c r="M733" s="20">
        <v>0.95079999999999998</v>
      </c>
      <c r="N733" s="20">
        <v>1.0174000000000001</v>
      </c>
      <c r="O733" s="20">
        <v>1.0814999999999999</v>
      </c>
      <c r="P733" s="20">
        <v>1.1434</v>
      </c>
      <c r="Q733" s="20">
        <v>1.2031000000000001</v>
      </c>
      <c r="R733" s="20">
        <v>1.2607999999999999</v>
      </c>
      <c r="S733" s="20">
        <v>1.3167</v>
      </c>
      <c r="T733" s="20">
        <v>1.3707</v>
      </c>
      <c r="U733" s="20">
        <v>1.4231</v>
      </c>
      <c r="V733" s="20">
        <v>1.4738</v>
      </c>
      <c r="W733"/>
      <c r="X733"/>
      <c r="Y733"/>
      <c r="Z733"/>
    </row>
    <row r="734" spans="1:26" x14ac:dyDescent="0.2">
      <c r="A734" s="19">
        <v>0.72799999999999998</v>
      </c>
      <c r="B734" s="20">
        <v>0</v>
      </c>
      <c r="C734" s="20">
        <v>0.1077</v>
      </c>
      <c r="D734" s="20">
        <v>0.21029999999999999</v>
      </c>
      <c r="E734" s="20">
        <v>0.308</v>
      </c>
      <c r="F734" s="20">
        <v>0.40129999999999999</v>
      </c>
      <c r="G734" s="20">
        <v>0.49030000000000001</v>
      </c>
      <c r="H734" s="20">
        <v>0.57550000000000001</v>
      </c>
      <c r="I734" s="20">
        <v>0.65700000000000003</v>
      </c>
      <c r="J734" s="20">
        <v>0.73509999999999998</v>
      </c>
      <c r="K734" s="20">
        <v>0.81</v>
      </c>
      <c r="L734" s="20">
        <v>0.88200000000000001</v>
      </c>
      <c r="M734" s="20">
        <v>0.95109999999999995</v>
      </c>
      <c r="N734" s="20">
        <v>1.0177</v>
      </c>
      <c r="O734" s="20">
        <v>1.0819000000000001</v>
      </c>
      <c r="P734" s="20">
        <v>1.1437999999999999</v>
      </c>
      <c r="Q734" s="20">
        <v>1.2035</v>
      </c>
      <c r="R734" s="20">
        <v>1.2612000000000001</v>
      </c>
      <c r="S734" s="20">
        <v>1.3170999999999999</v>
      </c>
      <c r="T734" s="20">
        <v>1.3711</v>
      </c>
      <c r="U734" s="20">
        <v>1.4235</v>
      </c>
      <c r="V734" s="20">
        <v>1.4742</v>
      </c>
      <c r="W734"/>
      <c r="X734"/>
      <c r="Y734"/>
      <c r="Z734"/>
    </row>
    <row r="735" spans="1:26" x14ac:dyDescent="0.2">
      <c r="A735" s="19">
        <v>0.72899999999999998</v>
      </c>
      <c r="B735" s="20">
        <v>0</v>
      </c>
      <c r="C735" s="20">
        <v>0.10780000000000001</v>
      </c>
      <c r="D735" s="20">
        <v>0.21029999999999999</v>
      </c>
      <c r="E735" s="20">
        <v>0.30809999999999998</v>
      </c>
      <c r="F735" s="20">
        <v>0.40139999999999998</v>
      </c>
      <c r="G735" s="20">
        <v>0.49049999999999999</v>
      </c>
      <c r="H735" s="20">
        <v>0.57569999999999999</v>
      </c>
      <c r="I735" s="20">
        <v>0.65720000000000001</v>
      </c>
      <c r="J735" s="20">
        <v>0.73529999999999995</v>
      </c>
      <c r="K735" s="20">
        <v>0.81030000000000002</v>
      </c>
      <c r="L735" s="20">
        <v>0.88229999999999997</v>
      </c>
      <c r="M735" s="20">
        <v>0.95150000000000001</v>
      </c>
      <c r="N735" s="20">
        <v>1.0181</v>
      </c>
      <c r="O735" s="20">
        <v>1.0822000000000001</v>
      </c>
      <c r="P735" s="20">
        <v>1.1440999999999999</v>
      </c>
      <c r="Q735" s="20">
        <v>1.2039</v>
      </c>
      <c r="R735" s="20">
        <v>1.2616000000000001</v>
      </c>
      <c r="S735" s="20">
        <v>1.3173999999999999</v>
      </c>
      <c r="T735" s="20">
        <v>1.3714999999999999</v>
      </c>
      <c r="U735" s="20">
        <v>1.4238999999999999</v>
      </c>
      <c r="V735" s="20">
        <v>1.4745999999999999</v>
      </c>
      <c r="W735"/>
      <c r="X735"/>
      <c r="Y735"/>
      <c r="Z735"/>
    </row>
    <row r="736" spans="1:26" x14ac:dyDescent="0.2">
      <c r="A736" s="19">
        <v>0.73</v>
      </c>
      <c r="B736" s="20">
        <v>0</v>
      </c>
      <c r="C736" s="20">
        <v>0.10780000000000001</v>
      </c>
      <c r="D736" s="20">
        <v>0.2104</v>
      </c>
      <c r="E736" s="20">
        <v>0.30819999999999997</v>
      </c>
      <c r="F736" s="20">
        <v>0.40160000000000001</v>
      </c>
      <c r="G736" s="20">
        <v>0.49070000000000003</v>
      </c>
      <c r="H736" s="20">
        <v>0.57589999999999997</v>
      </c>
      <c r="I736" s="20">
        <v>0.65749999999999997</v>
      </c>
      <c r="J736" s="20">
        <v>0.73560000000000003</v>
      </c>
      <c r="K736" s="20">
        <v>0.81059999999999999</v>
      </c>
      <c r="L736" s="20">
        <v>0.88260000000000005</v>
      </c>
      <c r="M736" s="20">
        <v>0.95179999999999998</v>
      </c>
      <c r="N736" s="20">
        <v>1.0184</v>
      </c>
      <c r="O736" s="20">
        <v>1.0826</v>
      </c>
      <c r="P736" s="20">
        <v>1.1445000000000001</v>
      </c>
      <c r="Q736" s="20">
        <v>1.2041999999999999</v>
      </c>
      <c r="R736" s="20">
        <v>1.262</v>
      </c>
      <c r="S736" s="20">
        <v>1.3178000000000001</v>
      </c>
      <c r="T736" s="20">
        <v>1.3718999999999999</v>
      </c>
      <c r="U736" s="20">
        <v>1.4241999999999999</v>
      </c>
      <c r="V736" s="20">
        <v>1.4750000000000001</v>
      </c>
      <c r="W736"/>
      <c r="X736"/>
      <c r="Y736"/>
      <c r="Z736"/>
    </row>
    <row r="737" spans="1:26" x14ac:dyDescent="0.2">
      <c r="A737" s="19">
        <v>0.73099999999999998</v>
      </c>
      <c r="B737" s="20">
        <v>0</v>
      </c>
      <c r="C737" s="20">
        <v>0.10780000000000001</v>
      </c>
      <c r="D737" s="20">
        <v>0.21049999999999999</v>
      </c>
      <c r="E737" s="20">
        <v>0.30840000000000001</v>
      </c>
      <c r="F737" s="20">
        <v>0.4017</v>
      </c>
      <c r="G737" s="20">
        <v>0.4909</v>
      </c>
      <c r="H737" s="20">
        <v>0.57609999999999995</v>
      </c>
      <c r="I737" s="20">
        <v>0.65769999999999995</v>
      </c>
      <c r="J737" s="20">
        <v>0.7359</v>
      </c>
      <c r="K737" s="20">
        <v>0.81089999999999995</v>
      </c>
      <c r="L737" s="20">
        <v>0.88290000000000002</v>
      </c>
      <c r="M737" s="20">
        <v>0.95209999999999995</v>
      </c>
      <c r="N737" s="20">
        <v>1.0186999999999999</v>
      </c>
      <c r="O737" s="20">
        <v>1.0829</v>
      </c>
      <c r="P737" s="20">
        <v>1.1448</v>
      </c>
      <c r="Q737" s="20">
        <v>1.2045999999999999</v>
      </c>
      <c r="R737" s="20">
        <v>1.2624</v>
      </c>
      <c r="S737" s="20">
        <v>1.3182</v>
      </c>
      <c r="T737" s="20">
        <v>1.3723000000000001</v>
      </c>
      <c r="U737" s="20">
        <v>1.4246000000000001</v>
      </c>
      <c r="V737" s="20">
        <v>1.4754</v>
      </c>
      <c r="W737"/>
      <c r="X737"/>
      <c r="Y737"/>
      <c r="Z737"/>
    </row>
    <row r="738" spans="1:26" x14ac:dyDescent="0.2">
      <c r="A738" s="19">
        <v>0.73199999999999998</v>
      </c>
      <c r="B738" s="20">
        <v>0</v>
      </c>
      <c r="C738" s="20">
        <v>0.1079</v>
      </c>
      <c r="D738" s="20">
        <v>0.21060000000000001</v>
      </c>
      <c r="E738" s="20">
        <v>0.3085</v>
      </c>
      <c r="F738" s="20">
        <v>0.40189999999999998</v>
      </c>
      <c r="G738" s="20">
        <v>0.49099999999999999</v>
      </c>
      <c r="H738" s="20">
        <v>0.57630000000000003</v>
      </c>
      <c r="I738" s="20">
        <v>0.65790000000000004</v>
      </c>
      <c r="J738" s="20">
        <v>0.73609999999999998</v>
      </c>
      <c r="K738" s="20">
        <v>0.81110000000000004</v>
      </c>
      <c r="L738" s="20">
        <v>0.88319999999999999</v>
      </c>
      <c r="M738" s="20">
        <v>0.95240000000000002</v>
      </c>
      <c r="N738" s="20">
        <v>1.0190999999999999</v>
      </c>
      <c r="O738" s="20">
        <v>1.0832999999999999</v>
      </c>
      <c r="P738" s="20">
        <v>1.1452</v>
      </c>
      <c r="Q738" s="20">
        <v>1.2050000000000001</v>
      </c>
      <c r="R738" s="20">
        <v>1.2626999999999999</v>
      </c>
      <c r="S738" s="20">
        <v>1.3186</v>
      </c>
      <c r="T738" s="20">
        <v>1.3727</v>
      </c>
      <c r="U738" s="20">
        <v>1.425</v>
      </c>
      <c r="V738" s="20">
        <v>1.4758</v>
      </c>
      <c r="W738"/>
      <c r="X738"/>
      <c r="Y738"/>
      <c r="Z738"/>
    </row>
    <row r="739" spans="1:26" x14ac:dyDescent="0.2">
      <c r="A739" s="19">
        <v>0.73299999999999998</v>
      </c>
      <c r="B739" s="20">
        <v>0</v>
      </c>
      <c r="C739" s="20">
        <v>0.1079</v>
      </c>
      <c r="D739" s="20">
        <v>0.2107</v>
      </c>
      <c r="E739" s="20">
        <v>0.30859999999999999</v>
      </c>
      <c r="F739" s="20">
        <v>0.40200000000000002</v>
      </c>
      <c r="G739" s="20">
        <v>0.49120000000000003</v>
      </c>
      <c r="H739" s="20">
        <v>0.57650000000000001</v>
      </c>
      <c r="I739" s="20">
        <v>0.65820000000000001</v>
      </c>
      <c r="J739" s="20">
        <v>0.73640000000000005</v>
      </c>
      <c r="K739" s="20">
        <v>0.81140000000000001</v>
      </c>
      <c r="L739" s="20">
        <v>0.88349999999999995</v>
      </c>
      <c r="M739" s="20">
        <v>0.95269999999999999</v>
      </c>
      <c r="N739" s="20">
        <v>1.0194000000000001</v>
      </c>
      <c r="O739" s="20">
        <v>1.0835999999999999</v>
      </c>
      <c r="P739" s="20">
        <v>1.1456</v>
      </c>
      <c r="Q739" s="20">
        <v>1.2053</v>
      </c>
      <c r="R739" s="20">
        <v>1.2630999999999999</v>
      </c>
      <c r="S739" s="20">
        <v>1.319</v>
      </c>
      <c r="T739" s="20">
        <v>1.373</v>
      </c>
      <c r="U739" s="20">
        <v>1.4254</v>
      </c>
      <c r="V739" s="20">
        <v>1.4762</v>
      </c>
      <c r="W739"/>
      <c r="X739"/>
      <c r="Y739"/>
      <c r="Z739"/>
    </row>
    <row r="740" spans="1:26" x14ac:dyDescent="0.2">
      <c r="A740" s="19">
        <v>0.73399999999999999</v>
      </c>
      <c r="B740" s="20">
        <v>0</v>
      </c>
      <c r="C740" s="20">
        <v>0.108</v>
      </c>
      <c r="D740" s="20">
        <v>0.2107</v>
      </c>
      <c r="E740" s="20">
        <v>0.30869999999999997</v>
      </c>
      <c r="F740" s="20">
        <v>0.40210000000000001</v>
      </c>
      <c r="G740" s="20">
        <v>0.4914</v>
      </c>
      <c r="H740" s="20">
        <v>0.57669999999999999</v>
      </c>
      <c r="I740" s="20">
        <v>0.65839999999999999</v>
      </c>
      <c r="J740" s="20">
        <v>0.73660000000000003</v>
      </c>
      <c r="K740" s="20">
        <v>0.81169999999999998</v>
      </c>
      <c r="L740" s="20">
        <v>0.88380000000000003</v>
      </c>
      <c r="M740" s="20">
        <v>0.95299999999999996</v>
      </c>
      <c r="N740" s="20">
        <v>1.0197000000000001</v>
      </c>
      <c r="O740" s="20">
        <v>1.0840000000000001</v>
      </c>
      <c r="P740" s="20">
        <v>1.1458999999999999</v>
      </c>
      <c r="Q740" s="20">
        <v>1.2057</v>
      </c>
      <c r="R740" s="20">
        <v>1.2635000000000001</v>
      </c>
      <c r="S740" s="20">
        <v>1.3192999999999999</v>
      </c>
      <c r="T740" s="20">
        <v>1.3734</v>
      </c>
      <c r="U740" s="20">
        <v>1.4258</v>
      </c>
      <c r="V740" s="20">
        <v>1.4765999999999999</v>
      </c>
      <c r="W740"/>
      <c r="X740"/>
      <c r="Y740"/>
      <c r="Z740"/>
    </row>
    <row r="741" spans="1:26" x14ac:dyDescent="0.2">
      <c r="A741" s="19">
        <v>0.73499999999999999</v>
      </c>
      <c r="B741" s="20">
        <v>0</v>
      </c>
      <c r="C741" s="20">
        <v>0.108</v>
      </c>
      <c r="D741" s="20">
        <v>0.21079999999999999</v>
      </c>
      <c r="E741" s="20">
        <v>0.30880000000000002</v>
      </c>
      <c r="F741" s="20">
        <v>0.40229999999999999</v>
      </c>
      <c r="G741" s="20">
        <v>0.49159999999999998</v>
      </c>
      <c r="H741" s="20">
        <v>0.57689999999999997</v>
      </c>
      <c r="I741" s="20">
        <v>0.65859999999999996</v>
      </c>
      <c r="J741" s="20">
        <v>0.7369</v>
      </c>
      <c r="K741" s="20">
        <v>0.81200000000000006</v>
      </c>
      <c r="L741" s="20">
        <v>0.8841</v>
      </c>
      <c r="M741" s="20">
        <v>0.95340000000000003</v>
      </c>
      <c r="N741" s="20">
        <v>1.0201</v>
      </c>
      <c r="O741" s="20">
        <v>1.0843</v>
      </c>
      <c r="P741" s="20">
        <v>1.1463000000000001</v>
      </c>
      <c r="Q741" s="20">
        <v>1.2060999999999999</v>
      </c>
      <c r="R741" s="20">
        <v>1.2639</v>
      </c>
      <c r="S741" s="20">
        <v>1.3197000000000001</v>
      </c>
      <c r="T741" s="20">
        <v>1.3737999999999999</v>
      </c>
      <c r="U741" s="20">
        <v>1.4261999999999999</v>
      </c>
      <c r="V741" s="20">
        <v>1.4769000000000001</v>
      </c>
      <c r="W741"/>
      <c r="X741"/>
      <c r="Y741"/>
      <c r="Z741"/>
    </row>
    <row r="742" spans="1:26" x14ac:dyDescent="0.2">
      <c r="A742" s="19">
        <v>0.73599999999999999</v>
      </c>
      <c r="B742" s="20">
        <v>0</v>
      </c>
      <c r="C742" s="20">
        <v>0.108</v>
      </c>
      <c r="D742" s="20">
        <v>0.2109</v>
      </c>
      <c r="E742" s="20">
        <v>0.30890000000000001</v>
      </c>
      <c r="F742" s="20">
        <v>0.40239999999999998</v>
      </c>
      <c r="G742" s="20">
        <v>0.49170000000000003</v>
      </c>
      <c r="H742" s="20">
        <v>0.57709999999999995</v>
      </c>
      <c r="I742" s="20">
        <v>0.65880000000000005</v>
      </c>
      <c r="J742" s="20">
        <v>0.73709999999999998</v>
      </c>
      <c r="K742" s="20">
        <v>0.81220000000000003</v>
      </c>
      <c r="L742" s="20">
        <v>0.88439999999999996</v>
      </c>
      <c r="M742" s="20">
        <v>0.95369999999999999</v>
      </c>
      <c r="N742" s="20">
        <v>1.0204</v>
      </c>
      <c r="O742" s="20">
        <v>1.0847</v>
      </c>
      <c r="P742" s="20">
        <v>1.1466000000000001</v>
      </c>
      <c r="Q742" s="20">
        <v>1.2063999999999999</v>
      </c>
      <c r="R742" s="20">
        <v>1.2642</v>
      </c>
      <c r="S742" s="20">
        <v>1.3201000000000001</v>
      </c>
      <c r="T742" s="20">
        <v>1.3742000000000001</v>
      </c>
      <c r="U742" s="20">
        <v>1.4266000000000001</v>
      </c>
      <c r="V742" s="20">
        <v>1.4773000000000001</v>
      </c>
      <c r="W742"/>
      <c r="X742"/>
      <c r="Y742"/>
      <c r="Z742"/>
    </row>
    <row r="743" spans="1:26" x14ac:dyDescent="0.2">
      <c r="A743" s="19">
        <v>0.73699999999999999</v>
      </c>
      <c r="B743" s="20">
        <v>0</v>
      </c>
      <c r="C743" s="20">
        <v>0.1081</v>
      </c>
      <c r="D743" s="20">
        <v>0.21099999999999999</v>
      </c>
      <c r="E743" s="20">
        <v>0.309</v>
      </c>
      <c r="F743" s="20">
        <v>0.40260000000000001</v>
      </c>
      <c r="G743" s="20">
        <v>0.4919</v>
      </c>
      <c r="H743" s="20">
        <v>0.57730000000000004</v>
      </c>
      <c r="I743" s="20">
        <v>0.65910000000000002</v>
      </c>
      <c r="J743" s="20">
        <v>0.73740000000000006</v>
      </c>
      <c r="K743" s="20">
        <v>0.8125</v>
      </c>
      <c r="L743" s="20">
        <v>0.88470000000000004</v>
      </c>
      <c r="M743" s="20">
        <v>0.95399999999999996</v>
      </c>
      <c r="N743" s="20">
        <v>1.0206999999999999</v>
      </c>
      <c r="O743" s="20">
        <v>1.085</v>
      </c>
      <c r="P743" s="20">
        <v>1.147</v>
      </c>
      <c r="Q743" s="20">
        <v>1.2068000000000001</v>
      </c>
      <c r="R743" s="20">
        <v>1.2645999999999999</v>
      </c>
      <c r="S743" s="20">
        <v>1.3205</v>
      </c>
      <c r="T743" s="20">
        <v>1.3746</v>
      </c>
      <c r="U743" s="20">
        <v>1.427</v>
      </c>
      <c r="V743" s="20">
        <v>1.4777</v>
      </c>
      <c r="W743"/>
      <c r="X743"/>
      <c r="Y743"/>
      <c r="Z743"/>
    </row>
    <row r="744" spans="1:26" x14ac:dyDescent="0.2">
      <c r="A744" s="19">
        <v>0.73799999999999999</v>
      </c>
      <c r="B744" s="20">
        <v>0</v>
      </c>
      <c r="C744" s="20">
        <v>0.1081</v>
      </c>
      <c r="D744" s="20">
        <v>0.21099999999999999</v>
      </c>
      <c r="E744" s="20">
        <v>0.30909999999999999</v>
      </c>
      <c r="F744" s="20">
        <v>0.4027</v>
      </c>
      <c r="G744" s="20">
        <v>0.49209999999999998</v>
      </c>
      <c r="H744" s="20">
        <v>0.57750000000000001</v>
      </c>
      <c r="I744" s="20">
        <v>0.6593</v>
      </c>
      <c r="J744" s="20">
        <v>0.73770000000000002</v>
      </c>
      <c r="K744" s="20">
        <v>0.81279999999999997</v>
      </c>
      <c r="L744" s="20">
        <v>0.88500000000000001</v>
      </c>
      <c r="M744" s="20">
        <v>0.95430000000000004</v>
      </c>
      <c r="N744" s="20">
        <v>1.0210999999999999</v>
      </c>
      <c r="O744" s="20">
        <v>1.0852999999999999</v>
      </c>
      <c r="P744" s="20">
        <v>1.1473</v>
      </c>
      <c r="Q744" s="20">
        <v>1.2072000000000001</v>
      </c>
      <c r="R744" s="20">
        <v>1.2649999999999999</v>
      </c>
      <c r="S744" s="20">
        <v>1.3209</v>
      </c>
      <c r="T744" s="20">
        <v>1.375</v>
      </c>
      <c r="U744" s="20">
        <v>1.4273</v>
      </c>
      <c r="V744" s="20">
        <v>1.4781</v>
      </c>
      <c r="W744"/>
      <c r="X744"/>
      <c r="Y744"/>
      <c r="Z744"/>
    </row>
    <row r="745" spans="1:26" x14ac:dyDescent="0.2">
      <c r="A745" s="19">
        <v>0.73899999999999999</v>
      </c>
      <c r="B745" s="20">
        <v>0</v>
      </c>
      <c r="C745" s="20">
        <v>0.1081</v>
      </c>
      <c r="D745" s="20">
        <v>0.21110000000000001</v>
      </c>
      <c r="E745" s="20">
        <v>0.30930000000000002</v>
      </c>
      <c r="F745" s="20">
        <v>0.40289999999999998</v>
      </c>
      <c r="G745" s="20">
        <v>0.49230000000000002</v>
      </c>
      <c r="H745" s="20">
        <v>0.57769999999999999</v>
      </c>
      <c r="I745" s="20">
        <v>0.65949999999999998</v>
      </c>
      <c r="J745" s="20">
        <v>0.7379</v>
      </c>
      <c r="K745" s="20">
        <v>0.81310000000000004</v>
      </c>
      <c r="L745" s="20">
        <v>0.88519999999999999</v>
      </c>
      <c r="M745" s="20">
        <v>0.9546</v>
      </c>
      <c r="N745" s="20">
        <v>1.0214000000000001</v>
      </c>
      <c r="O745" s="20">
        <v>1.0857000000000001</v>
      </c>
      <c r="P745" s="20">
        <v>1.1476999999999999</v>
      </c>
      <c r="Q745" s="20">
        <v>1.2075</v>
      </c>
      <c r="R745" s="20">
        <v>1.2653000000000001</v>
      </c>
      <c r="S745" s="20">
        <v>1.3211999999999999</v>
      </c>
      <c r="T745" s="20">
        <v>1.3753</v>
      </c>
      <c r="U745" s="20">
        <v>1.4277</v>
      </c>
      <c r="V745" s="20">
        <v>1.4784999999999999</v>
      </c>
      <c r="W745"/>
      <c r="X745"/>
      <c r="Y745"/>
      <c r="Z745"/>
    </row>
    <row r="746" spans="1:26" x14ac:dyDescent="0.2">
      <c r="A746" s="19">
        <v>0.74</v>
      </c>
      <c r="B746" s="20">
        <v>0</v>
      </c>
      <c r="C746" s="20">
        <v>0.1082</v>
      </c>
      <c r="D746" s="20">
        <v>0.2112</v>
      </c>
      <c r="E746" s="20">
        <v>0.30940000000000001</v>
      </c>
      <c r="F746" s="20">
        <v>0.40300000000000002</v>
      </c>
      <c r="G746" s="20">
        <v>0.4924</v>
      </c>
      <c r="H746" s="20">
        <v>0.57789999999999997</v>
      </c>
      <c r="I746" s="20">
        <v>0.65980000000000005</v>
      </c>
      <c r="J746" s="20">
        <v>0.73819999999999997</v>
      </c>
      <c r="K746" s="20">
        <v>0.81340000000000001</v>
      </c>
      <c r="L746" s="20">
        <v>0.88549999999999995</v>
      </c>
      <c r="M746" s="20">
        <v>0.95489999999999997</v>
      </c>
      <c r="N746" s="20">
        <v>1.0217000000000001</v>
      </c>
      <c r="O746" s="20">
        <v>1.0860000000000001</v>
      </c>
      <c r="P746" s="20">
        <v>1.1479999999999999</v>
      </c>
      <c r="Q746" s="20">
        <v>1.2079</v>
      </c>
      <c r="R746" s="20">
        <v>1.2657</v>
      </c>
      <c r="S746" s="20">
        <v>1.3216000000000001</v>
      </c>
      <c r="T746" s="20">
        <v>1.3756999999999999</v>
      </c>
      <c r="U746" s="20">
        <v>1.4280999999999999</v>
      </c>
      <c r="V746" s="20">
        <v>1.4789000000000001</v>
      </c>
      <c r="W746"/>
      <c r="X746"/>
      <c r="Y746"/>
      <c r="Z746"/>
    </row>
    <row r="747" spans="1:26" x14ac:dyDescent="0.2">
      <c r="A747" s="19">
        <v>0.74099999999999999</v>
      </c>
      <c r="B747" s="20">
        <v>0</v>
      </c>
      <c r="C747" s="20">
        <v>0.1082</v>
      </c>
      <c r="D747" s="20">
        <v>0.21129999999999999</v>
      </c>
      <c r="E747" s="20">
        <v>0.3095</v>
      </c>
      <c r="F747" s="20">
        <v>0.4032</v>
      </c>
      <c r="G747" s="20">
        <v>0.49259999999999998</v>
      </c>
      <c r="H747" s="20">
        <v>0.57820000000000005</v>
      </c>
      <c r="I747" s="20">
        <v>0.66</v>
      </c>
      <c r="J747" s="20">
        <v>0.73839999999999995</v>
      </c>
      <c r="K747" s="20">
        <v>0.81359999999999999</v>
      </c>
      <c r="L747" s="20">
        <v>0.88580000000000003</v>
      </c>
      <c r="M747" s="20">
        <v>0.95530000000000004</v>
      </c>
      <c r="N747" s="20">
        <v>1.022</v>
      </c>
      <c r="O747" s="20">
        <v>1.0864</v>
      </c>
      <c r="P747" s="20">
        <v>1.1484000000000001</v>
      </c>
      <c r="Q747" s="20">
        <v>1.2082999999999999</v>
      </c>
      <c r="R747" s="20">
        <v>1.2661</v>
      </c>
      <c r="S747" s="20">
        <v>1.3220000000000001</v>
      </c>
      <c r="T747" s="20">
        <v>1.3761000000000001</v>
      </c>
      <c r="U747" s="20">
        <v>1.4285000000000001</v>
      </c>
      <c r="V747" s="20">
        <v>1.4793000000000001</v>
      </c>
      <c r="W747"/>
      <c r="X747"/>
      <c r="Y747"/>
      <c r="Z747"/>
    </row>
    <row r="748" spans="1:26" x14ac:dyDescent="0.2">
      <c r="A748" s="19">
        <v>0.74199999999999999</v>
      </c>
      <c r="B748" s="20">
        <v>0</v>
      </c>
      <c r="C748" s="20">
        <v>0.10829999999999999</v>
      </c>
      <c r="D748" s="20">
        <v>0.21129999999999999</v>
      </c>
      <c r="E748" s="20">
        <v>0.30959999999999999</v>
      </c>
      <c r="F748" s="20">
        <v>0.40329999999999999</v>
      </c>
      <c r="G748" s="20">
        <v>0.49280000000000002</v>
      </c>
      <c r="H748" s="20">
        <v>0.57840000000000003</v>
      </c>
      <c r="I748" s="20">
        <v>0.66020000000000001</v>
      </c>
      <c r="J748" s="20">
        <v>0.73870000000000002</v>
      </c>
      <c r="K748" s="20">
        <v>0.81389999999999996</v>
      </c>
      <c r="L748" s="20">
        <v>0.8861</v>
      </c>
      <c r="M748" s="20">
        <v>0.9556</v>
      </c>
      <c r="N748" s="20">
        <v>1.0224</v>
      </c>
      <c r="O748" s="20">
        <v>1.0867</v>
      </c>
      <c r="P748" s="20">
        <v>1.1487000000000001</v>
      </c>
      <c r="Q748" s="20">
        <v>1.2085999999999999</v>
      </c>
      <c r="R748" s="20">
        <v>1.2665</v>
      </c>
      <c r="S748" s="20">
        <v>1.3224</v>
      </c>
      <c r="T748" s="20">
        <v>1.3765000000000001</v>
      </c>
      <c r="U748" s="20">
        <v>1.4289000000000001</v>
      </c>
      <c r="V748" s="20">
        <v>1.4796</v>
      </c>
      <c r="W748"/>
      <c r="X748"/>
      <c r="Y748"/>
      <c r="Z748"/>
    </row>
    <row r="749" spans="1:26" x14ac:dyDescent="0.2">
      <c r="A749" s="19">
        <v>0.74299999999999999</v>
      </c>
      <c r="B749" s="20">
        <v>0</v>
      </c>
      <c r="C749" s="20">
        <v>0.10829999999999999</v>
      </c>
      <c r="D749" s="20">
        <v>0.2114</v>
      </c>
      <c r="E749" s="20">
        <v>0.30969999999999998</v>
      </c>
      <c r="F749" s="20">
        <v>0.40339999999999998</v>
      </c>
      <c r="G749" s="20">
        <v>0.49299999999999999</v>
      </c>
      <c r="H749" s="20">
        <v>0.5786</v>
      </c>
      <c r="I749" s="20">
        <v>0.66049999999999998</v>
      </c>
      <c r="J749" s="20">
        <v>0.7389</v>
      </c>
      <c r="K749" s="20">
        <v>0.81420000000000003</v>
      </c>
      <c r="L749" s="20">
        <v>0.88639999999999997</v>
      </c>
      <c r="M749" s="20">
        <v>0.95589999999999997</v>
      </c>
      <c r="N749" s="20">
        <v>1.0226999999999999</v>
      </c>
      <c r="O749" s="20">
        <v>1.0871</v>
      </c>
      <c r="P749" s="20">
        <v>1.1491</v>
      </c>
      <c r="Q749" s="20">
        <v>1.2090000000000001</v>
      </c>
      <c r="R749" s="20">
        <v>1.2667999999999999</v>
      </c>
      <c r="S749" s="20">
        <v>1.3228</v>
      </c>
      <c r="T749" s="20">
        <v>1.3769</v>
      </c>
      <c r="U749" s="20">
        <v>1.4293</v>
      </c>
      <c r="V749" s="20">
        <v>1.48</v>
      </c>
      <c r="W749"/>
      <c r="X749"/>
      <c r="Y749"/>
      <c r="Z749"/>
    </row>
    <row r="750" spans="1:26" x14ac:dyDescent="0.2">
      <c r="A750" s="19">
        <v>0.74399999999999999</v>
      </c>
      <c r="B750" s="20">
        <v>0</v>
      </c>
      <c r="C750" s="20">
        <v>0.10829999999999999</v>
      </c>
      <c r="D750" s="20">
        <v>0.21149999999999999</v>
      </c>
      <c r="E750" s="20">
        <v>0.30980000000000002</v>
      </c>
      <c r="F750" s="20">
        <v>0.40360000000000001</v>
      </c>
      <c r="G750" s="20">
        <v>0.49309999999999998</v>
      </c>
      <c r="H750" s="20">
        <v>0.57879999999999998</v>
      </c>
      <c r="I750" s="20">
        <v>0.66069999999999995</v>
      </c>
      <c r="J750" s="20">
        <v>0.73919999999999997</v>
      </c>
      <c r="K750" s="20">
        <v>0.8145</v>
      </c>
      <c r="L750" s="20">
        <v>0.88670000000000004</v>
      </c>
      <c r="M750" s="20">
        <v>0.95620000000000005</v>
      </c>
      <c r="N750" s="20">
        <v>1.0229999999999999</v>
      </c>
      <c r="O750" s="20">
        <v>1.0873999999999999</v>
      </c>
      <c r="P750" s="20">
        <v>1.1495</v>
      </c>
      <c r="Q750" s="20">
        <v>1.2093</v>
      </c>
      <c r="R750" s="20">
        <v>1.2672000000000001</v>
      </c>
      <c r="S750" s="20">
        <v>1.3230999999999999</v>
      </c>
      <c r="T750" s="20">
        <v>1.3772</v>
      </c>
      <c r="U750" s="20">
        <v>1.4296</v>
      </c>
      <c r="V750" s="20">
        <v>1.4803999999999999</v>
      </c>
      <c r="W750"/>
      <c r="X750"/>
      <c r="Y750"/>
      <c r="Z750"/>
    </row>
    <row r="751" spans="1:26" x14ac:dyDescent="0.2">
      <c r="A751" s="19">
        <v>0.745</v>
      </c>
      <c r="B751" s="20">
        <v>0</v>
      </c>
      <c r="C751" s="20">
        <v>0.1084</v>
      </c>
      <c r="D751" s="20">
        <v>0.21160000000000001</v>
      </c>
      <c r="E751" s="20">
        <v>0.30990000000000001</v>
      </c>
      <c r="F751" s="20">
        <v>0.4037</v>
      </c>
      <c r="G751" s="20">
        <v>0.49330000000000002</v>
      </c>
      <c r="H751" s="20">
        <v>0.57899999999999996</v>
      </c>
      <c r="I751" s="20">
        <v>0.66090000000000004</v>
      </c>
      <c r="J751" s="20">
        <v>0.73939999999999995</v>
      </c>
      <c r="K751" s="20">
        <v>0.81469999999999998</v>
      </c>
      <c r="L751" s="20">
        <v>0.88700000000000001</v>
      </c>
      <c r="M751" s="20">
        <v>0.95650000000000002</v>
      </c>
      <c r="N751" s="20">
        <v>1.0233000000000001</v>
      </c>
      <c r="O751" s="20">
        <v>1.0876999999999999</v>
      </c>
      <c r="P751" s="20">
        <v>1.1497999999999999</v>
      </c>
      <c r="Q751" s="20">
        <v>1.2097</v>
      </c>
      <c r="R751" s="20">
        <v>1.2676000000000001</v>
      </c>
      <c r="S751" s="20">
        <v>1.3234999999999999</v>
      </c>
      <c r="T751" s="20">
        <v>1.3775999999999999</v>
      </c>
      <c r="U751" s="20">
        <v>1.43</v>
      </c>
      <c r="V751" s="20">
        <v>1.4807999999999999</v>
      </c>
      <c r="W751"/>
      <c r="X751"/>
      <c r="Y751"/>
      <c r="Z751"/>
    </row>
    <row r="752" spans="1:26" x14ac:dyDescent="0.2">
      <c r="A752" s="19">
        <v>0.746</v>
      </c>
      <c r="B752" s="20">
        <v>0</v>
      </c>
      <c r="C752" s="20">
        <v>0.1084</v>
      </c>
      <c r="D752" s="20">
        <v>0.2117</v>
      </c>
      <c r="E752" s="20">
        <v>0.31</v>
      </c>
      <c r="F752" s="20">
        <v>0.40389999999999998</v>
      </c>
      <c r="G752" s="20">
        <v>0.49349999999999999</v>
      </c>
      <c r="H752" s="20">
        <v>0.57920000000000005</v>
      </c>
      <c r="I752" s="20">
        <v>0.66110000000000002</v>
      </c>
      <c r="J752" s="20">
        <v>0.73970000000000002</v>
      </c>
      <c r="K752" s="20">
        <v>0.81499999999999995</v>
      </c>
      <c r="L752" s="20">
        <v>0.88729999999999998</v>
      </c>
      <c r="M752" s="20">
        <v>0.95679999999999998</v>
      </c>
      <c r="N752" s="20">
        <v>1.0237000000000001</v>
      </c>
      <c r="O752" s="20">
        <v>1.0881000000000001</v>
      </c>
      <c r="P752" s="20">
        <v>1.1501999999999999</v>
      </c>
      <c r="Q752" s="20">
        <v>1.2101</v>
      </c>
      <c r="R752" s="20">
        <v>1.2679</v>
      </c>
      <c r="S752" s="20">
        <v>1.3239000000000001</v>
      </c>
      <c r="T752" s="20">
        <v>1.3779999999999999</v>
      </c>
      <c r="U752" s="20">
        <v>1.4303999999999999</v>
      </c>
      <c r="V752" s="20">
        <v>1.4812000000000001</v>
      </c>
      <c r="W752"/>
      <c r="X752"/>
      <c r="Y752"/>
      <c r="Z752"/>
    </row>
    <row r="753" spans="1:26" x14ac:dyDescent="0.2">
      <c r="A753" s="19">
        <v>0.747</v>
      </c>
      <c r="B753" s="20">
        <v>0</v>
      </c>
      <c r="C753" s="20">
        <v>0.1085</v>
      </c>
      <c r="D753" s="20">
        <v>0.2117</v>
      </c>
      <c r="E753" s="20">
        <v>0.31009999999999999</v>
      </c>
      <c r="F753" s="20">
        <v>0.40400000000000003</v>
      </c>
      <c r="G753" s="20">
        <v>0.49370000000000003</v>
      </c>
      <c r="H753" s="20">
        <v>0.57940000000000003</v>
      </c>
      <c r="I753" s="20">
        <v>0.66139999999999999</v>
      </c>
      <c r="J753" s="20">
        <v>0.7399</v>
      </c>
      <c r="K753" s="20">
        <v>0.81530000000000002</v>
      </c>
      <c r="L753" s="20">
        <v>0.88759999999999994</v>
      </c>
      <c r="M753" s="20">
        <v>0.95709999999999995</v>
      </c>
      <c r="N753" s="20">
        <v>1.024</v>
      </c>
      <c r="O753" s="20">
        <v>1.0884</v>
      </c>
      <c r="P753" s="20">
        <v>1.1505000000000001</v>
      </c>
      <c r="Q753" s="20">
        <v>1.2103999999999999</v>
      </c>
      <c r="R753" s="20">
        <v>1.2683</v>
      </c>
      <c r="S753" s="20">
        <v>1.3242</v>
      </c>
      <c r="T753" s="20">
        <v>1.3784000000000001</v>
      </c>
      <c r="U753" s="20">
        <v>1.4308000000000001</v>
      </c>
      <c r="V753" s="20">
        <v>1.4816</v>
      </c>
      <c r="W753"/>
      <c r="X753"/>
      <c r="Y753"/>
      <c r="Z753"/>
    </row>
    <row r="754" spans="1:26" x14ac:dyDescent="0.2">
      <c r="A754" s="19">
        <v>0.748</v>
      </c>
      <c r="B754" s="20">
        <v>0</v>
      </c>
      <c r="C754" s="20">
        <v>0.1085</v>
      </c>
      <c r="D754" s="20">
        <v>0.21179999999999999</v>
      </c>
      <c r="E754" s="20">
        <v>0.31019999999999998</v>
      </c>
      <c r="F754" s="20">
        <v>0.4042</v>
      </c>
      <c r="G754" s="20">
        <v>0.49380000000000002</v>
      </c>
      <c r="H754" s="20">
        <v>0.5796</v>
      </c>
      <c r="I754" s="20">
        <v>0.66159999999999997</v>
      </c>
      <c r="J754" s="20">
        <v>0.74019999999999997</v>
      </c>
      <c r="K754" s="20">
        <v>0.8155</v>
      </c>
      <c r="L754" s="20">
        <v>0.88790000000000002</v>
      </c>
      <c r="M754" s="20">
        <v>0.95740000000000003</v>
      </c>
      <c r="N754" s="20">
        <v>1.0243</v>
      </c>
      <c r="O754" s="20">
        <v>1.0887</v>
      </c>
      <c r="P754" s="20">
        <v>1.1509</v>
      </c>
      <c r="Q754" s="20">
        <v>1.2108000000000001</v>
      </c>
      <c r="R754" s="20">
        <v>1.2686999999999999</v>
      </c>
      <c r="S754" s="20">
        <v>1.3246</v>
      </c>
      <c r="T754" s="20">
        <v>1.3788</v>
      </c>
      <c r="U754" s="20">
        <v>1.4312</v>
      </c>
      <c r="V754" s="20">
        <v>1.4819</v>
      </c>
      <c r="W754"/>
      <c r="X754"/>
      <c r="Y754"/>
      <c r="Z754"/>
    </row>
    <row r="755" spans="1:26" x14ac:dyDescent="0.2">
      <c r="A755" s="19">
        <v>0.749</v>
      </c>
      <c r="B755" s="20">
        <v>0</v>
      </c>
      <c r="C755" s="20">
        <v>0.1085</v>
      </c>
      <c r="D755" s="20">
        <v>0.21190000000000001</v>
      </c>
      <c r="E755" s="20">
        <v>0.31040000000000001</v>
      </c>
      <c r="F755" s="20">
        <v>0.40429999999999999</v>
      </c>
      <c r="G755" s="20">
        <v>0.49399999999999999</v>
      </c>
      <c r="H755" s="20">
        <v>0.57979999999999998</v>
      </c>
      <c r="I755" s="20">
        <v>0.66180000000000005</v>
      </c>
      <c r="J755" s="20">
        <v>0.74039999999999995</v>
      </c>
      <c r="K755" s="20">
        <v>0.81579999999999997</v>
      </c>
      <c r="L755" s="20">
        <v>0.88819999999999999</v>
      </c>
      <c r="M755" s="20">
        <v>0.9577</v>
      </c>
      <c r="N755" s="20">
        <v>1.0246</v>
      </c>
      <c r="O755" s="20">
        <v>1.0891</v>
      </c>
      <c r="P755" s="20">
        <v>1.1512</v>
      </c>
      <c r="Q755" s="20">
        <v>1.2111000000000001</v>
      </c>
      <c r="R755" s="20">
        <v>1.2689999999999999</v>
      </c>
      <c r="S755" s="20">
        <v>1.325</v>
      </c>
      <c r="T755" s="20">
        <v>1.3791</v>
      </c>
      <c r="U755" s="20">
        <v>1.4315</v>
      </c>
      <c r="V755" s="20">
        <v>1.4823</v>
      </c>
      <c r="W755"/>
      <c r="X755"/>
      <c r="Y755"/>
      <c r="Z755"/>
    </row>
    <row r="756" spans="1:26" x14ac:dyDescent="0.2">
      <c r="A756" s="19">
        <v>0.75</v>
      </c>
      <c r="B756" s="20">
        <v>0</v>
      </c>
      <c r="C756" s="20">
        <v>0.1086</v>
      </c>
      <c r="D756" s="20">
        <v>0.21199999999999999</v>
      </c>
      <c r="E756" s="20">
        <v>0.3105</v>
      </c>
      <c r="F756" s="20">
        <v>0.40439999999999998</v>
      </c>
      <c r="G756" s="20">
        <v>0.49419999999999997</v>
      </c>
      <c r="H756" s="20">
        <v>0.57999999999999996</v>
      </c>
      <c r="I756" s="20">
        <v>0.66210000000000002</v>
      </c>
      <c r="J756" s="20">
        <v>0.74070000000000003</v>
      </c>
      <c r="K756" s="20">
        <v>0.81610000000000005</v>
      </c>
      <c r="L756" s="20">
        <v>0.88849999999999996</v>
      </c>
      <c r="M756" s="20">
        <v>0.95799999999999996</v>
      </c>
      <c r="N756" s="20">
        <v>1.0249999999999999</v>
      </c>
      <c r="O756" s="20">
        <v>1.0893999999999999</v>
      </c>
      <c r="P756" s="20">
        <v>1.1516</v>
      </c>
      <c r="Q756" s="20">
        <v>1.2115</v>
      </c>
      <c r="R756" s="20">
        <v>1.2694000000000001</v>
      </c>
      <c r="S756" s="20">
        <v>1.3253999999999999</v>
      </c>
      <c r="T756" s="20">
        <v>1.3794999999999999</v>
      </c>
      <c r="U756" s="20">
        <v>1.4319</v>
      </c>
      <c r="V756" s="20">
        <v>1.4826999999999999</v>
      </c>
      <c r="W756"/>
      <c r="X756"/>
      <c r="Y756"/>
      <c r="Z756"/>
    </row>
    <row r="757" spans="1:26" x14ac:dyDescent="0.2">
      <c r="A757" s="19">
        <v>0.751</v>
      </c>
      <c r="B757" s="20">
        <v>0</v>
      </c>
      <c r="C757" s="20">
        <v>0.1086</v>
      </c>
      <c r="D757" s="20">
        <v>0.21199999999999999</v>
      </c>
      <c r="E757" s="20">
        <v>0.31059999999999999</v>
      </c>
      <c r="F757" s="20">
        <v>0.40460000000000002</v>
      </c>
      <c r="G757" s="20">
        <v>0.49440000000000001</v>
      </c>
      <c r="H757" s="20">
        <v>0.58020000000000005</v>
      </c>
      <c r="I757" s="20">
        <v>0.6623</v>
      </c>
      <c r="J757" s="20">
        <v>0.7409</v>
      </c>
      <c r="K757" s="20">
        <v>0.81640000000000001</v>
      </c>
      <c r="L757" s="20">
        <v>0.88880000000000003</v>
      </c>
      <c r="M757" s="20">
        <v>0.95840000000000003</v>
      </c>
      <c r="N757" s="20">
        <v>1.0253000000000001</v>
      </c>
      <c r="O757" s="20">
        <v>1.0898000000000001</v>
      </c>
      <c r="P757" s="20">
        <v>1.1518999999999999</v>
      </c>
      <c r="Q757" s="20">
        <v>1.2119</v>
      </c>
      <c r="R757" s="20">
        <v>1.2698</v>
      </c>
      <c r="S757" s="20">
        <v>1.3257000000000001</v>
      </c>
      <c r="T757" s="20">
        <v>1.3798999999999999</v>
      </c>
      <c r="U757" s="20">
        <v>1.4322999999999999</v>
      </c>
      <c r="V757" s="20">
        <v>1.4831000000000001</v>
      </c>
      <c r="W757"/>
      <c r="X757"/>
      <c r="Y757"/>
      <c r="Z757"/>
    </row>
    <row r="758" spans="1:26" x14ac:dyDescent="0.2">
      <c r="A758" s="19">
        <v>0.752</v>
      </c>
      <c r="B758" s="20">
        <v>0</v>
      </c>
      <c r="C758" s="20">
        <v>0.1087</v>
      </c>
      <c r="D758" s="20">
        <v>0.21210000000000001</v>
      </c>
      <c r="E758" s="20">
        <v>0.31069999999999998</v>
      </c>
      <c r="F758" s="20">
        <v>0.4047</v>
      </c>
      <c r="G758" s="20">
        <v>0.4945</v>
      </c>
      <c r="H758" s="20">
        <v>0.58040000000000003</v>
      </c>
      <c r="I758" s="20">
        <v>0.66249999999999998</v>
      </c>
      <c r="J758" s="20">
        <v>0.74119999999999997</v>
      </c>
      <c r="K758" s="20">
        <v>0.81659999999999999</v>
      </c>
      <c r="L758" s="20">
        <v>0.8891</v>
      </c>
      <c r="M758" s="20">
        <v>0.9587</v>
      </c>
      <c r="N758" s="20">
        <v>1.0256000000000001</v>
      </c>
      <c r="O758" s="20">
        <v>1.0901000000000001</v>
      </c>
      <c r="P758" s="20">
        <v>1.1521999999999999</v>
      </c>
      <c r="Q758" s="20">
        <v>1.2121999999999999</v>
      </c>
      <c r="R758" s="20">
        <v>1.2701</v>
      </c>
      <c r="S758" s="20">
        <v>1.3261000000000001</v>
      </c>
      <c r="T758" s="20">
        <v>1.3803000000000001</v>
      </c>
      <c r="U758" s="20">
        <v>1.4327000000000001</v>
      </c>
      <c r="V758" s="20">
        <v>1.4834000000000001</v>
      </c>
      <c r="W758"/>
      <c r="X758"/>
      <c r="Y758"/>
      <c r="Z758"/>
    </row>
    <row r="759" spans="1:26" x14ac:dyDescent="0.2">
      <c r="A759" s="19">
        <v>0.753</v>
      </c>
      <c r="B759" s="20">
        <v>0</v>
      </c>
      <c r="C759" s="20">
        <v>0.1087</v>
      </c>
      <c r="D759" s="20">
        <v>0.2122</v>
      </c>
      <c r="E759" s="20">
        <v>0.31080000000000002</v>
      </c>
      <c r="F759" s="20">
        <v>0.40489999999999998</v>
      </c>
      <c r="G759" s="20">
        <v>0.49469999999999997</v>
      </c>
      <c r="H759" s="20">
        <v>0.5806</v>
      </c>
      <c r="I759" s="20">
        <v>0.66269999999999996</v>
      </c>
      <c r="J759" s="20">
        <v>0.74139999999999995</v>
      </c>
      <c r="K759" s="20">
        <v>0.81689999999999996</v>
      </c>
      <c r="L759" s="20">
        <v>0.88929999999999998</v>
      </c>
      <c r="M759" s="20">
        <v>0.95899999999999996</v>
      </c>
      <c r="N759" s="20">
        <v>1.0259</v>
      </c>
      <c r="O759" s="20">
        <v>1.0904</v>
      </c>
      <c r="P759" s="20">
        <v>1.1526000000000001</v>
      </c>
      <c r="Q759" s="20">
        <v>1.2125999999999999</v>
      </c>
      <c r="R759" s="20">
        <v>1.2705</v>
      </c>
      <c r="S759" s="20">
        <v>1.3265</v>
      </c>
      <c r="T759" s="20">
        <v>1.3806</v>
      </c>
      <c r="U759" s="20">
        <v>1.4330000000000001</v>
      </c>
      <c r="V759" s="20">
        <v>1.4838</v>
      </c>
      <c r="W759"/>
      <c r="X759"/>
      <c r="Y759"/>
      <c r="Z759"/>
    </row>
    <row r="760" spans="1:26" x14ac:dyDescent="0.2">
      <c r="A760" s="19">
        <v>0.754</v>
      </c>
      <c r="B760" s="20">
        <v>0</v>
      </c>
      <c r="C760" s="20">
        <v>0.1087</v>
      </c>
      <c r="D760" s="20">
        <v>0.21229999999999999</v>
      </c>
      <c r="E760" s="20">
        <v>0.31090000000000001</v>
      </c>
      <c r="F760" s="20">
        <v>0.40500000000000003</v>
      </c>
      <c r="G760" s="20">
        <v>0.49490000000000001</v>
      </c>
      <c r="H760" s="20">
        <v>0.58079999999999998</v>
      </c>
      <c r="I760" s="20">
        <v>0.66300000000000003</v>
      </c>
      <c r="J760" s="20">
        <v>0.74170000000000003</v>
      </c>
      <c r="K760" s="20">
        <v>0.81720000000000004</v>
      </c>
      <c r="L760" s="20">
        <v>0.88959999999999995</v>
      </c>
      <c r="M760" s="20">
        <v>0.95930000000000004</v>
      </c>
      <c r="N760" s="20">
        <v>1.0263</v>
      </c>
      <c r="O760" s="20">
        <v>1.0908</v>
      </c>
      <c r="P760" s="20">
        <v>1.1529</v>
      </c>
      <c r="Q760" s="20">
        <v>1.2129000000000001</v>
      </c>
      <c r="R760" s="20">
        <v>1.2708999999999999</v>
      </c>
      <c r="S760" s="20">
        <v>1.3268</v>
      </c>
      <c r="T760" s="20">
        <v>1.381</v>
      </c>
      <c r="U760" s="20">
        <v>1.4334</v>
      </c>
      <c r="V760" s="20">
        <v>1.4842</v>
      </c>
      <c r="W760"/>
      <c r="X760"/>
      <c r="Y760"/>
      <c r="Z760"/>
    </row>
    <row r="761" spans="1:26" x14ac:dyDescent="0.2">
      <c r="A761" s="19">
        <v>0.755</v>
      </c>
      <c r="B761" s="20">
        <v>0</v>
      </c>
      <c r="C761" s="20">
        <v>0.10879999999999999</v>
      </c>
      <c r="D761" s="20">
        <v>0.21229999999999999</v>
      </c>
      <c r="E761" s="20">
        <v>0.311</v>
      </c>
      <c r="F761" s="20">
        <v>0.4052</v>
      </c>
      <c r="G761" s="20">
        <v>0.495</v>
      </c>
      <c r="H761" s="20">
        <v>0.58099999999999996</v>
      </c>
      <c r="I761" s="20">
        <v>0.66320000000000001</v>
      </c>
      <c r="J761" s="20">
        <v>0.7419</v>
      </c>
      <c r="K761" s="20">
        <v>0.81740000000000002</v>
      </c>
      <c r="L761" s="20">
        <v>0.88990000000000002</v>
      </c>
      <c r="M761" s="20">
        <v>0.95960000000000001</v>
      </c>
      <c r="N761" s="20">
        <v>1.0266</v>
      </c>
      <c r="O761" s="20">
        <v>1.0911</v>
      </c>
      <c r="P761" s="20">
        <v>1.1533</v>
      </c>
      <c r="Q761" s="20">
        <v>1.2133</v>
      </c>
      <c r="R761" s="20">
        <v>1.2712000000000001</v>
      </c>
      <c r="S761" s="20">
        <v>1.3271999999999999</v>
      </c>
      <c r="T761" s="20">
        <v>1.3814</v>
      </c>
      <c r="U761" s="20">
        <v>1.4338</v>
      </c>
      <c r="V761" s="20">
        <v>1.4845999999999999</v>
      </c>
      <c r="W761"/>
      <c r="X761"/>
      <c r="Y761"/>
      <c r="Z761"/>
    </row>
    <row r="762" spans="1:26" x14ac:dyDescent="0.2">
      <c r="A762" s="19">
        <v>0.75600000000000001</v>
      </c>
      <c r="B762" s="20">
        <v>0</v>
      </c>
      <c r="C762" s="20">
        <v>0.10879999999999999</v>
      </c>
      <c r="D762" s="20">
        <v>0.21240000000000001</v>
      </c>
      <c r="E762" s="20">
        <v>0.31109999999999999</v>
      </c>
      <c r="F762" s="20">
        <v>0.40529999999999999</v>
      </c>
      <c r="G762" s="20">
        <v>0.49519999999999997</v>
      </c>
      <c r="H762" s="20">
        <v>0.58120000000000005</v>
      </c>
      <c r="I762" s="20">
        <v>0.66339999999999999</v>
      </c>
      <c r="J762" s="20">
        <v>0.74219999999999997</v>
      </c>
      <c r="K762" s="20">
        <v>0.81769999999999998</v>
      </c>
      <c r="L762" s="20">
        <v>0.89019999999999999</v>
      </c>
      <c r="M762" s="20">
        <v>0.95989999999999998</v>
      </c>
      <c r="N762" s="20">
        <v>1.0268999999999999</v>
      </c>
      <c r="O762" s="20">
        <v>1.0913999999999999</v>
      </c>
      <c r="P762" s="20">
        <v>1.1536</v>
      </c>
      <c r="Q762" s="20">
        <v>1.2136</v>
      </c>
      <c r="R762" s="20">
        <v>1.2716000000000001</v>
      </c>
      <c r="S762" s="20">
        <v>1.3275999999999999</v>
      </c>
      <c r="T762" s="20">
        <v>1.3816999999999999</v>
      </c>
      <c r="U762" s="20">
        <v>1.4341999999999999</v>
      </c>
      <c r="V762" s="20">
        <v>1.4850000000000001</v>
      </c>
      <c r="W762"/>
      <c r="X762"/>
      <c r="Y762"/>
      <c r="Z762"/>
    </row>
    <row r="763" spans="1:26" x14ac:dyDescent="0.2">
      <c r="A763" s="19">
        <v>0.75700000000000001</v>
      </c>
      <c r="B763" s="20">
        <v>0</v>
      </c>
      <c r="C763" s="20">
        <v>0.10879999999999999</v>
      </c>
      <c r="D763" s="20">
        <v>0.21249999999999999</v>
      </c>
      <c r="E763" s="20">
        <v>0.31119999999999998</v>
      </c>
      <c r="F763" s="20">
        <v>0.40539999999999998</v>
      </c>
      <c r="G763" s="20">
        <v>0.49540000000000001</v>
      </c>
      <c r="H763" s="20">
        <v>0.58140000000000003</v>
      </c>
      <c r="I763" s="20">
        <v>0.66359999999999997</v>
      </c>
      <c r="J763" s="20">
        <v>0.74239999999999995</v>
      </c>
      <c r="K763" s="20">
        <v>0.81799999999999995</v>
      </c>
      <c r="L763" s="20">
        <v>0.89049999999999996</v>
      </c>
      <c r="M763" s="20">
        <v>0.96020000000000005</v>
      </c>
      <c r="N763" s="20">
        <v>1.0271999999999999</v>
      </c>
      <c r="O763" s="20">
        <v>1.0918000000000001</v>
      </c>
      <c r="P763" s="20">
        <v>1.1539999999999999</v>
      </c>
      <c r="Q763" s="20">
        <v>1.214</v>
      </c>
      <c r="R763" s="20">
        <v>1.2719</v>
      </c>
      <c r="S763" s="20">
        <v>1.3279000000000001</v>
      </c>
      <c r="T763" s="20">
        <v>1.3821000000000001</v>
      </c>
      <c r="U763" s="20">
        <v>1.4345000000000001</v>
      </c>
      <c r="V763" s="20">
        <v>1.4853000000000001</v>
      </c>
      <c r="W763"/>
      <c r="X763"/>
      <c r="Y763"/>
      <c r="Z763"/>
    </row>
    <row r="764" spans="1:26" x14ac:dyDescent="0.2">
      <c r="A764" s="19">
        <v>0.75800000000000001</v>
      </c>
      <c r="B764" s="20">
        <v>0</v>
      </c>
      <c r="C764" s="20">
        <v>0.1089</v>
      </c>
      <c r="D764" s="20">
        <v>0.21249999999999999</v>
      </c>
      <c r="E764" s="20">
        <v>0.31130000000000002</v>
      </c>
      <c r="F764" s="20">
        <v>0.40560000000000002</v>
      </c>
      <c r="G764" s="20">
        <v>0.49559999999999998</v>
      </c>
      <c r="H764" s="20">
        <v>0.58160000000000001</v>
      </c>
      <c r="I764" s="20">
        <v>0.66379999999999995</v>
      </c>
      <c r="J764" s="20">
        <v>0.74270000000000003</v>
      </c>
      <c r="K764" s="20">
        <v>0.81820000000000004</v>
      </c>
      <c r="L764" s="20">
        <v>0.89080000000000004</v>
      </c>
      <c r="M764" s="20">
        <v>0.96050000000000002</v>
      </c>
      <c r="N764" s="20">
        <v>1.0275000000000001</v>
      </c>
      <c r="O764" s="20">
        <v>1.0921000000000001</v>
      </c>
      <c r="P764" s="20">
        <v>1.1543000000000001</v>
      </c>
      <c r="Q764" s="20">
        <v>1.2142999999999999</v>
      </c>
      <c r="R764" s="20">
        <v>1.2723</v>
      </c>
      <c r="S764" s="20">
        <v>1.3283</v>
      </c>
      <c r="T764" s="20">
        <v>1.3825000000000001</v>
      </c>
      <c r="U764" s="20">
        <v>1.4349000000000001</v>
      </c>
      <c r="V764" s="20">
        <v>1.4857</v>
      </c>
      <c r="W764"/>
      <c r="X764"/>
      <c r="Y764"/>
      <c r="Z764"/>
    </row>
    <row r="765" spans="1:26" x14ac:dyDescent="0.2">
      <c r="A765" s="19">
        <v>0.75900000000000001</v>
      </c>
      <c r="B765" s="20">
        <v>0</v>
      </c>
      <c r="C765" s="20">
        <v>0.1089</v>
      </c>
      <c r="D765" s="20">
        <v>0.21260000000000001</v>
      </c>
      <c r="E765" s="20">
        <v>0.31140000000000001</v>
      </c>
      <c r="F765" s="20">
        <v>0.40570000000000001</v>
      </c>
      <c r="G765" s="20">
        <v>0.49569999999999997</v>
      </c>
      <c r="H765" s="20">
        <v>0.58179999999999998</v>
      </c>
      <c r="I765" s="20">
        <v>0.66410000000000002</v>
      </c>
      <c r="J765" s="20">
        <v>0.7429</v>
      </c>
      <c r="K765" s="20">
        <v>0.81850000000000001</v>
      </c>
      <c r="L765" s="20">
        <v>0.8911</v>
      </c>
      <c r="M765" s="20">
        <v>0.96079999999999999</v>
      </c>
      <c r="N765" s="20">
        <v>1.0279</v>
      </c>
      <c r="O765" s="20">
        <v>1.0924</v>
      </c>
      <c r="P765" s="20">
        <v>1.1547000000000001</v>
      </c>
      <c r="Q765" s="20">
        <v>1.2146999999999999</v>
      </c>
      <c r="R765" s="20">
        <v>1.2726999999999999</v>
      </c>
      <c r="S765" s="20">
        <v>1.3287</v>
      </c>
      <c r="T765" s="20">
        <v>1.3829</v>
      </c>
      <c r="U765" s="20">
        <v>1.4353</v>
      </c>
      <c r="V765" s="20">
        <v>1.4861</v>
      </c>
      <c r="W765"/>
      <c r="X765"/>
      <c r="Y765"/>
      <c r="Z765"/>
    </row>
    <row r="766" spans="1:26" x14ac:dyDescent="0.2">
      <c r="A766" s="19">
        <v>0.76</v>
      </c>
      <c r="B766" s="20">
        <v>0</v>
      </c>
      <c r="C766" s="20">
        <v>0.109</v>
      </c>
      <c r="D766" s="20">
        <v>0.2127</v>
      </c>
      <c r="E766" s="20">
        <v>0.31159999999999999</v>
      </c>
      <c r="F766" s="20">
        <v>0.40589999999999998</v>
      </c>
      <c r="G766" s="20">
        <v>0.49590000000000001</v>
      </c>
      <c r="H766" s="20">
        <v>0.58199999999999996</v>
      </c>
      <c r="I766" s="20">
        <v>0.6643</v>
      </c>
      <c r="J766" s="20">
        <v>0.74319999999999997</v>
      </c>
      <c r="K766" s="20">
        <v>0.81879999999999997</v>
      </c>
      <c r="L766" s="20">
        <v>0.89139999999999997</v>
      </c>
      <c r="M766" s="20">
        <v>0.96109999999999995</v>
      </c>
      <c r="N766" s="20">
        <v>1.0282</v>
      </c>
      <c r="O766" s="20">
        <v>1.0928</v>
      </c>
      <c r="P766" s="20">
        <v>1.155</v>
      </c>
      <c r="Q766" s="20">
        <v>1.2151000000000001</v>
      </c>
      <c r="R766" s="20">
        <v>1.2729999999999999</v>
      </c>
      <c r="S766" s="20">
        <v>1.329</v>
      </c>
      <c r="T766" s="20">
        <v>1.3832</v>
      </c>
      <c r="U766" s="20">
        <v>1.4357</v>
      </c>
      <c r="V766" s="20">
        <v>1.4863999999999999</v>
      </c>
      <c r="W766"/>
      <c r="X766"/>
      <c r="Y766"/>
      <c r="Z766"/>
    </row>
    <row r="767" spans="1:26" x14ac:dyDescent="0.2">
      <c r="A767" s="19">
        <v>0.76100000000000001</v>
      </c>
      <c r="B767" s="20">
        <v>0</v>
      </c>
      <c r="C767" s="20">
        <v>0.109</v>
      </c>
      <c r="D767" s="20">
        <v>0.21279999999999999</v>
      </c>
      <c r="E767" s="20">
        <v>0.31169999999999998</v>
      </c>
      <c r="F767" s="20">
        <v>0.40600000000000003</v>
      </c>
      <c r="G767" s="20">
        <v>0.49609999999999999</v>
      </c>
      <c r="H767" s="20">
        <v>0.58209999999999995</v>
      </c>
      <c r="I767" s="20">
        <v>0.66449999999999998</v>
      </c>
      <c r="J767" s="20">
        <v>0.74339999999999995</v>
      </c>
      <c r="K767" s="20">
        <v>0.81899999999999995</v>
      </c>
      <c r="L767" s="20">
        <v>0.89170000000000005</v>
      </c>
      <c r="M767" s="20">
        <v>0.96140000000000003</v>
      </c>
      <c r="N767" s="20">
        <v>1.0285</v>
      </c>
      <c r="O767" s="20">
        <v>1.0931</v>
      </c>
      <c r="P767" s="20">
        <v>1.1554</v>
      </c>
      <c r="Q767" s="20">
        <v>1.2154</v>
      </c>
      <c r="R767" s="20">
        <v>1.2734000000000001</v>
      </c>
      <c r="S767" s="20">
        <v>1.3293999999999999</v>
      </c>
      <c r="T767" s="20">
        <v>1.3835999999999999</v>
      </c>
      <c r="U767" s="20">
        <v>1.4359999999999999</v>
      </c>
      <c r="V767" s="20">
        <v>1.4867999999999999</v>
      </c>
      <c r="W767"/>
      <c r="X767"/>
      <c r="Y767"/>
      <c r="Z767"/>
    </row>
    <row r="768" spans="1:26" x14ac:dyDescent="0.2">
      <c r="A768" s="19">
        <v>0.76200000000000001</v>
      </c>
      <c r="B768" s="20">
        <v>0</v>
      </c>
      <c r="C768" s="20">
        <v>0.109</v>
      </c>
      <c r="D768" s="20">
        <v>0.21279999999999999</v>
      </c>
      <c r="E768" s="20">
        <v>0.31180000000000002</v>
      </c>
      <c r="F768" s="20">
        <v>0.40610000000000002</v>
      </c>
      <c r="G768" s="20">
        <v>0.49619999999999997</v>
      </c>
      <c r="H768" s="20">
        <v>0.58230000000000004</v>
      </c>
      <c r="I768" s="20">
        <v>0.66469999999999996</v>
      </c>
      <c r="J768" s="20">
        <v>0.74370000000000003</v>
      </c>
      <c r="K768" s="20">
        <v>0.81930000000000003</v>
      </c>
      <c r="L768" s="20">
        <v>0.89190000000000003</v>
      </c>
      <c r="M768" s="20">
        <v>0.9617</v>
      </c>
      <c r="N768" s="20">
        <v>1.0287999999999999</v>
      </c>
      <c r="O768" s="20">
        <v>1.0933999999999999</v>
      </c>
      <c r="P768" s="20">
        <v>1.1556999999999999</v>
      </c>
      <c r="Q768" s="20">
        <v>1.2158</v>
      </c>
      <c r="R768" s="20">
        <v>1.2737000000000001</v>
      </c>
      <c r="S768" s="20">
        <v>1.3298000000000001</v>
      </c>
      <c r="T768" s="20">
        <v>1.3839999999999999</v>
      </c>
      <c r="U768" s="20">
        <v>1.4363999999999999</v>
      </c>
      <c r="V768" s="20">
        <v>1.4872000000000001</v>
      </c>
      <c r="W768"/>
      <c r="X768"/>
      <c r="Y768"/>
      <c r="Z768"/>
    </row>
    <row r="769" spans="1:26" x14ac:dyDescent="0.2">
      <c r="A769" s="19">
        <v>0.76300000000000001</v>
      </c>
      <c r="B769" s="20">
        <v>0</v>
      </c>
      <c r="C769" s="20">
        <v>0.1091</v>
      </c>
      <c r="D769" s="20">
        <v>0.21290000000000001</v>
      </c>
      <c r="E769" s="20">
        <v>0.31190000000000001</v>
      </c>
      <c r="F769" s="20">
        <v>0.40629999999999999</v>
      </c>
      <c r="G769" s="20">
        <v>0.49640000000000001</v>
      </c>
      <c r="H769" s="20">
        <v>0.58250000000000002</v>
      </c>
      <c r="I769" s="20">
        <v>0.66500000000000004</v>
      </c>
      <c r="J769" s="20">
        <v>0.74390000000000001</v>
      </c>
      <c r="K769" s="20">
        <v>0.8196</v>
      </c>
      <c r="L769" s="20">
        <v>0.89219999999999999</v>
      </c>
      <c r="M769" s="20">
        <v>0.96199999999999997</v>
      </c>
      <c r="N769" s="20">
        <v>1.0290999999999999</v>
      </c>
      <c r="O769" s="20">
        <v>1.0938000000000001</v>
      </c>
      <c r="P769" s="20">
        <v>1.1559999999999999</v>
      </c>
      <c r="Q769" s="20">
        <v>1.2161</v>
      </c>
      <c r="R769" s="20">
        <v>1.2741</v>
      </c>
      <c r="S769" s="20">
        <v>1.3301000000000001</v>
      </c>
      <c r="T769" s="20">
        <v>1.3843000000000001</v>
      </c>
      <c r="U769" s="20">
        <v>1.4368000000000001</v>
      </c>
      <c r="V769" s="20">
        <v>1.4876</v>
      </c>
      <c r="W769"/>
      <c r="X769"/>
      <c r="Y769"/>
      <c r="Z769"/>
    </row>
    <row r="770" spans="1:26" x14ac:dyDescent="0.2">
      <c r="A770" s="19">
        <v>0.76400000000000001</v>
      </c>
      <c r="B770" s="20">
        <v>0</v>
      </c>
      <c r="C770" s="20">
        <v>0.1091</v>
      </c>
      <c r="D770" s="20">
        <v>0.21299999999999999</v>
      </c>
      <c r="E770" s="20">
        <v>0.312</v>
      </c>
      <c r="F770" s="20">
        <v>0.40639999999999998</v>
      </c>
      <c r="G770" s="20">
        <v>0.49659999999999999</v>
      </c>
      <c r="H770" s="20">
        <v>0.5827</v>
      </c>
      <c r="I770" s="20">
        <v>0.66520000000000001</v>
      </c>
      <c r="J770" s="20">
        <v>0.74409999999999998</v>
      </c>
      <c r="K770" s="20">
        <v>0.81979999999999997</v>
      </c>
      <c r="L770" s="20">
        <v>0.89249999999999996</v>
      </c>
      <c r="M770" s="20">
        <v>0.96230000000000004</v>
      </c>
      <c r="N770" s="20">
        <v>1.0295000000000001</v>
      </c>
      <c r="O770" s="20">
        <v>1.0941000000000001</v>
      </c>
      <c r="P770" s="20">
        <v>1.1564000000000001</v>
      </c>
      <c r="Q770" s="20">
        <v>1.2164999999999999</v>
      </c>
      <c r="R770" s="20">
        <v>1.2745</v>
      </c>
      <c r="S770" s="20">
        <v>1.3305</v>
      </c>
      <c r="T770" s="20">
        <v>1.3847</v>
      </c>
      <c r="U770" s="20">
        <v>1.4371</v>
      </c>
      <c r="V770" s="20">
        <v>1.4879</v>
      </c>
      <c r="W770"/>
      <c r="X770"/>
      <c r="Y770"/>
      <c r="Z770"/>
    </row>
    <row r="771" spans="1:26" x14ac:dyDescent="0.2">
      <c r="A771" s="19">
        <v>0.76500000000000001</v>
      </c>
      <c r="B771" s="20">
        <v>0</v>
      </c>
      <c r="C771" s="20">
        <v>0.1091</v>
      </c>
      <c r="D771" s="20">
        <v>0.21310000000000001</v>
      </c>
      <c r="E771" s="20">
        <v>0.31209999999999999</v>
      </c>
      <c r="F771" s="20">
        <v>0.40649999999999997</v>
      </c>
      <c r="G771" s="20">
        <v>0.49669999999999997</v>
      </c>
      <c r="H771" s="20">
        <v>0.58289999999999997</v>
      </c>
      <c r="I771" s="20">
        <v>0.66539999999999999</v>
      </c>
      <c r="J771" s="20">
        <v>0.74439999999999995</v>
      </c>
      <c r="K771" s="20">
        <v>0.82010000000000005</v>
      </c>
      <c r="L771" s="20">
        <v>0.89280000000000004</v>
      </c>
      <c r="M771" s="20">
        <v>0.96260000000000001</v>
      </c>
      <c r="N771" s="20">
        <v>1.0298</v>
      </c>
      <c r="O771" s="20">
        <v>1.0944</v>
      </c>
      <c r="P771" s="20">
        <v>1.1567000000000001</v>
      </c>
      <c r="Q771" s="20">
        <v>1.2168000000000001</v>
      </c>
      <c r="R771" s="20">
        <v>1.2747999999999999</v>
      </c>
      <c r="S771" s="20">
        <v>1.3309</v>
      </c>
      <c r="T771" s="20">
        <v>1.3851</v>
      </c>
      <c r="U771" s="20">
        <v>1.4375</v>
      </c>
      <c r="V771" s="20">
        <v>1.4883</v>
      </c>
      <c r="W771"/>
      <c r="X771"/>
      <c r="Y771"/>
      <c r="Z771"/>
    </row>
    <row r="772" spans="1:26" x14ac:dyDescent="0.2">
      <c r="A772" s="19">
        <v>0.76600000000000001</v>
      </c>
      <c r="B772" s="20">
        <v>0</v>
      </c>
      <c r="C772" s="20">
        <v>0.10920000000000001</v>
      </c>
      <c r="D772" s="20">
        <v>0.21310000000000001</v>
      </c>
      <c r="E772" s="20">
        <v>0.31219999999999998</v>
      </c>
      <c r="F772" s="20">
        <v>0.40670000000000001</v>
      </c>
      <c r="G772" s="20">
        <v>0.49690000000000001</v>
      </c>
      <c r="H772" s="20">
        <v>0.58309999999999995</v>
      </c>
      <c r="I772" s="20">
        <v>0.66559999999999997</v>
      </c>
      <c r="J772" s="20">
        <v>0.74460000000000004</v>
      </c>
      <c r="K772" s="20">
        <v>0.82040000000000002</v>
      </c>
      <c r="L772" s="20">
        <v>0.8931</v>
      </c>
      <c r="M772" s="20">
        <v>0.96289999999999998</v>
      </c>
      <c r="N772" s="20">
        <v>1.0301</v>
      </c>
      <c r="O772" s="20">
        <v>1.0947</v>
      </c>
      <c r="P772" s="20">
        <v>1.1571</v>
      </c>
      <c r="Q772" s="20">
        <v>1.2172000000000001</v>
      </c>
      <c r="R772" s="20">
        <v>1.2751999999999999</v>
      </c>
      <c r="S772" s="20">
        <v>1.3311999999999999</v>
      </c>
      <c r="T772" s="20">
        <v>1.3854</v>
      </c>
      <c r="U772" s="20">
        <v>1.4379</v>
      </c>
      <c r="V772" s="20">
        <v>1.4886999999999999</v>
      </c>
      <c r="W772"/>
      <c r="X772"/>
      <c r="Y772"/>
      <c r="Z772"/>
    </row>
    <row r="773" spans="1:26" x14ac:dyDescent="0.2">
      <c r="A773" s="19">
        <v>0.76700000000000002</v>
      </c>
      <c r="B773" s="20">
        <v>0</v>
      </c>
      <c r="C773" s="20">
        <v>0.10920000000000001</v>
      </c>
      <c r="D773" s="20">
        <v>0.2132</v>
      </c>
      <c r="E773" s="20">
        <v>0.31230000000000002</v>
      </c>
      <c r="F773" s="20">
        <v>0.40679999999999999</v>
      </c>
      <c r="G773" s="20">
        <v>0.49709999999999999</v>
      </c>
      <c r="H773" s="20">
        <v>0.58330000000000004</v>
      </c>
      <c r="I773" s="20">
        <v>0.66579999999999995</v>
      </c>
      <c r="J773" s="20">
        <v>0.74490000000000001</v>
      </c>
      <c r="K773" s="20">
        <v>0.8206</v>
      </c>
      <c r="L773" s="20">
        <v>0.89339999999999997</v>
      </c>
      <c r="M773" s="20">
        <v>0.96319999999999995</v>
      </c>
      <c r="N773" s="20">
        <v>1.0304</v>
      </c>
      <c r="O773" s="20">
        <v>1.0951</v>
      </c>
      <c r="P773" s="20">
        <v>1.1574</v>
      </c>
      <c r="Q773" s="20">
        <v>1.2175</v>
      </c>
      <c r="R773" s="20">
        <v>1.2755000000000001</v>
      </c>
      <c r="S773" s="20">
        <v>1.3315999999999999</v>
      </c>
      <c r="T773" s="20">
        <v>1.3857999999999999</v>
      </c>
      <c r="U773" s="20">
        <v>1.4381999999999999</v>
      </c>
      <c r="V773" s="20">
        <v>1.4890000000000001</v>
      </c>
      <c r="W773"/>
      <c r="X773"/>
      <c r="Y773"/>
      <c r="Z773"/>
    </row>
    <row r="774" spans="1:26" x14ac:dyDescent="0.2">
      <c r="A774" s="19">
        <v>0.76800000000000002</v>
      </c>
      <c r="B774" s="20">
        <v>0</v>
      </c>
      <c r="C774" s="20">
        <v>0.10929999999999999</v>
      </c>
      <c r="D774" s="20">
        <v>0.21329999999999999</v>
      </c>
      <c r="E774" s="20">
        <v>0.31240000000000001</v>
      </c>
      <c r="F774" s="20">
        <v>0.40699999999999997</v>
      </c>
      <c r="G774" s="20">
        <v>0.49719999999999998</v>
      </c>
      <c r="H774" s="20">
        <v>0.58350000000000002</v>
      </c>
      <c r="I774" s="20">
        <v>0.66610000000000003</v>
      </c>
      <c r="J774" s="20">
        <v>0.74509999999999998</v>
      </c>
      <c r="K774" s="20">
        <v>0.82089999999999996</v>
      </c>
      <c r="L774" s="20">
        <v>0.89359999999999995</v>
      </c>
      <c r="M774" s="20">
        <v>0.96350000000000002</v>
      </c>
      <c r="N774" s="20">
        <v>1.0306999999999999</v>
      </c>
      <c r="O774" s="20">
        <v>1.0953999999999999</v>
      </c>
      <c r="P774" s="20">
        <v>1.1577</v>
      </c>
      <c r="Q774" s="20">
        <v>1.2179</v>
      </c>
      <c r="R774" s="20">
        <v>1.2759</v>
      </c>
      <c r="S774" s="20">
        <v>1.3319000000000001</v>
      </c>
      <c r="T774" s="20">
        <v>1.3862000000000001</v>
      </c>
      <c r="U774" s="20">
        <v>1.4386000000000001</v>
      </c>
      <c r="V774" s="20">
        <v>1.4894000000000001</v>
      </c>
      <c r="W774"/>
      <c r="X774"/>
      <c r="Y774"/>
      <c r="Z774"/>
    </row>
    <row r="775" spans="1:26" x14ac:dyDescent="0.2">
      <c r="A775" s="19">
        <v>0.76900000000000002</v>
      </c>
      <c r="B775" s="20">
        <v>0</v>
      </c>
      <c r="C775" s="20">
        <v>0.10929999999999999</v>
      </c>
      <c r="D775" s="20">
        <v>0.21340000000000001</v>
      </c>
      <c r="E775" s="20">
        <v>0.3125</v>
      </c>
      <c r="F775" s="20">
        <v>0.40710000000000002</v>
      </c>
      <c r="G775" s="20">
        <v>0.49740000000000001</v>
      </c>
      <c r="H775" s="20">
        <v>0.5837</v>
      </c>
      <c r="I775" s="20">
        <v>0.6663</v>
      </c>
      <c r="J775" s="20">
        <v>0.74539999999999995</v>
      </c>
      <c r="K775" s="20">
        <v>0.82120000000000004</v>
      </c>
      <c r="L775" s="20">
        <v>0.89390000000000003</v>
      </c>
      <c r="M775" s="20">
        <v>0.96379999999999999</v>
      </c>
      <c r="N775" s="20">
        <v>1.0309999999999999</v>
      </c>
      <c r="O775" s="20">
        <v>1.0956999999999999</v>
      </c>
      <c r="P775" s="20">
        <v>1.1580999999999999</v>
      </c>
      <c r="Q775" s="20">
        <v>1.2181999999999999</v>
      </c>
      <c r="R775" s="20">
        <v>1.2762</v>
      </c>
      <c r="S775" s="20">
        <v>1.3323</v>
      </c>
      <c r="T775" s="20">
        <v>1.3865000000000001</v>
      </c>
      <c r="U775" s="20">
        <v>1.4390000000000001</v>
      </c>
      <c r="V775" s="20">
        <v>1.4898</v>
      </c>
      <c r="W775"/>
      <c r="X775"/>
      <c r="Y775"/>
      <c r="Z775"/>
    </row>
    <row r="776" spans="1:26" x14ac:dyDescent="0.2">
      <c r="A776" s="19">
        <v>0.77</v>
      </c>
      <c r="B776" s="20">
        <v>0</v>
      </c>
      <c r="C776" s="20">
        <v>0.10929999999999999</v>
      </c>
      <c r="D776" s="20">
        <v>0.21340000000000001</v>
      </c>
      <c r="E776" s="20">
        <v>0.31259999999999999</v>
      </c>
      <c r="F776" s="20">
        <v>0.40720000000000001</v>
      </c>
      <c r="G776" s="20">
        <v>0.49759999999999999</v>
      </c>
      <c r="H776" s="20">
        <v>0.58389999999999997</v>
      </c>
      <c r="I776" s="20">
        <v>0.66649999999999998</v>
      </c>
      <c r="J776" s="20">
        <v>0.74560000000000004</v>
      </c>
      <c r="K776" s="20">
        <v>0.82140000000000002</v>
      </c>
      <c r="L776" s="20">
        <v>0.89419999999999999</v>
      </c>
      <c r="M776" s="20">
        <v>0.96409999999999996</v>
      </c>
      <c r="N776" s="20">
        <v>1.0313000000000001</v>
      </c>
      <c r="O776" s="20">
        <v>1.0961000000000001</v>
      </c>
      <c r="P776" s="20">
        <v>1.1584000000000001</v>
      </c>
      <c r="Q776" s="20">
        <v>1.2184999999999999</v>
      </c>
      <c r="R776" s="20">
        <v>1.2766</v>
      </c>
      <c r="S776" s="20">
        <v>1.3327</v>
      </c>
      <c r="T776" s="20">
        <v>1.3869</v>
      </c>
      <c r="U776" s="20">
        <v>1.4393</v>
      </c>
      <c r="V776" s="20">
        <v>1.4901</v>
      </c>
      <c r="W776"/>
      <c r="X776"/>
      <c r="Y776"/>
      <c r="Z776"/>
    </row>
    <row r="777" spans="1:26" x14ac:dyDescent="0.2">
      <c r="A777" s="19">
        <v>0.77100000000000002</v>
      </c>
      <c r="B777" s="20">
        <v>0</v>
      </c>
      <c r="C777" s="20">
        <v>0.1094</v>
      </c>
      <c r="D777" s="20">
        <v>0.2135</v>
      </c>
      <c r="E777" s="20">
        <v>0.31269999999999998</v>
      </c>
      <c r="F777" s="20">
        <v>0.40739999999999998</v>
      </c>
      <c r="G777" s="20">
        <v>0.49769999999999998</v>
      </c>
      <c r="H777" s="20">
        <v>0.58409999999999995</v>
      </c>
      <c r="I777" s="20">
        <v>0.66669999999999996</v>
      </c>
      <c r="J777" s="20">
        <v>0.74580000000000002</v>
      </c>
      <c r="K777" s="20">
        <v>0.82169999999999999</v>
      </c>
      <c r="L777" s="20">
        <v>0.89449999999999996</v>
      </c>
      <c r="M777" s="20">
        <v>0.96440000000000003</v>
      </c>
      <c r="N777" s="20">
        <v>1.0317000000000001</v>
      </c>
      <c r="O777" s="20">
        <v>1.0964</v>
      </c>
      <c r="P777" s="20">
        <v>1.1587000000000001</v>
      </c>
      <c r="Q777" s="20">
        <v>1.2189000000000001</v>
      </c>
      <c r="R777" s="20">
        <v>1.2768999999999999</v>
      </c>
      <c r="S777" s="20">
        <v>1.333</v>
      </c>
      <c r="T777" s="20">
        <v>1.3872</v>
      </c>
      <c r="U777" s="20">
        <v>1.4397</v>
      </c>
      <c r="V777" s="20">
        <v>1.4904999999999999</v>
      </c>
      <c r="W777"/>
      <c r="X777"/>
      <c r="Y777"/>
      <c r="Z777"/>
    </row>
    <row r="778" spans="1:26" x14ac:dyDescent="0.2">
      <c r="A778" s="19">
        <v>0.77200000000000002</v>
      </c>
      <c r="B778" s="20">
        <v>0</v>
      </c>
      <c r="C778" s="20">
        <v>0.1094</v>
      </c>
      <c r="D778" s="20">
        <v>0.21360000000000001</v>
      </c>
      <c r="E778" s="20">
        <v>0.31280000000000002</v>
      </c>
      <c r="F778" s="20">
        <v>0.40749999999999997</v>
      </c>
      <c r="G778" s="20">
        <v>0.49790000000000001</v>
      </c>
      <c r="H778" s="20">
        <v>0.58430000000000004</v>
      </c>
      <c r="I778" s="20">
        <v>0.66690000000000005</v>
      </c>
      <c r="J778" s="20">
        <v>0.74609999999999999</v>
      </c>
      <c r="K778" s="20">
        <v>0.82199999999999995</v>
      </c>
      <c r="L778" s="20">
        <v>0.89480000000000004</v>
      </c>
      <c r="M778" s="20">
        <v>0.9647</v>
      </c>
      <c r="N778" s="20">
        <v>1.032</v>
      </c>
      <c r="O778" s="20">
        <v>1.0967</v>
      </c>
      <c r="P778" s="20">
        <v>1.1591</v>
      </c>
      <c r="Q778" s="20">
        <v>1.2192000000000001</v>
      </c>
      <c r="R778" s="20">
        <v>1.2773000000000001</v>
      </c>
      <c r="S778" s="20">
        <v>1.3333999999999999</v>
      </c>
      <c r="T778" s="20">
        <v>1.3875999999999999</v>
      </c>
      <c r="U778" s="20">
        <v>1.4400999999999999</v>
      </c>
      <c r="V778" s="20">
        <v>1.4908999999999999</v>
      </c>
      <c r="W778"/>
      <c r="X778"/>
      <c r="Y778"/>
      <c r="Z778"/>
    </row>
    <row r="779" spans="1:26" x14ac:dyDescent="0.2">
      <c r="A779" s="19">
        <v>0.77300000000000002</v>
      </c>
      <c r="B779" s="20">
        <v>0</v>
      </c>
      <c r="C779" s="20">
        <v>0.1094</v>
      </c>
      <c r="D779" s="20">
        <v>0.21360000000000001</v>
      </c>
      <c r="E779" s="20">
        <v>0.31290000000000001</v>
      </c>
      <c r="F779" s="20">
        <v>0.40760000000000002</v>
      </c>
      <c r="G779" s="20">
        <v>0.49809999999999999</v>
      </c>
      <c r="H779" s="20">
        <v>0.58450000000000002</v>
      </c>
      <c r="I779" s="20">
        <v>0.66720000000000002</v>
      </c>
      <c r="J779" s="20">
        <v>0.74629999999999996</v>
      </c>
      <c r="K779" s="20">
        <v>0.82220000000000004</v>
      </c>
      <c r="L779" s="20">
        <v>0.89500000000000002</v>
      </c>
      <c r="M779" s="20">
        <v>0.96499999999999997</v>
      </c>
      <c r="N779" s="20">
        <v>1.0323</v>
      </c>
      <c r="O779" s="20">
        <v>1.097</v>
      </c>
      <c r="P779" s="20">
        <v>1.1594</v>
      </c>
      <c r="Q779" s="20">
        <v>1.2196</v>
      </c>
      <c r="R779" s="20">
        <v>1.2776000000000001</v>
      </c>
      <c r="S779" s="20">
        <v>1.3337000000000001</v>
      </c>
      <c r="T779" s="20">
        <v>1.3879999999999999</v>
      </c>
      <c r="U779" s="20">
        <v>1.4403999999999999</v>
      </c>
      <c r="V779" s="20">
        <v>1.4912000000000001</v>
      </c>
      <c r="W779"/>
      <c r="X779"/>
      <c r="Y779"/>
      <c r="Z779"/>
    </row>
    <row r="780" spans="1:26" x14ac:dyDescent="0.2">
      <c r="A780" s="19">
        <v>0.77400000000000002</v>
      </c>
      <c r="B780" s="20">
        <v>0</v>
      </c>
      <c r="C780" s="20">
        <v>0.1095</v>
      </c>
      <c r="D780" s="20">
        <v>0.2137</v>
      </c>
      <c r="E780" s="20">
        <v>0.313</v>
      </c>
      <c r="F780" s="20">
        <v>0.4078</v>
      </c>
      <c r="G780" s="20">
        <v>0.49819999999999998</v>
      </c>
      <c r="H780" s="20">
        <v>0.5847</v>
      </c>
      <c r="I780" s="20">
        <v>0.66739999999999999</v>
      </c>
      <c r="J780" s="20">
        <v>0.74660000000000004</v>
      </c>
      <c r="K780" s="20">
        <v>0.82250000000000001</v>
      </c>
      <c r="L780" s="20">
        <v>0.89529999999999998</v>
      </c>
      <c r="M780" s="20">
        <v>0.96530000000000005</v>
      </c>
      <c r="N780" s="20">
        <v>1.0326</v>
      </c>
      <c r="O780" s="20">
        <v>1.0973999999999999</v>
      </c>
      <c r="P780" s="20">
        <v>1.1597999999999999</v>
      </c>
      <c r="Q780" s="20">
        <v>1.2199</v>
      </c>
      <c r="R780" s="20">
        <v>1.278</v>
      </c>
      <c r="S780" s="20">
        <v>1.3341000000000001</v>
      </c>
      <c r="T780" s="20">
        <v>1.3883000000000001</v>
      </c>
      <c r="U780" s="20">
        <v>1.4408000000000001</v>
      </c>
      <c r="V780" s="20">
        <v>1.4916</v>
      </c>
      <c r="W780"/>
      <c r="X780"/>
      <c r="Y780"/>
      <c r="Z780"/>
    </row>
    <row r="781" spans="1:26" x14ac:dyDescent="0.2">
      <c r="A781" s="19">
        <v>0.77500000000000002</v>
      </c>
      <c r="B781" s="20">
        <v>0</v>
      </c>
      <c r="C781" s="20">
        <v>0.1095</v>
      </c>
      <c r="D781" s="20">
        <v>0.21379999999999999</v>
      </c>
      <c r="E781" s="20">
        <v>0.31319999999999998</v>
      </c>
      <c r="F781" s="20">
        <v>0.40789999999999998</v>
      </c>
      <c r="G781" s="20">
        <v>0.49840000000000001</v>
      </c>
      <c r="H781" s="20">
        <v>0.58489999999999998</v>
      </c>
      <c r="I781" s="20">
        <v>0.66759999999999997</v>
      </c>
      <c r="J781" s="20">
        <v>0.74680000000000002</v>
      </c>
      <c r="K781" s="20">
        <v>0.82269999999999999</v>
      </c>
      <c r="L781" s="20">
        <v>0.89559999999999995</v>
      </c>
      <c r="M781" s="20">
        <v>0.96560000000000001</v>
      </c>
      <c r="N781" s="20">
        <v>1.0328999999999999</v>
      </c>
      <c r="O781" s="20">
        <v>1.0976999999999999</v>
      </c>
      <c r="P781" s="20">
        <v>1.1600999999999999</v>
      </c>
      <c r="Q781" s="20">
        <v>1.2202999999999999</v>
      </c>
      <c r="R781" s="20">
        <v>1.2784</v>
      </c>
      <c r="S781" s="20">
        <v>1.3345</v>
      </c>
      <c r="T781" s="20">
        <v>1.3887</v>
      </c>
      <c r="U781" s="20">
        <v>1.4412</v>
      </c>
      <c r="V781" s="20">
        <v>1.492</v>
      </c>
      <c r="W781"/>
      <c r="X781"/>
      <c r="Y781"/>
      <c r="Z781"/>
    </row>
    <row r="782" spans="1:26" x14ac:dyDescent="0.2">
      <c r="A782" s="19">
        <v>0.77600000000000002</v>
      </c>
      <c r="B782" s="20">
        <v>0</v>
      </c>
      <c r="C782" s="20">
        <v>0.1096</v>
      </c>
      <c r="D782" s="20">
        <v>0.21390000000000001</v>
      </c>
      <c r="E782" s="20">
        <v>0.31330000000000002</v>
      </c>
      <c r="F782" s="20">
        <v>0.40810000000000002</v>
      </c>
      <c r="G782" s="20">
        <v>0.49859999999999999</v>
      </c>
      <c r="H782" s="20">
        <v>0.58509999999999995</v>
      </c>
      <c r="I782" s="20">
        <v>0.66779999999999995</v>
      </c>
      <c r="J782" s="20">
        <v>0.747</v>
      </c>
      <c r="K782" s="20">
        <v>0.82299999999999995</v>
      </c>
      <c r="L782" s="20">
        <v>0.89590000000000003</v>
      </c>
      <c r="M782" s="20">
        <v>0.96589999999999998</v>
      </c>
      <c r="N782" s="20">
        <v>1.0331999999999999</v>
      </c>
      <c r="O782" s="20">
        <v>1.0980000000000001</v>
      </c>
      <c r="P782" s="20">
        <v>1.1604000000000001</v>
      </c>
      <c r="Q782" s="20">
        <v>1.2205999999999999</v>
      </c>
      <c r="R782" s="20">
        <v>1.2786999999999999</v>
      </c>
      <c r="S782" s="20">
        <v>1.3348</v>
      </c>
      <c r="T782" s="20">
        <v>1.3891</v>
      </c>
      <c r="U782" s="20">
        <v>1.4415</v>
      </c>
      <c r="V782" s="20">
        <v>1.4923</v>
      </c>
      <c r="W782"/>
      <c r="X782"/>
      <c r="Y782"/>
      <c r="Z782"/>
    </row>
    <row r="783" spans="1:26" x14ac:dyDescent="0.2">
      <c r="A783" s="19">
        <v>0.77700000000000002</v>
      </c>
      <c r="B783" s="20">
        <v>0</v>
      </c>
      <c r="C783" s="20">
        <v>0.1096</v>
      </c>
      <c r="D783" s="20">
        <v>0.21390000000000001</v>
      </c>
      <c r="E783" s="20">
        <v>0.31340000000000001</v>
      </c>
      <c r="F783" s="20">
        <v>0.40820000000000001</v>
      </c>
      <c r="G783" s="20">
        <v>0.49869999999999998</v>
      </c>
      <c r="H783" s="20">
        <v>0.58530000000000004</v>
      </c>
      <c r="I783" s="20">
        <v>0.66800000000000004</v>
      </c>
      <c r="J783" s="20">
        <v>0.74729999999999996</v>
      </c>
      <c r="K783" s="20">
        <v>0.82330000000000003</v>
      </c>
      <c r="L783" s="20">
        <v>0.8962</v>
      </c>
      <c r="M783" s="20">
        <v>0.96619999999999995</v>
      </c>
      <c r="N783" s="20">
        <v>1.0335000000000001</v>
      </c>
      <c r="O783" s="20">
        <v>1.0983000000000001</v>
      </c>
      <c r="P783" s="20">
        <v>1.1608000000000001</v>
      </c>
      <c r="Q783" s="20">
        <v>1.2210000000000001</v>
      </c>
      <c r="R783" s="20">
        <v>1.2790999999999999</v>
      </c>
      <c r="S783" s="20">
        <v>1.3351999999999999</v>
      </c>
      <c r="T783" s="20">
        <v>1.3894</v>
      </c>
      <c r="U783" s="20">
        <v>1.4419</v>
      </c>
      <c r="V783" s="20">
        <v>1.4926999999999999</v>
      </c>
      <c r="W783"/>
      <c r="X783"/>
      <c r="Y783"/>
      <c r="Z783"/>
    </row>
    <row r="784" spans="1:26" x14ac:dyDescent="0.2">
      <c r="A784" s="19">
        <v>0.77800000000000002</v>
      </c>
      <c r="B784" s="20">
        <v>0</v>
      </c>
      <c r="C784" s="20">
        <v>0.1096</v>
      </c>
      <c r="D784" s="20">
        <v>0.214</v>
      </c>
      <c r="E784" s="20">
        <v>0.3135</v>
      </c>
      <c r="F784" s="20">
        <v>0.4083</v>
      </c>
      <c r="G784" s="20">
        <v>0.49890000000000001</v>
      </c>
      <c r="H784" s="20">
        <v>0.58540000000000003</v>
      </c>
      <c r="I784" s="20">
        <v>0.66820000000000002</v>
      </c>
      <c r="J784" s="20">
        <v>0.74750000000000005</v>
      </c>
      <c r="K784" s="20">
        <v>0.82350000000000001</v>
      </c>
      <c r="L784" s="20">
        <v>0.89639999999999997</v>
      </c>
      <c r="M784" s="20">
        <v>0.96650000000000003</v>
      </c>
      <c r="N784" s="20">
        <v>1.0338000000000001</v>
      </c>
      <c r="O784" s="20">
        <v>1.0987</v>
      </c>
      <c r="P784" s="20">
        <v>1.1611</v>
      </c>
      <c r="Q784" s="20">
        <v>1.2213000000000001</v>
      </c>
      <c r="R784" s="20">
        <v>1.2794000000000001</v>
      </c>
      <c r="S784" s="20">
        <v>1.3354999999999999</v>
      </c>
      <c r="T784" s="20">
        <v>1.3897999999999999</v>
      </c>
      <c r="U784" s="20">
        <v>1.4422999999999999</v>
      </c>
      <c r="V784" s="20">
        <v>1.4930000000000001</v>
      </c>
      <c r="W784"/>
      <c r="X784"/>
      <c r="Y784"/>
      <c r="Z784"/>
    </row>
    <row r="785" spans="1:26" x14ac:dyDescent="0.2">
      <c r="A785" s="19">
        <v>0.77900000000000003</v>
      </c>
      <c r="B785" s="20">
        <v>0</v>
      </c>
      <c r="C785" s="20">
        <v>0.10970000000000001</v>
      </c>
      <c r="D785" s="20">
        <v>0.21410000000000001</v>
      </c>
      <c r="E785" s="20">
        <v>0.31359999999999999</v>
      </c>
      <c r="F785" s="20">
        <v>0.40849999999999997</v>
      </c>
      <c r="G785" s="20">
        <v>0.49909999999999999</v>
      </c>
      <c r="H785" s="20">
        <v>0.58560000000000001</v>
      </c>
      <c r="I785" s="20">
        <v>0.66849999999999998</v>
      </c>
      <c r="J785" s="20">
        <v>0.74780000000000002</v>
      </c>
      <c r="K785" s="20">
        <v>0.82379999999999998</v>
      </c>
      <c r="L785" s="20">
        <v>0.89670000000000005</v>
      </c>
      <c r="M785" s="20">
        <v>0.96679999999999999</v>
      </c>
      <c r="N785" s="20">
        <v>1.0341</v>
      </c>
      <c r="O785" s="20">
        <v>1.099</v>
      </c>
      <c r="P785" s="20">
        <v>1.1614</v>
      </c>
      <c r="Q785" s="20">
        <v>1.2216</v>
      </c>
      <c r="R785" s="20">
        <v>1.2798</v>
      </c>
      <c r="S785" s="20">
        <v>1.3359000000000001</v>
      </c>
      <c r="T785" s="20">
        <v>1.3900999999999999</v>
      </c>
      <c r="U785" s="20">
        <v>1.4426000000000001</v>
      </c>
      <c r="V785" s="20">
        <v>1.4934000000000001</v>
      </c>
      <c r="W785"/>
      <c r="X785"/>
      <c r="Y785"/>
      <c r="Z785"/>
    </row>
    <row r="786" spans="1:26" x14ac:dyDescent="0.2">
      <c r="A786" s="19">
        <v>0.78</v>
      </c>
      <c r="B786" s="20">
        <v>0</v>
      </c>
      <c r="C786" s="20">
        <v>0.10970000000000001</v>
      </c>
      <c r="D786" s="20">
        <v>0.2142</v>
      </c>
      <c r="E786" s="20">
        <v>0.31369999999999998</v>
      </c>
      <c r="F786" s="20">
        <v>0.40860000000000002</v>
      </c>
      <c r="G786" s="20">
        <v>0.49919999999999998</v>
      </c>
      <c r="H786" s="20">
        <v>0.58579999999999999</v>
      </c>
      <c r="I786" s="20">
        <v>0.66869999999999996</v>
      </c>
      <c r="J786" s="20">
        <v>0.748</v>
      </c>
      <c r="K786" s="20">
        <v>0.82399999999999995</v>
      </c>
      <c r="L786" s="20">
        <v>0.89700000000000002</v>
      </c>
      <c r="M786" s="20">
        <v>0.96709999999999996</v>
      </c>
      <c r="N786" s="20">
        <v>1.0345</v>
      </c>
      <c r="O786" s="20">
        <v>1.0992999999999999</v>
      </c>
      <c r="P786" s="20">
        <v>1.1617999999999999</v>
      </c>
      <c r="Q786" s="20">
        <v>1.222</v>
      </c>
      <c r="R786" s="20">
        <v>1.2801</v>
      </c>
      <c r="S786" s="20">
        <v>1.3362000000000001</v>
      </c>
      <c r="T786" s="20">
        <v>1.3905000000000001</v>
      </c>
      <c r="U786" s="20">
        <v>1.4430000000000001</v>
      </c>
      <c r="V786" s="20">
        <v>1.4938</v>
      </c>
      <c r="W786"/>
      <c r="X786"/>
      <c r="Y786"/>
      <c r="Z786"/>
    </row>
    <row r="787" spans="1:26" x14ac:dyDescent="0.2">
      <c r="A787" s="19">
        <v>0.78100000000000003</v>
      </c>
      <c r="B787" s="20">
        <v>0</v>
      </c>
      <c r="C787" s="20">
        <v>0.10970000000000001</v>
      </c>
      <c r="D787" s="20">
        <v>0.2142</v>
      </c>
      <c r="E787" s="20">
        <v>0.31380000000000002</v>
      </c>
      <c r="F787" s="20">
        <v>0.40870000000000001</v>
      </c>
      <c r="G787" s="20">
        <v>0.49940000000000001</v>
      </c>
      <c r="H787" s="20">
        <v>0.58599999999999997</v>
      </c>
      <c r="I787" s="20">
        <v>0.66890000000000005</v>
      </c>
      <c r="J787" s="20">
        <v>0.74819999999999998</v>
      </c>
      <c r="K787" s="20">
        <v>0.82430000000000003</v>
      </c>
      <c r="L787" s="20">
        <v>0.89729999999999999</v>
      </c>
      <c r="M787" s="20">
        <v>0.96740000000000004</v>
      </c>
      <c r="N787" s="20">
        <v>1.0347999999999999</v>
      </c>
      <c r="O787" s="20">
        <v>1.0995999999999999</v>
      </c>
      <c r="P787" s="20">
        <v>1.1620999999999999</v>
      </c>
      <c r="Q787" s="20">
        <v>1.2222999999999999</v>
      </c>
      <c r="R787" s="20">
        <v>1.2804</v>
      </c>
      <c r="S787" s="20">
        <v>1.3366</v>
      </c>
      <c r="T787" s="20">
        <v>1.3908</v>
      </c>
      <c r="U787" s="20">
        <v>1.4433</v>
      </c>
      <c r="V787" s="20">
        <v>1.4941</v>
      </c>
      <c r="W787"/>
      <c r="X787"/>
      <c r="Y787"/>
      <c r="Z787"/>
    </row>
    <row r="788" spans="1:26" x14ac:dyDescent="0.2">
      <c r="A788" s="19">
        <v>0.78200000000000003</v>
      </c>
      <c r="B788" s="20">
        <v>0</v>
      </c>
      <c r="C788" s="20">
        <v>0.10979999999999999</v>
      </c>
      <c r="D788" s="20">
        <v>0.21429999999999999</v>
      </c>
      <c r="E788" s="20">
        <v>0.31390000000000001</v>
      </c>
      <c r="F788" s="20">
        <v>0.40889999999999999</v>
      </c>
      <c r="G788" s="20">
        <v>0.49959999999999999</v>
      </c>
      <c r="H788" s="20">
        <v>0.58620000000000005</v>
      </c>
      <c r="I788" s="20">
        <v>0.66910000000000003</v>
      </c>
      <c r="J788" s="20">
        <v>0.74850000000000005</v>
      </c>
      <c r="K788" s="20">
        <v>0.8246</v>
      </c>
      <c r="L788" s="20">
        <v>0.89759999999999995</v>
      </c>
      <c r="M788" s="20">
        <v>0.9677</v>
      </c>
      <c r="N788" s="20">
        <v>1.0350999999999999</v>
      </c>
      <c r="O788" s="20">
        <v>1.0999000000000001</v>
      </c>
      <c r="P788" s="20">
        <v>1.1624000000000001</v>
      </c>
      <c r="Q788" s="20">
        <v>1.2226999999999999</v>
      </c>
      <c r="R788" s="20">
        <v>1.2807999999999999</v>
      </c>
      <c r="S788" s="20">
        <v>1.3369</v>
      </c>
      <c r="T788" s="20">
        <v>1.3912</v>
      </c>
      <c r="U788" s="20">
        <v>1.4437</v>
      </c>
      <c r="V788" s="20">
        <v>1.4944999999999999</v>
      </c>
      <c r="W788"/>
      <c r="X788"/>
      <c r="Y788"/>
      <c r="Z788"/>
    </row>
    <row r="789" spans="1:26" x14ac:dyDescent="0.2">
      <c r="A789" s="19">
        <v>0.78300000000000003</v>
      </c>
      <c r="B789" s="20">
        <v>0</v>
      </c>
      <c r="C789" s="20">
        <v>0.10979999999999999</v>
      </c>
      <c r="D789" s="20">
        <v>0.21440000000000001</v>
      </c>
      <c r="E789" s="20">
        <v>0.314</v>
      </c>
      <c r="F789" s="20">
        <v>0.40899999999999997</v>
      </c>
      <c r="G789" s="20">
        <v>0.49969999999999998</v>
      </c>
      <c r="H789" s="20">
        <v>0.58640000000000003</v>
      </c>
      <c r="I789" s="20">
        <v>0.66930000000000001</v>
      </c>
      <c r="J789" s="20">
        <v>0.74870000000000003</v>
      </c>
      <c r="K789" s="20">
        <v>0.82479999999999998</v>
      </c>
      <c r="L789" s="20">
        <v>0.89780000000000004</v>
      </c>
      <c r="M789" s="20">
        <v>0.96799999999999997</v>
      </c>
      <c r="N789" s="20">
        <v>1.0354000000000001</v>
      </c>
      <c r="O789" s="20">
        <v>1.1003000000000001</v>
      </c>
      <c r="P789" s="20">
        <v>1.1628000000000001</v>
      </c>
      <c r="Q789" s="20">
        <v>1.2230000000000001</v>
      </c>
      <c r="R789" s="20">
        <v>1.2810999999999999</v>
      </c>
      <c r="S789" s="20">
        <v>1.3372999999999999</v>
      </c>
      <c r="T789" s="20">
        <v>1.3915999999999999</v>
      </c>
      <c r="U789" s="20">
        <v>1.444</v>
      </c>
      <c r="V789" s="20">
        <v>1.4948999999999999</v>
      </c>
      <c r="W789"/>
      <c r="X789"/>
      <c r="Y789"/>
      <c r="Z789"/>
    </row>
    <row r="790" spans="1:26" x14ac:dyDescent="0.2">
      <c r="A790" s="19">
        <v>0.78400000000000003</v>
      </c>
      <c r="B790" s="20">
        <v>0</v>
      </c>
      <c r="C790" s="20">
        <v>0.1099</v>
      </c>
      <c r="D790" s="20">
        <v>0.21440000000000001</v>
      </c>
      <c r="E790" s="20">
        <v>0.31409999999999999</v>
      </c>
      <c r="F790" s="20">
        <v>0.40910000000000002</v>
      </c>
      <c r="G790" s="20">
        <v>0.49990000000000001</v>
      </c>
      <c r="H790" s="20">
        <v>0.58660000000000001</v>
      </c>
      <c r="I790" s="20">
        <v>0.66949999999999998</v>
      </c>
      <c r="J790" s="20">
        <v>0.74890000000000001</v>
      </c>
      <c r="K790" s="20">
        <v>0.82509999999999994</v>
      </c>
      <c r="L790" s="20">
        <v>0.89810000000000001</v>
      </c>
      <c r="M790" s="20">
        <v>0.96819999999999995</v>
      </c>
      <c r="N790" s="20">
        <v>1.0357000000000001</v>
      </c>
      <c r="O790" s="20">
        <v>1.1006</v>
      </c>
      <c r="P790" s="20">
        <v>1.1631</v>
      </c>
      <c r="Q790" s="20">
        <v>1.2233000000000001</v>
      </c>
      <c r="R790" s="20">
        <v>1.2815000000000001</v>
      </c>
      <c r="S790" s="20">
        <v>1.3375999999999999</v>
      </c>
      <c r="T790" s="20">
        <v>1.3918999999999999</v>
      </c>
      <c r="U790" s="20">
        <v>1.4443999999999999</v>
      </c>
      <c r="V790" s="20">
        <v>1.4952000000000001</v>
      </c>
      <c r="W790"/>
      <c r="X790"/>
      <c r="Y790"/>
      <c r="Z790"/>
    </row>
    <row r="791" spans="1:26" x14ac:dyDescent="0.2">
      <c r="A791" s="19">
        <v>0.78500000000000003</v>
      </c>
      <c r="B791" s="20">
        <v>0</v>
      </c>
      <c r="C791" s="20">
        <v>0.1099</v>
      </c>
      <c r="D791" s="20">
        <v>0.2145</v>
      </c>
      <c r="E791" s="20">
        <v>0.31419999999999998</v>
      </c>
      <c r="F791" s="20">
        <v>0.4093</v>
      </c>
      <c r="G791" s="20">
        <v>0.5</v>
      </c>
      <c r="H791" s="20">
        <v>0.58679999999999999</v>
      </c>
      <c r="I791" s="20">
        <v>0.66969999999999996</v>
      </c>
      <c r="J791" s="20">
        <v>0.74919999999999998</v>
      </c>
      <c r="K791" s="20">
        <v>0.82530000000000003</v>
      </c>
      <c r="L791" s="20">
        <v>0.89839999999999998</v>
      </c>
      <c r="M791" s="20">
        <v>0.96850000000000003</v>
      </c>
      <c r="N791" s="20">
        <v>1.036</v>
      </c>
      <c r="O791" s="20">
        <v>1.1009</v>
      </c>
      <c r="P791" s="20">
        <v>1.1634</v>
      </c>
      <c r="Q791" s="20">
        <v>1.2237</v>
      </c>
      <c r="R791" s="20">
        <v>1.2818000000000001</v>
      </c>
      <c r="S791" s="20">
        <v>1.3380000000000001</v>
      </c>
      <c r="T791" s="20">
        <v>1.3923000000000001</v>
      </c>
      <c r="U791" s="20">
        <v>1.4448000000000001</v>
      </c>
      <c r="V791" s="20">
        <v>1.4956</v>
      </c>
      <c r="W791"/>
      <c r="X791"/>
      <c r="Y791"/>
      <c r="Z791"/>
    </row>
    <row r="792" spans="1:26" x14ac:dyDescent="0.2">
      <c r="A792" s="19">
        <v>0.78600000000000003</v>
      </c>
      <c r="B792" s="20">
        <v>0</v>
      </c>
      <c r="C792" s="20">
        <v>0.1099</v>
      </c>
      <c r="D792" s="20">
        <v>0.21460000000000001</v>
      </c>
      <c r="E792" s="20">
        <v>0.31430000000000002</v>
      </c>
      <c r="F792" s="20">
        <v>0.40939999999999999</v>
      </c>
      <c r="G792" s="20">
        <v>0.50019999999999998</v>
      </c>
      <c r="H792" s="20">
        <v>0.58699999999999997</v>
      </c>
      <c r="I792" s="20">
        <v>0.67</v>
      </c>
      <c r="J792" s="20">
        <v>0.74939999999999996</v>
      </c>
      <c r="K792" s="20">
        <v>0.8256</v>
      </c>
      <c r="L792" s="20">
        <v>0.89870000000000005</v>
      </c>
      <c r="M792" s="20">
        <v>0.96879999999999999</v>
      </c>
      <c r="N792" s="20">
        <v>1.0363</v>
      </c>
      <c r="O792" s="20">
        <v>1.1012</v>
      </c>
      <c r="P792" s="20">
        <v>1.1637</v>
      </c>
      <c r="Q792" s="20">
        <v>1.224</v>
      </c>
      <c r="R792" s="20">
        <v>1.2822</v>
      </c>
      <c r="S792" s="20">
        <v>1.3383</v>
      </c>
      <c r="T792" s="20">
        <v>1.3926000000000001</v>
      </c>
      <c r="U792" s="20">
        <v>1.4451000000000001</v>
      </c>
      <c r="V792" s="20">
        <v>1.4959</v>
      </c>
      <c r="W792"/>
      <c r="X792"/>
      <c r="Y792"/>
      <c r="Z792"/>
    </row>
    <row r="793" spans="1:26" x14ac:dyDescent="0.2">
      <c r="A793" s="19">
        <v>0.78700000000000003</v>
      </c>
      <c r="B793" s="20">
        <v>0</v>
      </c>
      <c r="C793" s="20">
        <v>0.11</v>
      </c>
      <c r="D793" s="20">
        <v>0.2147</v>
      </c>
      <c r="E793" s="20">
        <v>0.31440000000000001</v>
      </c>
      <c r="F793" s="20">
        <v>0.40949999999999998</v>
      </c>
      <c r="G793" s="20">
        <v>0.50039999999999996</v>
      </c>
      <c r="H793" s="20">
        <v>0.58720000000000006</v>
      </c>
      <c r="I793" s="20">
        <v>0.67020000000000002</v>
      </c>
      <c r="J793" s="20">
        <v>0.74970000000000003</v>
      </c>
      <c r="K793" s="20">
        <v>0.82579999999999998</v>
      </c>
      <c r="L793" s="20">
        <v>0.89890000000000003</v>
      </c>
      <c r="M793" s="20">
        <v>0.96909999999999996</v>
      </c>
      <c r="N793" s="20">
        <v>1.0366</v>
      </c>
      <c r="O793" s="20">
        <v>1.1014999999999999</v>
      </c>
      <c r="P793" s="20">
        <v>1.1640999999999999</v>
      </c>
      <c r="Q793" s="20">
        <v>1.2243999999999999</v>
      </c>
      <c r="R793" s="20">
        <v>1.2825</v>
      </c>
      <c r="S793" s="20">
        <v>1.3387</v>
      </c>
      <c r="T793" s="20">
        <v>1.393</v>
      </c>
      <c r="U793" s="20">
        <v>1.4455</v>
      </c>
      <c r="V793" s="20">
        <v>1.4963</v>
      </c>
      <c r="W793"/>
      <c r="X793"/>
      <c r="Y793"/>
      <c r="Z793"/>
    </row>
    <row r="794" spans="1:26" x14ac:dyDescent="0.2">
      <c r="A794" s="19">
        <v>0.78800000000000003</v>
      </c>
      <c r="B794" s="20">
        <v>0</v>
      </c>
      <c r="C794" s="20">
        <v>0.11</v>
      </c>
      <c r="D794" s="20">
        <v>0.2147</v>
      </c>
      <c r="E794" s="20">
        <v>0.3145</v>
      </c>
      <c r="F794" s="20">
        <v>0.40970000000000001</v>
      </c>
      <c r="G794" s="20">
        <v>0.50049999999999994</v>
      </c>
      <c r="H794" s="20">
        <v>0.58730000000000004</v>
      </c>
      <c r="I794" s="20">
        <v>0.6704</v>
      </c>
      <c r="J794" s="20">
        <v>0.74990000000000001</v>
      </c>
      <c r="K794" s="20">
        <v>0.82609999999999995</v>
      </c>
      <c r="L794" s="20">
        <v>0.8992</v>
      </c>
      <c r="M794" s="20">
        <v>0.96940000000000004</v>
      </c>
      <c r="N794" s="20">
        <v>1.0368999999999999</v>
      </c>
      <c r="O794" s="20">
        <v>1.1017999999999999</v>
      </c>
      <c r="P794" s="20">
        <v>1.1644000000000001</v>
      </c>
      <c r="Q794" s="20">
        <v>1.2246999999999999</v>
      </c>
      <c r="R794" s="20">
        <v>1.2828999999999999</v>
      </c>
      <c r="S794" s="20">
        <v>1.339</v>
      </c>
      <c r="T794" s="20">
        <v>1.3933</v>
      </c>
      <c r="U794" s="20">
        <v>1.4458</v>
      </c>
      <c r="V794" s="20">
        <v>1.4965999999999999</v>
      </c>
      <c r="W794"/>
      <c r="X794"/>
      <c r="Y794"/>
      <c r="Z794"/>
    </row>
    <row r="795" spans="1:26" x14ac:dyDescent="0.2">
      <c r="A795" s="19">
        <v>0.78900000000000003</v>
      </c>
      <c r="B795" s="20">
        <v>0</v>
      </c>
      <c r="C795" s="20">
        <v>0.11</v>
      </c>
      <c r="D795" s="20">
        <v>0.21479999999999999</v>
      </c>
      <c r="E795" s="20">
        <v>0.31459999999999999</v>
      </c>
      <c r="F795" s="20">
        <v>0.4098</v>
      </c>
      <c r="G795" s="20">
        <v>0.50070000000000003</v>
      </c>
      <c r="H795" s="20">
        <v>0.58750000000000002</v>
      </c>
      <c r="I795" s="20">
        <v>0.67059999999999997</v>
      </c>
      <c r="J795" s="20">
        <v>0.75009999999999999</v>
      </c>
      <c r="K795" s="20">
        <v>0.82640000000000002</v>
      </c>
      <c r="L795" s="20">
        <v>0.89949999999999997</v>
      </c>
      <c r="M795" s="20">
        <v>0.96970000000000001</v>
      </c>
      <c r="N795" s="20">
        <v>1.0371999999999999</v>
      </c>
      <c r="O795" s="20">
        <v>1.1022000000000001</v>
      </c>
      <c r="P795" s="20">
        <v>1.1647000000000001</v>
      </c>
      <c r="Q795" s="20">
        <v>1.2250000000000001</v>
      </c>
      <c r="R795" s="20">
        <v>1.2831999999999999</v>
      </c>
      <c r="S795" s="20">
        <v>1.3393999999999999</v>
      </c>
      <c r="T795" s="20">
        <v>1.3936999999999999</v>
      </c>
      <c r="U795" s="20">
        <v>1.4461999999999999</v>
      </c>
      <c r="V795" s="20">
        <v>1.4970000000000001</v>
      </c>
      <c r="W795"/>
      <c r="X795"/>
      <c r="Y795"/>
      <c r="Z795"/>
    </row>
    <row r="796" spans="1:26" x14ac:dyDescent="0.2">
      <c r="A796" s="19">
        <v>0.79</v>
      </c>
      <c r="B796" s="20">
        <v>0</v>
      </c>
      <c r="C796" s="20">
        <v>0.1101</v>
      </c>
      <c r="D796" s="20">
        <v>0.21490000000000001</v>
      </c>
      <c r="E796" s="20">
        <v>0.31469999999999998</v>
      </c>
      <c r="F796" s="20">
        <v>0.40989999999999999</v>
      </c>
      <c r="G796" s="20">
        <v>0.50090000000000001</v>
      </c>
      <c r="H796" s="20">
        <v>0.5877</v>
      </c>
      <c r="I796" s="20">
        <v>0.67079999999999995</v>
      </c>
      <c r="J796" s="20">
        <v>0.75039999999999996</v>
      </c>
      <c r="K796" s="20">
        <v>0.8266</v>
      </c>
      <c r="L796" s="20">
        <v>0.89980000000000004</v>
      </c>
      <c r="M796" s="20">
        <v>0.97</v>
      </c>
      <c r="N796" s="20">
        <v>1.0375000000000001</v>
      </c>
      <c r="O796" s="20">
        <v>1.1025</v>
      </c>
      <c r="P796" s="20">
        <v>1.1651</v>
      </c>
      <c r="Q796" s="20">
        <v>1.2254</v>
      </c>
      <c r="R796" s="20">
        <v>1.2836000000000001</v>
      </c>
      <c r="S796" s="20">
        <v>1.3396999999999999</v>
      </c>
      <c r="T796" s="20">
        <v>1.3939999999999999</v>
      </c>
      <c r="U796" s="20">
        <v>1.4464999999999999</v>
      </c>
      <c r="V796" s="20">
        <v>1.4973000000000001</v>
      </c>
      <c r="W796"/>
      <c r="X796"/>
      <c r="Y796"/>
      <c r="Z796"/>
    </row>
    <row r="797" spans="1:26" x14ac:dyDescent="0.2">
      <c r="A797" s="19">
        <v>0.79100000000000004</v>
      </c>
      <c r="B797" s="20">
        <v>0</v>
      </c>
      <c r="C797" s="20">
        <v>0.1101</v>
      </c>
      <c r="D797" s="20">
        <v>0.21490000000000001</v>
      </c>
      <c r="E797" s="20">
        <v>0.31480000000000002</v>
      </c>
      <c r="F797" s="20">
        <v>0.41010000000000002</v>
      </c>
      <c r="G797" s="20">
        <v>0.501</v>
      </c>
      <c r="H797" s="20">
        <v>0.58789999999999998</v>
      </c>
      <c r="I797" s="20">
        <v>0.67100000000000004</v>
      </c>
      <c r="J797" s="20">
        <v>0.75060000000000004</v>
      </c>
      <c r="K797" s="20">
        <v>0.82689999999999997</v>
      </c>
      <c r="L797" s="20">
        <v>0.9</v>
      </c>
      <c r="M797" s="20">
        <v>0.97030000000000005</v>
      </c>
      <c r="N797" s="20">
        <v>1.0378000000000001</v>
      </c>
      <c r="O797" s="20">
        <v>1.1028</v>
      </c>
      <c r="P797" s="20">
        <v>1.1654</v>
      </c>
      <c r="Q797" s="20">
        <v>1.2257</v>
      </c>
      <c r="R797" s="20">
        <v>1.2839</v>
      </c>
      <c r="S797" s="20">
        <v>1.3401000000000001</v>
      </c>
      <c r="T797" s="20">
        <v>1.3944000000000001</v>
      </c>
      <c r="U797" s="20">
        <v>1.4469000000000001</v>
      </c>
      <c r="V797" s="20">
        <v>1.4977</v>
      </c>
      <c r="W797"/>
      <c r="X797"/>
      <c r="Y797"/>
      <c r="Z797"/>
    </row>
    <row r="798" spans="1:26" x14ac:dyDescent="0.2">
      <c r="A798" s="19">
        <v>0.79200000000000004</v>
      </c>
      <c r="B798" s="20">
        <v>0</v>
      </c>
      <c r="C798" s="20">
        <v>0.1101</v>
      </c>
      <c r="D798" s="20">
        <v>0.215</v>
      </c>
      <c r="E798" s="20">
        <v>0.31490000000000001</v>
      </c>
      <c r="F798" s="20">
        <v>0.41020000000000001</v>
      </c>
      <c r="G798" s="20">
        <v>0.50119999999999998</v>
      </c>
      <c r="H798" s="20">
        <v>0.58809999999999996</v>
      </c>
      <c r="I798" s="20">
        <v>0.67120000000000002</v>
      </c>
      <c r="J798" s="20">
        <v>0.75080000000000002</v>
      </c>
      <c r="K798" s="20">
        <v>0.82709999999999995</v>
      </c>
      <c r="L798" s="20">
        <v>0.90029999999999999</v>
      </c>
      <c r="M798" s="20">
        <v>0.97060000000000002</v>
      </c>
      <c r="N798" s="20">
        <v>1.0381</v>
      </c>
      <c r="O798" s="20">
        <v>1.1031</v>
      </c>
      <c r="P798" s="20">
        <v>1.1657</v>
      </c>
      <c r="Q798" s="20">
        <v>1.226</v>
      </c>
      <c r="R798" s="20">
        <v>1.2842</v>
      </c>
      <c r="S798" s="20">
        <v>1.3404</v>
      </c>
      <c r="T798" s="20">
        <v>1.3947000000000001</v>
      </c>
      <c r="U798" s="20">
        <v>1.4472</v>
      </c>
      <c r="V798" s="20">
        <v>1.4981</v>
      </c>
      <c r="W798"/>
      <c r="X798"/>
      <c r="Y798"/>
      <c r="Z798"/>
    </row>
    <row r="799" spans="1:26" x14ac:dyDescent="0.2">
      <c r="A799" s="19">
        <v>0.79300000000000004</v>
      </c>
      <c r="B799" s="20">
        <v>0</v>
      </c>
      <c r="C799" s="20">
        <v>0.11020000000000001</v>
      </c>
      <c r="D799" s="20">
        <v>0.21510000000000001</v>
      </c>
      <c r="E799" s="20">
        <v>0.315</v>
      </c>
      <c r="F799" s="20">
        <v>0.4103</v>
      </c>
      <c r="G799" s="20">
        <v>0.50129999999999997</v>
      </c>
      <c r="H799" s="20">
        <v>0.58830000000000005</v>
      </c>
      <c r="I799" s="20">
        <v>0.6714</v>
      </c>
      <c r="J799" s="20">
        <v>0.75109999999999999</v>
      </c>
      <c r="K799" s="20">
        <v>0.82740000000000002</v>
      </c>
      <c r="L799" s="20">
        <v>0.90059999999999996</v>
      </c>
      <c r="M799" s="20">
        <v>0.97089999999999999</v>
      </c>
      <c r="N799" s="20">
        <v>1.0384</v>
      </c>
      <c r="O799" s="20">
        <v>1.1033999999999999</v>
      </c>
      <c r="P799" s="20">
        <v>1.1659999999999999</v>
      </c>
      <c r="Q799" s="20">
        <v>1.2263999999999999</v>
      </c>
      <c r="R799" s="20">
        <v>1.2846</v>
      </c>
      <c r="S799" s="20">
        <v>1.3408</v>
      </c>
      <c r="T799" s="20">
        <v>1.3951</v>
      </c>
      <c r="U799" s="20">
        <v>1.4476</v>
      </c>
      <c r="V799" s="20">
        <v>1.4984</v>
      </c>
      <c r="W799"/>
      <c r="X799"/>
      <c r="Y799"/>
      <c r="Z799"/>
    </row>
    <row r="800" spans="1:26" x14ac:dyDescent="0.2">
      <c r="A800" s="19">
        <v>0.79400000000000004</v>
      </c>
      <c r="B800" s="20">
        <v>0</v>
      </c>
      <c r="C800" s="20">
        <v>0.11020000000000001</v>
      </c>
      <c r="D800" s="20">
        <v>0.21510000000000001</v>
      </c>
      <c r="E800" s="20">
        <v>0.31509999999999999</v>
      </c>
      <c r="F800" s="20">
        <v>0.41049999999999998</v>
      </c>
      <c r="G800" s="20">
        <v>0.50149999999999995</v>
      </c>
      <c r="H800" s="20">
        <v>0.58850000000000002</v>
      </c>
      <c r="I800" s="20">
        <v>0.67169999999999996</v>
      </c>
      <c r="J800" s="20">
        <v>0.75129999999999997</v>
      </c>
      <c r="K800" s="20">
        <v>0.8276</v>
      </c>
      <c r="L800" s="20">
        <v>0.90080000000000005</v>
      </c>
      <c r="M800" s="20">
        <v>0.97109999999999996</v>
      </c>
      <c r="N800" s="20">
        <v>1.0387</v>
      </c>
      <c r="O800" s="20">
        <v>1.1036999999999999</v>
      </c>
      <c r="P800" s="20">
        <v>1.1664000000000001</v>
      </c>
      <c r="Q800" s="20">
        <v>1.2266999999999999</v>
      </c>
      <c r="R800" s="20">
        <v>1.2848999999999999</v>
      </c>
      <c r="S800" s="20">
        <v>1.3411</v>
      </c>
      <c r="T800" s="20">
        <v>1.3954</v>
      </c>
      <c r="U800" s="20">
        <v>1.448</v>
      </c>
      <c r="V800" s="20">
        <v>1.4987999999999999</v>
      </c>
      <c r="W800"/>
      <c r="X800"/>
      <c r="Y800"/>
      <c r="Z800"/>
    </row>
    <row r="801" spans="1:26" x14ac:dyDescent="0.2">
      <c r="A801" s="19">
        <v>0.79500000000000004</v>
      </c>
      <c r="B801" s="20">
        <v>0</v>
      </c>
      <c r="C801" s="20">
        <v>0.1103</v>
      </c>
      <c r="D801" s="20">
        <v>0.2152</v>
      </c>
      <c r="E801" s="20">
        <v>0.31519999999999998</v>
      </c>
      <c r="F801" s="20">
        <v>0.41060000000000002</v>
      </c>
      <c r="G801" s="20">
        <v>0.50170000000000003</v>
      </c>
      <c r="H801" s="20">
        <v>0.5887</v>
      </c>
      <c r="I801" s="20">
        <v>0.67190000000000005</v>
      </c>
      <c r="J801" s="20">
        <v>0.75149999999999995</v>
      </c>
      <c r="K801" s="20">
        <v>0.82789999999999997</v>
      </c>
      <c r="L801" s="20">
        <v>0.90110000000000001</v>
      </c>
      <c r="M801" s="20">
        <v>0.97140000000000004</v>
      </c>
      <c r="N801" s="20">
        <v>1.0389999999999999</v>
      </c>
      <c r="O801" s="20">
        <v>1.1041000000000001</v>
      </c>
      <c r="P801" s="20">
        <v>1.1667000000000001</v>
      </c>
      <c r="Q801" s="20">
        <v>1.2270000000000001</v>
      </c>
      <c r="R801" s="20">
        <v>1.2853000000000001</v>
      </c>
      <c r="S801" s="20">
        <v>1.3414999999999999</v>
      </c>
      <c r="T801" s="20">
        <v>1.3957999999999999</v>
      </c>
      <c r="U801" s="20">
        <v>1.4482999999999999</v>
      </c>
      <c r="V801" s="20">
        <v>1.4991000000000001</v>
      </c>
      <c r="W801"/>
      <c r="X801"/>
      <c r="Y801"/>
      <c r="Z801"/>
    </row>
    <row r="802" spans="1:26" x14ac:dyDescent="0.2">
      <c r="A802" s="19">
        <v>0.79600000000000004</v>
      </c>
      <c r="B802" s="20">
        <v>0</v>
      </c>
      <c r="C802" s="20">
        <v>0.1103</v>
      </c>
      <c r="D802" s="20">
        <v>0.21529999999999999</v>
      </c>
      <c r="E802" s="20">
        <v>0.31530000000000002</v>
      </c>
      <c r="F802" s="20">
        <v>0.41070000000000001</v>
      </c>
      <c r="G802" s="20">
        <v>0.50180000000000002</v>
      </c>
      <c r="H802" s="20">
        <v>0.58879999999999999</v>
      </c>
      <c r="I802" s="20">
        <v>0.67210000000000003</v>
      </c>
      <c r="J802" s="20">
        <v>0.75180000000000002</v>
      </c>
      <c r="K802" s="20">
        <v>0.82809999999999995</v>
      </c>
      <c r="L802" s="20">
        <v>0.90139999999999998</v>
      </c>
      <c r="M802" s="20">
        <v>0.97170000000000001</v>
      </c>
      <c r="N802" s="20">
        <v>1.0392999999999999</v>
      </c>
      <c r="O802" s="20">
        <v>1.1044</v>
      </c>
      <c r="P802" s="20">
        <v>1.167</v>
      </c>
      <c r="Q802" s="20">
        <v>1.2274</v>
      </c>
      <c r="R802" s="20">
        <v>1.2856000000000001</v>
      </c>
      <c r="S802" s="20">
        <v>1.3418000000000001</v>
      </c>
      <c r="T802" s="20">
        <v>1.3960999999999999</v>
      </c>
      <c r="U802" s="20">
        <v>1.4487000000000001</v>
      </c>
      <c r="V802" s="20">
        <v>1.4995000000000001</v>
      </c>
      <c r="W802"/>
      <c r="X802"/>
      <c r="Y802"/>
      <c r="Z802"/>
    </row>
    <row r="803" spans="1:26" x14ac:dyDescent="0.2">
      <c r="A803" s="19">
        <v>0.79700000000000004</v>
      </c>
      <c r="B803" s="20">
        <v>0</v>
      </c>
      <c r="C803" s="20">
        <v>0.1103</v>
      </c>
      <c r="D803" s="20">
        <v>0.21540000000000001</v>
      </c>
      <c r="E803" s="20">
        <v>0.31540000000000001</v>
      </c>
      <c r="F803" s="20">
        <v>0.41089999999999999</v>
      </c>
      <c r="G803" s="20">
        <v>0.502</v>
      </c>
      <c r="H803" s="20">
        <v>0.58899999999999997</v>
      </c>
      <c r="I803" s="20">
        <v>0.67230000000000001</v>
      </c>
      <c r="J803" s="20">
        <v>0.752</v>
      </c>
      <c r="K803" s="20">
        <v>0.82840000000000003</v>
      </c>
      <c r="L803" s="20">
        <v>0.90159999999999996</v>
      </c>
      <c r="M803" s="20">
        <v>0.97199999999999998</v>
      </c>
      <c r="N803" s="20">
        <v>1.0396000000000001</v>
      </c>
      <c r="O803" s="20">
        <v>1.1047</v>
      </c>
      <c r="P803" s="20">
        <v>1.1673</v>
      </c>
      <c r="Q803" s="20">
        <v>1.2277</v>
      </c>
      <c r="R803" s="20">
        <v>1.2859</v>
      </c>
      <c r="S803" s="20">
        <v>1.3422000000000001</v>
      </c>
      <c r="T803" s="20">
        <v>1.3965000000000001</v>
      </c>
      <c r="U803" s="20">
        <v>1.4490000000000001</v>
      </c>
      <c r="V803" s="20">
        <v>1.4998</v>
      </c>
      <c r="W803"/>
      <c r="X803"/>
      <c r="Y803"/>
      <c r="Z803"/>
    </row>
    <row r="804" spans="1:26" x14ac:dyDescent="0.2">
      <c r="A804" s="19">
        <v>0.79800000000000004</v>
      </c>
      <c r="B804" s="20">
        <v>0</v>
      </c>
      <c r="C804" s="20">
        <v>0.1104</v>
      </c>
      <c r="D804" s="20">
        <v>0.21540000000000001</v>
      </c>
      <c r="E804" s="20">
        <v>0.3155</v>
      </c>
      <c r="F804" s="20">
        <v>0.41099999999999998</v>
      </c>
      <c r="G804" s="20">
        <v>0.50209999999999999</v>
      </c>
      <c r="H804" s="20">
        <v>0.58919999999999995</v>
      </c>
      <c r="I804" s="20">
        <v>0.67249999999999999</v>
      </c>
      <c r="J804" s="20">
        <v>0.75219999999999998</v>
      </c>
      <c r="K804" s="20">
        <v>0.8286</v>
      </c>
      <c r="L804" s="20">
        <v>0.90190000000000003</v>
      </c>
      <c r="M804" s="20">
        <v>0.97230000000000005</v>
      </c>
      <c r="N804" s="20">
        <v>1.0399</v>
      </c>
      <c r="O804" s="20">
        <v>1.105</v>
      </c>
      <c r="P804" s="20">
        <v>1.1676</v>
      </c>
      <c r="Q804" s="20">
        <v>1.228</v>
      </c>
      <c r="R804" s="20">
        <v>1.2863</v>
      </c>
      <c r="S804" s="20">
        <v>1.3425</v>
      </c>
      <c r="T804" s="20">
        <v>1.3968</v>
      </c>
      <c r="U804" s="20">
        <v>1.4494</v>
      </c>
      <c r="V804" s="20">
        <v>1.5002</v>
      </c>
      <c r="W804"/>
      <c r="X804"/>
      <c r="Y804"/>
      <c r="Z804"/>
    </row>
    <row r="805" spans="1:26" x14ac:dyDescent="0.2">
      <c r="A805" s="19">
        <v>0.79900000000000004</v>
      </c>
      <c r="B805" s="20">
        <v>0</v>
      </c>
      <c r="C805" s="20">
        <v>0.1104</v>
      </c>
      <c r="D805" s="20">
        <v>0.2155</v>
      </c>
      <c r="E805" s="20">
        <v>0.31559999999999999</v>
      </c>
      <c r="F805" s="20">
        <v>0.41110000000000002</v>
      </c>
      <c r="G805" s="20">
        <v>0.50229999999999997</v>
      </c>
      <c r="H805" s="20">
        <v>0.58940000000000003</v>
      </c>
      <c r="I805" s="20">
        <v>0.67269999999999996</v>
      </c>
      <c r="J805" s="20">
        <v>0.75249999999999995</v>
      </c>
      <c r="K805" s="20">
        <v>0.82889999999999997</v>
      </c>
      <c r="L805" s="20">
        <v>0.9022</v>
      </c>
      <c r="M805" s="20">
        <v>0.97260000000000002</v>
      </c>
      <c r="N805" s="20">
        <v>1.0402</v>
      </c>
      <c r="O805" s="20">
        <v>1.1052999999999999</v>
      </c>
      <c r="P805" s="20">
        <v>1.1679999999999999</v>
      </c>
      <c r="Q805" s="20">
        <v>1.2283999999999999</v>
      </c>
      <c r="R805" s="20">
        <v>1.2866</v>
      </c>
      <c r="S805" s="20">
        <v>1.3429</v>
      </c>
      <c r="T805" s="20">
        <v>1.3972</v>
      </c>
      <c r="U805" s="20">
        <v>1.4497</v>
      </c>
      <c r="V805" s="20">
        <v>1.5004999999999999</v>
      </c>
      <c r="W805"/>
      <c r="X805"/>
      <c r="Y805"/>
      <c r="Z805"/>
    </row>
    <row r="806" spans="1:26" x14ac:dyDescent="0.2">
      <c r="A806" s="19">
        <v>0.8</v>
      </c>
      <c r="B806" s="20">
        <v>0</v>
      </c>
      <c r="C806" s="20">
        <v>0.1104</v>
      </c>
      <c r="D806" s="20">
        <v>0.21560000000000001</v>
      </c>
      <c r="E806" s="20">
        <v>0.31569999999999998</v>
      </c>
      <c r="F806" s="20">
        <v>0.4113</v>
      </c>
      <c r="G806" s="20">
        <v>0.50249999999999995</v>
      </c>
      <c r="H806" s="20">
        <v>0.58960000000000001</v>
      </c>
      <c r="I806" s="20">
        <v>0.67290000000000005</v>
      </c>
      <c r="J806" s="20">
        <v>0.75270000000000004</v>
      </c>
      <c r="K806" s="20">
        <v>0.82909999999999995</v>
      </c>
      <c r="L806" s="20">
        <v>0.90249999999999997</v>
      </c>
      <c r="M806" s="20">
        <v>0.97289999999999999</v>
      </c>
      <c r="N806" s="20">
        <v>1.0405</v>
      </c>
      <c r="O806" s="20">
        <v>1.1055999999999999</v>
      </c>
      <c r="P806" s="20">
        <v>1.1682999999999999</v>
      </c>
      <c r="Q806" s="20">
        <v>1.2286999999999999</v>
      </c>
      <c r="R806" s="20">
        <v>1.2869999999999999</v>
      </c>
      <c r="S806" s="20">
        <v>1.3431999999999999</v>
      </c>
      <c r="T806" s="20">
        <v>1.3975</v>
      </c>
      <c r="U806" s="20">
        <v>1.4500999999999999</v>
      </c>
      <c r="V806" s="20">
        <v>1.5008999999999999</v>
      </c>
      <c r="W806"/>
      <c r="X806"/>
      <c r="Y806"/>
      <c r="Z806"/>
    </row>
    <row r="807" spans="1:26" x14ac:dyDescent="0.2">
      <c r="A807" s="19">
        <v>0.80100000000000005</v>
      </c>
      <c r="B807" s="20">
        <v>0</v>
      </c>
      <c r="C807" s="20">
        <v>0.1105</v>
      </c>
      <c r="D807" s="20">
        <v>0.21560000000000001</v>
      </c>
      <c r="E807" s="20">
        <v>0.31580000000000003</v>
      </c>
      <c r="F807" s="20">
        <v>0.41139999999999999</v>
      </c>
      <c r="G807" s="20">
        <v>0.50260000000000005</v>
      </c>
      <c r="H807" s="20">
        <v>0.58979999999999999</v>
      </c>
      <c r="I807" s="20">
        <v>0.67310000000000003</v>
      </c>
      <c r="J807" s="20">
        <v>0.75290000000000001</v>
      </c>
      <c r="K807" s="20">
        <v>0.82940000000000003</v>
      </c>
      <c r="L807" s="20">
        <v>0.90269999999999995</v>
      </c>
      <c r="M807" s="20">
        <v>0.97309999999999997</v>
      </c>
      <c r="N807" s="20">
        <v>1.0407999999999999</v>
      </c>
      <c r="O807" s="20">
        <v>1.1059000000000001</v>
      </c>
      <c r="P807" s="20">
        <v>1.1686000000000001</v>
      </c>
      <c r="Q807" s="20">
        <v>1.2290000000000001</v>
      </c>
      <c r="R807" s="20">
        <v>1.2873000000000001</v>
      </c>
      <c r="S807" s="20">
        <v>1.3434999999999999</v>
      </c>
      <c r="T807" s="20">
        <v>1.3978999999999999</v>
      </c>
      <c r="U807" s="20">
        <v>1.4503999999999999</v>
      </c>
      <c r="V807" s="20">
        <v>1.5012000000000001</v>
      </c>
      <c r="W807"/>
      <c r="X807"/>
      <c r="Y807"/>
      <c r="Z807"/>
    </row>
    <row r="808" spans="1:26" x14ac:dyDescent="0.2">
      <c r="A808" s="19">
        <v>0.80200000000000005</v>
      </c>
      <c r="B808" s="20">
        <v>0</v>
      </c>
      <c r="C808" s="20">
        <v>0.1105</v>
      </c>
      <c r="D808" s="20">
        <v>0.2157</v>
      </c>
      <c r="E808" s="20">
        <v>0.31590000000000001</v>
      </c>
      <c r="F808" s="20">
        <v>0.41149999999999998</v>
      </c>
      <c r="G808" s="20">
        <v>0.50280000000000002</v>
      </c>
      <c r="H808" s="20">
        <v>0.59</v>
      </c>
      <c r="I808" s="20">
        <v>0.67330000000000001</v>
      </c>
      <c r="J808" s="20">
        <v>0.75309999999999999</v>
      </c>
      <c r="K808" s="20">
        <v>0.8296</v>
      </c>
      <c r="L808" s="20">
        <v>0.90300000000000002</v>
      </c>
      <c r="M808" s="20">
        <v>0.97340000000000004</v>
      </c>
      <c r="N808" s="20">
        <v>1.0410999999999999</v>
      </c>
      <c r="O808" s="20">
        <v>1.1062000000000001</v>
      </c>
      <c r="P808" s="20">
        <v>1.1689000000000001</v>
      </c>
      <c r="Q808" s="20">
        <v>1.2294</v>
      </c>
      <c r="R808" s="20">
        <v>1.2876000000000001</v>
      </c>
      <c r="S808" s="20">
        <v>1.3439000000000001</v>
      </c>
      <c r="T808" s="20">
        <v>1.3982000000000001</v>
      </c>
      <c r="U808" s="20">
        <v>1.4507000000000001</v>
      </c>
      <c r="V808" s="20">
        <v>1.5016</v>
      </c>
      <c r="W808"/>
      <c r="X808"/>
      <c r="Y808"/>
      <c r="Z808"/>
    </row>
    <row r="809" spans="1:26" x14ac:dyDescent="0.2">
      <c r="A809" s="19">
        <v>0.80300000000000005</v>
      </c>
      <c r="B809" s="20">
        <v>0</v>
      </c>
      <c r="C809" s="20">
        <v>0.1105</v>
      </c>
      <c r="D809" s="20">
        <v>0.21579999999999999</v>
      </c>
      <c r="E809" s="20">
        <v>0.316</v>
      </c>
      <c r="F809" s="20">
        <v>0.41170000000000001</v>
      </c>
      <c r="G809" s="20">
        <v>0.50290000000000001</v>
      </c>
      <c r="H809" s="20">
        <v>0.59009999999999996</v>
      </c>
      <c r="I809" s="20">
        <v>0.67349999999999999</v>
      </c>
      <c r="J809" s="20">
        <v>0.75339999999999996</v>
      </c>
      <c r="K809" s="20">
        <v>0.82989999999999997</v>
      </c>
      <c r="L809" s="20">
        <v>0.90329999999999999</v>
      </c>
      <c r="M809" s="20">
        <v>0.97370000000000001</v>
      </c>
      <c r="N809" s="20">
        <v>1.0414000000000001</v>
      </c>
      <c r="O809" s="20">
        <v>1.1065</v>
      </c>
      <c r="P809" s="20">
        <v>1.1693</v>
      </c>
      <c r="Q809" s="20">
        <v>1.2297</v>
      </c>
      <c r="R809" s="20">
        <v>1.288</v>
      </c>
      <c r="S809" s="20">
        <v>1.3442000000000001</v>
      </c>
      <c r="T809" s="20">
        <v>1.3986000000000001</v>
      </c>
      <c r="U809" s="20">
        <v>1.4511000000000001</v>
      </c>
      <c r="V809" s="20">
        <v>1.5019</v>
      </c>
      <c r="W809"/>
      <c r="X809"/>
      <c r="Y809"/>
      <c r="Z809"/>
    </row>
    <row r="810" spans="1:26" x14ac:dyDescent="0.2">
      <c r="A810" s="19">
        <v>0.80400000000000005</v>
      </c>
      <c r="B810" s="20">
        <v>0</v>
      </c>
      <c r="C810" s="20">
        <v>0.1106</v>
      </c>
      <c r="D810" s="20">
        <v>0.21579999999999999</v>
      </c>
      <c r="E810" s="20">
        <v>0.31609999999999999</v>
      </c>
      <c r="F810" s="20">
        <v>0.4118</v>
      </c>
      <c r="G810" s="20">
        <v>0.50309999999999999</v>
      </c>
      <c r="H810" s="20">
        <v>0.59030000000000005</v>
      </c>
      <c r="I810" s="20">
        <v>0.67369999999999997</v>
      </c>
      <c r="J810" s="20">
        <v>0.75360000000000005</v>
      </c>
      <c r="K810" s="20">
        <v>0.83009999999999995</v>
      </c>
      <c r="L810" s="20">
        <v>0.90349999999999997</v>
      </c>
      <c r="M810" s="20">
        <v>0.97399999999999998</v>
      </c>
      <c r="N810" s="20">
        <v>1.0417000000000001</v>
      </c>
      <c r="O810" s="20">
        <v>1.1069</v>
      </c>
      <c r="P810" s="20">
        <v>1.1696</v>
      </c>
      <c r="Q810" s="20">
        <v>1.23</v>
      </c>
      <c r="R810" s="20">
        <v>1.2883</v>
      </c>
      <c r="S810" s="20">
        <v>1.3446</v>
      </c>
      <c r="T810" s="20">
        <v>1.3989</v>
      </c>
      <c r="U810" s="20">
        <v>1.4514</v>
      </c>
      <c r="V810" s="20">
        <v>1.5023</v>
      </c>
      <c r="W810"/>
      <c r="X810"/>
      <c r="Y810"/>
      <c r="Z810"/>
    </row>
    <row r="811" spans="1:26" x14ac:dyDescent="0.2">
      <c r="A811" s="19">
        <v>0.80500000000000005</v>
      </c>
      <c r="B811" s="20">
        <v>0</v>
      </c>
      <c r="C811" s="20">
        <v>0.1106</v>
      </c>
      <c r="D811" s="20">
        <v>0.21590000000000001</v>
      </c>
      <c r="E811" s="20">
        <v>0.31619999999999998</v>
      </c>
      <c r="F811" s="20">
        <v>0.41189999999999999</v>
      </c>
      <c r="G811" s="20">
        <v>0.50319999999999998</v>
      </c>
      <c r="H811" s="20">
        <v>0.59050000000000002</v>
      </c>
      <c r="I811" s="20">
        <v>0.67400000000000004</v>
      </c>
      <c r="J811" s="20">
        <v>0.75380000000000003</v>
      </c>
      <c r="K811" s="20">
        <v>0.83040000000000003</v>
      </c>
      <c r="L811" s="20">
        <v>0.90380000000000005</v>
      </c>
      <c r="M811" s="20">
        <v>0.97430000000000005</v>
      </c>
      <c r="N811" s="20">
        <v>1.042</v>
      </c>
      <c r="O811" s="20">
        <v>1.1072</v>
      </c>
      <c r="P811" s="20">
        <v>1.1698999999999999</v>
      </c>
      <c r="Q811" s="20">
        <v>1.2302999999999999</v>
      </c>
      <c r="R811" s="20">
        <v>1.2886</v>
      </c>
      <c r="S811" s="20">
        <v>1.3449</v>
      </c>
      <c r="T811" s="20">
        <v>1.3992</v>
      </c>
      <c r="U811" s="20">
        <v>1.4518</v>
      </c>
      <c r="V811" s="20">
        <v>1.5025999999999999</v>
      </c>
      <c r="W811"/>
      <c r="X811"/>
      <c r="Y811"/>
      <c r="Z811"/>
    </row>
    <row r="812" spans="1:26" x14ac:dyDescent="0.2">
      <c r="A812" s="19">
        <v>0.80600000000000005</v>
      </c>
      <c r="B812" s="20">
        <v>0</v>
      </c>
      <c r="C812" s="20">
        <v>0.1106</v>
      </c>
      <c r="D812" s="20">
        <v>0.216</v>
      </c>
      <c r="E812" s="20">
        <v>0.31630000000000003</v>
      </c>
      <c r="F812" s="20">
        <v>0.41199999999999998</v>
      </c>
      <c r="G812" s="20">
        <v>0.50339999999999996</v>
      </c>
      <c r="H812" s="20">
        <v>0.5907</v>
      </c>
      <c r="I812" s="20">
        <v>0.67420000000000002</v>
      </c>
      <c r="J812" s="20">
        <v>0.75409999999999999</v>
      </c>
      <c r="K812" s="20">
        <v>0.8306</v>
      </c>
      <c r="L812" s="20">
        <v>0.90410000000000001</v>
      </c>
      <c r="M812" s="20">
        <v>0.97460000000000002</v>
      </c>
      <c r="N812" s="20">
        <v>1.0423</v>
      </c>
      <c r="O812" s="20">
        <v>1.1074999999999999</v>
      </c>
      <c r="P812" s="20">
        <v>1.1701999999999999</v>
      </c>
      <c r="Q812" s="20">
        <v>1.2306999999999999</v>
      </c>
      <c r="R812" s="20">
        <v>1.2889999999999999</v>
      </c>
      <c r="S812" s="20">
        <v>1.3452</v>
      </c>
      <c r="T812" s="20">
        <v>1.3996</v>
      </c>
      <c r="U812" s="20">
        <v>1.4520999999999999</v>
      </c>
      <c r="V812" s="20">
        <v>1.5028999999999999</v>
      </c>
      <c r="W812"/>
      <c r="X812"/>
      <c r="Y812"/>
      <c r="Z812"/>
    </row>
    <row r="813" spans="1:26" x14ac:dyDescent="0.2">
      <c r="A813" s="19">
        <v>0.80700000000000005</v>
      </c>
      <c r="B813" s="20">
        <v>0</v>
      </c>
      <c r="C813" s="20">
        <v>0.11070000000000001</v>
      </c>
      <c r="D813" s="20">
        <v>0.216</v>
      </c>
      <c r="E813" s="20">
        <v>0.31640000000000001</v>
      </c>
      <c r="F813" s="20">
        <v>0.41220000000000001</v>
      </c>
      <c r="G813" s="20">
        <v>0.50360000000000005</v>
      </c>
      <c r="H813" s="20">
        <v>0.59089999999999998</v>
      </c>
      <c r="I813" s="20">
        <v>0.6744</v>
      </c>
      <c r="J813" s="20">
        <v>0.75429999999999997</v>
      </c>
      <c r="K813" s="20">
        <v>0.83089999999999997</v>
      </c>
      <c r="L813" s="20">
        <v>0.90429999999999999</v>
      </c>
      <c r="M813" s="20">
        <v>0.9748</v>
      </c>
      <c r="N813" s="20">
        <v>1.0426</v>
      </c>
      <c r="O813" s="20">
        <v>1.1077999999999999</v>
      </c>
      <c r="P813" s="20">
        <v>1.1705000000000001</v>
      </c>
      <c r="Q813" s="20">
        <v>1.2310000000000001</v>
      </c>
      <c r="R813" s="20">
        <v>1.2892999999999999</v>
      </c>
      <c r="S813" s="20">
        <v>1.3455999999999999</v>
      </c>
      <c r="T813" s="20">
        <v>1.3998999999999999</v>
      </c>
      <c r="U813" s="20">
        <v>1.4524999999999999</v>
      </c>
      <c r="V813" s="20">
        <v>1.5033000000000001</v>
      </c>
      <c r="W813"/>
      <c r="X813"/>
      <c r="Y813"/>
      <c r="Z813"/>
    </row>
    <row r="814" spans="1:26" x14ac:dyDescent="0.2">
      <c r="A814" s="19">
        <v>0.80800000000000005</v>
      </c>
      <c r="B814" s="20">
        <v>0</v>
      </c>
      <c r="C814" s="20">
        <v>0.11070000000000001</v>
      </c>
      <c r="D814" s="20">
        <v>0.21609999999999999</v>
      </c>
      <c r="E814" s="20">
        <v>0.3165</v>
      </c>
      <c r="F814" s="20">
        <v>0.4123</v>
      </c>
      <c r="G814" s="20">
        <v>0.50370000000000004</v>
      </c>
      <c r="H814" s="20">
        <v>0.59109999999999996</v>
      </c>
      <c r="I814" s="20">
        <v>0.67459999999999998</v>
      </c>
      <c r="J814" s="20">
        <v>0.75449999999999995</v>
      </c>
      <c r="K814" s="20">
        <v>0.83109999999999995</v>
      </c>
      <c r="L814" s="20">
        <v>0.90459999999999996</v>
      </c>
      <c r="M814" s="20">
        <v>0.97509999999999997</v>
      </c>
      <c r="N814" s="20">
        <v>1.0428999999999999</v>
      </c>
      <c r="O814" s="20">
        <v>1.1081000000000001</v>
      </c>
      <c r="P814" s="20">
        <v>1.1708000000000001</v>
      </c>
      <c r="Q814" s="20">
        <v>1.2313000000000001</v>
      </c>
      <c r="R814" s="20">
        <v>1.2896000000000001</v>
      </c>
      <c r="S814" s="20">
        <v>1.3459000000000001</v>
      </c>
      <c r="T814" s="20">
        <v>1.4003000000000001</v>
      </c>
      <c r="U814" s="20">
        <v>1.4528000000000001</v>
      </c>
      <c r="V814" s="20">
        <v>1.5036</v>
      </c>
      <c r="W814"/>
      <c r="X814"/>
      <c r="Y814"/>
      <c r="Z814"/>
    </row>
    <row r="815" spans="1:26" x14ac:dyDescent="0.2">
      <c r="A815" s="19">
        <v>0.80900000000000005</v>
      </c>
      <c r="B815" s="20">
        <v>0</v>
      </c>
      <c r="C815" s="20">
        <v>0.11070000000000001</v>
      </c>
      <c r="D815" s="20">
        <v>0.2162</v>
      </c>
      <c r="E815" s="20">
        <v>0.31659999999999999</v>
      </c>
      <c r="F815" s="20">
        <v>0.41239999999999999</v>
      </c>
      <c r="G815" s="20">
        <v>0.50390000000000001</v>
      </c>
      <c r="H815" s="20">
        <v>0.59119999999999995</v>
      </c>
      <c r="I815" s="20">
        <v>0.67479999999999996</v>
      </c>
      <c r="J815" s="20">
        <v>0.75470000000000004</v>
      </c>
      <c r="K815" s="20">
        <v>0.83140000000000003</v>
      </c>
      <c r="L815" s="20">
        <v>0.90490000000000004</v>
      </c>
      <c r="M815" s="20">
        <v>0.97540000000000004</v>
      </c>
      <c r="N815" s="20">
        <v>1.0431999999999999</v>
      </c>
      <c r="O815" s="20">
        <v>1.1084000000000001</v>
      </c>
      <c r="P815" s="20">
        <v>1.1712</v>
      </c>
      <c r="Q815" s="20">
        <v>1.2316</v>
      </c>
      <c r="R815" s="20">
        <v>1.29</v>
      </c>
      <c r="S815" s="20">
        <v>1.3463000000000001</v>
      </c>
      <c r="T815" s="20">
        <v>1.4006000000000001</v>
      </c>
      <c r="U815" s="20">
        <v>1.4532</v>
      </c>
      <c r="V815" s="20">
        <v>1.504</v>
      </c>
      <c r="W815"/>
      <c r="X815"/>
      <c r="Y815"/>
      <c r="Z815"/>
    </row>
    <row r="816" spans="1:26" x14ac:dyDescent="0.2">
      <c r="A816" s="19">
        <v>0.81</v>
      </c>
      <c r="B816" s="20">
        <v>0</v>
      </c>
      <c r="C816" s="20">
        <v>0.1108</v>
      </c>
      <c r="D816" s="20">
        <v>0.2162</v>
      </c>
      <c r="E816" s="20">
        <v>0.31669999999999998</v>
      </c>
      <c r="F816" s="20">
        <v>0.41260000000000002</v>
      </c>
      <c r="G816" s="20">
        <v>0.504</v>
      </c>
      <c r="H816" s="20">
        <v>0.59140000000000004</v>
      </c>
      <c r="I816" s="20">
        <v>0.67500000000000004</v>
      </c>
      <c r="J816" s="20">
        <v>0.755</v>
      </c>
      <c r="K816" s="20">
        <v>0.83160000000000001</v>
      </c>
      <c r="L816" s="20">
        <v>0.90510000000000002</v>
      </c>
      <c r="M816" s="20">
        <v>0.97570000000000001</v>
      </c>
      <c r="N816" s="20">
        <v>1.0435000000000001</v>
      </c>
      <c r="O816" s="20">
        <v>1.1087</v>
      </c>
      <c r="P816" s="20">
        <v>1.1715</v>
      </c>
      <c r="Q816" s="20">
        <v>1.232</v>
      </c>
      <c r="R816" s="20">
        <v>1.2903</v>
      </c>
      <c r="S816" s="20">
        <v>1.3466</v>
      </c>
      <c r="T816" s="20">
        <v>1.401</v>
      </c>
      <c r="U816" s="20">
        <v>1.4535</v>
      </c>
      <c r="V816" s="20">
        <v>1.5043</v>
      </c>
      <c r="W816"/>
      <c r="X816"/>
      <c r="Y816"/>
      <c r="Z816"/>
    </row>
    <row r="817" spans="1:26" x14ac:dyDescent="0.2">
      <c r="A817" s="19">
        <v>0.81100000000000005</v>
      </c>
      <c r="B817" s="20">
        <v>0</v>
      </c>
      <c r="C817" s="20">
        <v>0.1108</v>
      </c>
      <c r="D817" s="20">
        <v>0.21629999999999999</v>
      </c>
      <c r="E817" s="20">
        <v>0.31680000000000003</v>
      </c>
      <c r="F817" s="20">
        <v>0.41270000000000001</v>
      </c>
      <c r="G817" s="20">
        <v>0.50419999999999998</v>
      </c>
      <c r="H817" s="20">
        <v>0.59160000000000001</v>
      </c>
      <c r="I817" s="20">
        <v>0.67520000000000002</v>
      </c>
      <c r="J817" s="20">
        <v>0.75519999999999998</v>
      </c>
      <c r="K817" s="20">
        <v>0.83189999999999997</v>
      </c>
      <c r="L817" s="20">
        <v>0.90539999999999998</v>
      </c>
      <c r="M817" s="20">
        <v>0.97599999999999998</v>
      </c>
      <c r="N817" s="20">
        <v>1.0438000000000001</v>
      </c>
      <c r="O817" s="20">
        <v>1.109</v>
      </c>
      <c r="P817" s="20">
        <v>1.1718</v>
      </c>
      <c r="Q817" s="20">
        <v>1.2323</v>
      </c>
      <c r="R817" s="20">
        <v>1.2906</v>
      </c>
      <c r="S817" s="20">
        <v>1.3469</v>
      </c>
      <c r="T817" s="20">
        <v>1.4013</v>
      </c>
      <c r="U817" s="20">
        <v>1.4539</v>
      </c>
      <c r="V817" s="20">
        <v>1.5046999999999999</v>
      </c>
      <c r="W817"/>
      <c r="X817"/>
      <c r="Y817"/>
      <c r="Z817"/>
    </row>
    <row r="818" spans="1:26" x14ac:dyDescent="0.2">
      <c r="A818" s="19">
        <v>0.81200000000000006</v>
      </c>
      <c r="B818" s="20">
        <v>0</v>
      </c>
      <c r="C818" s="20">
        <v>0.1109</v>
      </c>
      <c r="D818" s="20">
        <v>0.21640000000000001</v>
      </c>
      <c r="E818" s="20">
        <v>0.31690000000000002</v>
      </c>
      <c r="F818" s="20">
        <v>0.4128</v>
      </c>
      <c r="G818" s="20">
        <v>0.50429999999999997</v>
      </c>
      <c r="H818" s="20">
        <v>0.59179999999999999</v>
      </c>
      <c r="I818" s="20">
        <v>0.6754</v>
      </c>
      <c r="J818" s="20">
        <v>0.75539999999999996</v>
      </c>
      <c r="K818" s="20">
        <v>0.83209999999999995</v>
      </c>
      <c r="L818" s="20">
        <v>0.90559999999999996</v>
      </c>
      <c r="M818" s="20">
        <v>0.97619999999999996</v>
      </c>
      <c r="N818" s="20">
        <v>1.0441</v>
      </c>
      <c r="O818" s="20">
        <v>1.1093</v>
      </c>
      <c r="P818" s="20">
        <v>1.1720999999999999</v>
      </c>
      <c r="Q818" s="20">
        <v>1.2325999999999999</v>
      </c>
      <c r="R818" s="20">
        <v>1.2909999999999999</v>
      </c>
      <c r="S818" s="20">
        <v>1.3472999999999999</v>
      </c>
      <c r="T818" s="20">
        <v>1.4016</v>
      </c>
      <c r="U818" s="20">
        <v>1.4541999999999999</v>
      </c>
      <c r="V818" s="20">
        <v>1.5049999999999999</v>
      </c>
      <c r="W818"/>
      <c r="X818"/>
      <c r="Y818"/>
      <c r="Z818"/>
    </row>
    <row r="819" spans="1:26" x14ac:dyDescent="0.2">
      <c r="A819" s="19">
        <v>0.81299999999999994</v>
      </c>
      <c r="B819" s="20">
        <v>0</v>
      </c>
      <c r="C819" s="20">
        <v>0.1109</v>
      </c>
      <c r="D819" s="20">
        <v>0.2165</v>
      </c>
      <c r="E819" s="20">
        <v>0.317</v>
      </c>
      <c r="F819" s="20">
        <v>0.41289999999999999</v>
      </c>
      <c r="G819" s="20">
        <v>0.50449999999999995</v>
      </c>
      <c r="H819" s="20">
        <v>0.59199999999999997</v>
      </c>
      <c r="I819" s="20">
        <v>0.67559999999999998</v>
      </c>
      <c r="J819" s="20">
        <v>0.75570000000000004</v>
      </c>
      <c r="K819" s="20">
        <v>0.83240000000000003</v>
      </c>
      <c r="L819" s="20">
        <v>0.90590000000000004</v>
      </c>
      <c r="M819" s="20">
        <v>0.97650000000000003</v>
      </c>
      <c r="N819" s="20">
        <v>1.0444</v>
      </c>
      <c r="O819" s="20">
        <v>1.1095999999999999</v>
      </c>
      <c r="P819" s="20">
        <v>1.1724000000000001</v>
      </c>
      <c r="Q819" s="20">
        <v>1.2329000000000001</v>
      </c>
      <c r="R819" s="20">
        <v>1.2912999999999999</v>
      </c>
      <c r="S819" s="20">
        <v>1.3475999999999999</v>
      </c>
      <c r="T819" s="20">
        <v>1.4019999999999999</v>
      </c>
      <c r="U819" s="20">
        <v>1.4544999999999999</v>
      </c>
      <c r="V819" s="20">
        <v>1.5054000000000001</v>
      </c>
      <c r="W819"/>
      <c r="X819"/>
      <c r="Y819"/>
      <c r="Z819"/>
    </row>
    <row r="820" spans="1:26" x14ac:dyDescent="0.2">
      <c r="A820" s="19">
        <v>0.81399999999999995</v>
      </c>
      <c r="B820" s="20">
        <v>0</v>
      </c>
      <c r="C820" s="20">
        <v>0.1109</v>
      </c>
      <c r="D820" s="20">
        <v>0.2165</v>
      </c>
      <c r="E820" s="20">
        <v>0.31709999999999999</v>
      </c>
      <c r="F820" s="20">
        <v>0.41310000000000002</v>
      </c>
      <c r="G820" s="20">
        <v>0.50470000000000004</v>
      </c>
      <c r="H820" s="20">
        <v>0.59209999999999996</v>
      </c>
      <c r="I820" s="20">
        <v>0.67579999999999996</v>
      </c>
      <c r="J820" s="20">
        <v>0.75590000000000002</v>
      </c>
      <c r="K820" s="20">
        <v>0.83260000000000001</v>
      </c>
      <c r="L820" s="20">
        <v>0.90620000000000001</v>
      </c>
      <c r="M820" s="20">
        <v>0.9768</v>
      </c>
      <c r="N820" s="20">
        <v>1.0447</v>
      </c>
      <c r="O820" s="20">
        <v>1.1099000000000001</v>
      </c>
      <c r="P820" s="20">
        <v>1.1727000000000001</v>
      </c>
      <c r="Q820" s="20">
        <v>1.2333000000000001</v>
      </c>
      <c r="R820" s="20">
        <v>1.2916000000000001</v>
      </c>
      <c r="S820" s="20">
        <v>1.3479000000000001</v>
      </c>
      <c r="T820" s="20">
        <v>1.4023000000000001</v>
      </c>
      <c r="U820" s="20">
        <v>1.4549000000000001</v>
      </c>
      <c r="V820" s="20">
        <v>1.5057</v>
      </c>
      <c r="W820"/>
      <c r="X820"/>
      <c r="Y820"/>
      <c r="Z820"/>
    </row>
    <row r="821" spans="1:26" x14ac:dyDescent="0.2">
      <c r="A821" s="19">
        <v>0.81499999999999995</v>
      </c>
      <c r="B821" s="20">
        <v>0</v>
      </c>
      <c r="C821" s="20">
        <v>0.111</v>
      </c>
      <c r="D821" s="20">
        <v>0.21659999999999999</v>
      </c>
      <c r="E821" s="20">
        <v>0.31719999999999998</v>
      </c>
      <c r="F821" s="20">
        <v>0.41320000000000001</v>
      </c>
      <c r="G821" s="20">
        <v>0.50480000000000003</v>
      </c>
      <c r="H821" s="20">
        <v>0.59230000000000005</v>
      </c>
      <c r="I821" s="20">
        <v>0.67600000000000005</v>
      </c>
      <c r="J821" s="20">
        <v>0.75609999999999999</v>
      </c>
      <c r="K821" s="20">
        <v>0.83279999999999998</v>
      </c>
      <c r="L821" s="20">
        <v>0.90639999999999998</v>
      </c>
      <c r="M821" s="20">
        <v>0.97709999999999997</v>
      </c>
      <c r="N821" s="20">
        <v>1.0449999999999999</v>
      </c>
      <c r="O821" s="20">
        <v>1.1102000000000001</v>
      </c>
      <c r="P821" s="20">
        <v>1.1731</v>
      </c>
      <c r="Q821" s="20">
        <v>1.2336</v>
      </c>
      <c r="R821" s="20">
        <v>1.2919</v>
      </c>
      <c r="S821" s="20">
        <v>1.3483000000000001</v>
      </c>
      <c r="T821" s="20">
        <v>1.4027000000000001</v>
      </c>
      <c r="U821" s="20">
        <v>1.4552</v>
      </c>
      <c r="V821" s="20">
        <v>1.506</v>
      </c>
      <c r="W821"/>
      <c r="X821"/>
      <c r="Y821"/>
      <c r="Z821"/>
    </row>
    <row r="822" spans="1:26" x14ac:dyDescent="0.2">
      <c r="A822" s="19">
        <v>0.81599999999999995</v>
      </c>
      <c r="B822" s="20">
        <v>0</v>
      </c>
      <c r="C822" s="20">
        <v>0.111</v>
      </c>
      <c r="D822" s="20">
        <v>0.2167</v>
      </c>
      <c r="E822" s="20">
        <v>0.31730000000000003</v>
      </c>
      <c r="F822" s="20">
        <v>0.4133</v>
      </c>
      <c r="G822" s="20">
        <v>0.505</v>
      </c>
      <c r="H822" s="20">
        <v>0.59250000000000003</v>
      </c>
      <c r="I822" s="20">
        <v>0.67620000000000002</v>
      </c>
      <c r="J822" s="20">
        <v>0.75629999999999997</v>
      </c>
      <c r="K822" s="20">
        <v>0.83309999999999995</v>
      </c>
      <c r="L822" s="20">
        <v>0.90669999999999995</v>
      </c>
      <c r="M822" s="20">
        <v>0.97740000000000005</v>
      </c>
      <c r="N822" s="20">
        <v>1.0451999999999999</v>
      </c>
      <c r="O822" s="20">
        <v>1.1105</v>
      </c>
      <c r="P822" s="20">
        <v>1.1734</v>
      </c>
      <c r="Q822" s="20">
        <v>1.2339</v>
      </c>
      <c r="R822" s="20">
        <v>1.2923</v>
      </c>
      <c r="S822" s="20">
        <v>1.3486</v>
      </c>
      <c r="T822" s="20">
        <v>1.403</v>
      </c>
      <c r="U822" s="20">
        <v>1.4556</v>
      </c>
      <c r="V822" s="20">
        <v>1.5064</v>
      </c>
      <c r="W822"/>
      <c r="X822"/>
      <c r="Y822"/>
      <c r="Z822"/>
    </row>
    <row r="823" spans="1:26" x14ac:dyDescent="0.2">
      <c r="A823" s="19">
        <v>0.81699999999999995</v>
      </c>
      <c r="B823" s="20">
        <v>0</v>
      </c>
      <c r="C823" s="20">
        <v>0.111</v>
      </c>
      <c r="D823" s="20">
        <v>0.2167</v>
      </c>
      <c r="E823" s="20">
        <v>0.31740000000000002</v>
      </c>
      <c r="F823" s="20">
        <v>0.41349999999999998</v>
      </c>
      <c r="G823" s="20">
        <v>0.50509999999999999</v>
      </c>
      <c r="H823" s="20">
        <v>0.5927</v>
      </c>
      <c r="I823" s="20">
        <v>0.6764</v>
      </c>
      <c r="J823" s="20">
        <v>0.75660000000000005</v>
      </c>
      <c r="K823" s="20">
        <v>0.83330000000000004</v>
      </c>
      <c r="L823" s="20">
        <v>0.90700000000000003</v>
      </c>
      <c r="M823" s="20">
        <v>0.97760000000000002</v>
      </c>
      <c r="N823" s="20">
        <v>1.0455000000000001</v>
      </c>
      <c r="O823" s="20">
        <v>1.1108</v>
      </c>
      <c r="P823" s="20">
        <v>1.1737</v>
      </c>
      <c r="Q823" s="20">
        <v>1.2342</v>
      </c>
      <c r="R823" s="20">
        <v>1.2926</v>
      </c>
      <c r="S823" s="20">
        <v>1.3489</v>
      </c>
      <c r="T823" s="20">
        <v>1.4033</v>
      </c>
      <c r="U823" s="20">
        <v>1.4559</v>
      </c>
      <c r="V823" s="20">
        <v>1.5066999999999999</v>
      </c>
      <c r="W823"/>
      <c r="X823"/>
      <c r="Y823"/>
      <c r="Z823"/>
    </row>
    <row r="824" spans="1:26" x14ac:dyDescent="0.2">
      <c r="A824" s="19">
        <v>0.81799999999999995</v>
      </c>
      <c r="B824" s="20">
        <v>0</v>
      </c>
      <c r="C824" s="20">
        <v>0.1111</v>
      </c>
      <c r="D824" s="20">
        <v>0.21679999999999999</v>
      </c>
      <c r="E824" s="20">
        <v>0.3175</v>
      </c>
      <c r="F824" s="20">
        <v>0.41360000000000002</v>
      </c>
      <c r="G824" s="20">
        <v>0.50529999999999997</v>
      </c>
      <c r="H824" s="20">
        <v>0.59289999999999998</v>
      </c>
      <c r="I824" s="20">
        <v>0.67659999999999998</v>
      </c>
      <c r="J824" s="20">
        <v>0.75680000000000003</v>
      </c>
      <c r="K824" s="20">
        <v>0.83360000000000001</v>
      </c>
      <c r="L824" s="20">
        <v>0.90720000000000001</v>
      </c>
      <c r="M824" s="20">
        <v>0.97789999999999999</v>
      </c>
      <c r="N824" s="20">
        <v>1.0458000000000001</v>
      </c>
      <c r="O824" s="20">
        <v>1.1111</v>
      </c>
      <c r="P824" s="20">
        <v>1.1739999999999999</v>
      </c>
      <c r="Q824" s="20">
        <v>1.2344999999999999</v>
      </c>
      <c r="R824" s="20">
        <v>1.2928999999999999</v>
      </c>
      <c r="S824" s="20">
        <v>1.3492999999999999</v>
      </c>
      <c r="T824" s="20">
        <v>1.4036999999999999</v>
      </c>
      <c r="U824" s="20">
        <v>1.4561999999999999</v>
      </c>
      <c r="V824" s="20">
        <v>1.5071000000000001</v>
      </c>
      <c r="W824"/>
      <c r="X824"/>
      <c r="Y824"/>
      <c r="Z824"/>
    </row>
    <row r="825" spans="1:26" x14ac:dyDescent="0.2">
      <c r="A825" s="19">
        <v>0.81899999999999995</v>
      </c>
      <c r="B825" s="20">
        <v>0</v>
      </c>
      <c r="C825" s="20">
        <v>0.1111</v>
      </c>
      <c r="D825" s="20">
        <v>0.21690000000000001</v>
      </c>
      <c r="E825" s="20">
        <v>0.31759999999999999</v>
      </c>
      <c r="F825" s="20">
        <v>0.41370000000000001</v>
      </c>
      <c r="G825" s="20">
        <v>0.50539999999999996</v>
      </c>
      <c r="H825" s="20">
        <v>0.59299999999999997</v>
      </c>
      <c r="I825" s="20">
        <v>0.67679999999999996</v>
      </c>
      <c r="J825" s="20">
        <v>0.75700000000000001</v>
      </c>
      <c r="K825" s="20">
        <v>0.83379999999999999</v>
      </c>
      <c r="L825" s="20">
        <v>0.90749999999999997</v>
      </c>
      <c r="M825" s="20">
        <v>0.97819999999999996</v>
      </c>
      <c r="N825" s="20">
        <v>1.0461</v>
      </c>
      <c r="O825" s="20">
        <v>1.1113999999999999</v>
      </c>
      <c r="P825" s="20">
        <v>1.1742999999999999</v>
      </c>
      <c r="Q825" s="20">
        <v>1.2349000000000001</v>
      </c>
      <c r="R825" s="20">
        <v>1.2932999999999999</v>
      </c>
      <c r="S825" s="20">
        <v>1.3495999999999999</v>
      </c>
      <c r="T825" s="20">
        <v>1.4039999999999999</v>
      </c>
      <c r="U825" s="20">
        <v>1.4565999999999999</v>
      </c>
      <c r="V825" s="20">
        <v>1.5074000000000001</v>
      </c>
      <c r="W825"/>
      <c r="X825"/>
      <c r="Y825"/>
      <c r="Z825"/>
    </row>
    <row r="826" spans="1:26" x14ac:dyDescent="0.2">
      <c r="A826" s="19">
        <v>0.82</v>
      </c>
      <c r="B826" s="20">
        <v>0</v>
      </c>
      <c r="C826" s="20">
        <v>0.1111</v>
      </c>
      <c r="D826" s="20">
        <v>0.21690000000000001</v>
      </c>
      <c r="E826" s="20">
        <v>0.31769999999999998</v>
      </c>
      <c r="F826" s="20">
        <v>0.4138</v>
      </c>
      <c r="G826" s="20">
        <v>0.50560000000000005</v>
      </c>
      <c r="H826" s="20">
        <v>0.59319999999999995</v>
      </c>
      <c r="I826" s="20">
        <v>0.67700000000000005</v>
      </c>
      <c r="J826" s="20">
        <v>0.75719999999999998</v>
      </c>
      <c r="K826" s="20">
        <v>0.83409999999999995</v>
      </c>
      <c r="L826" s="20">
        <v>0.90769999999999995</v>
      </c>
      <c r="M826" s="20">
        <v>0.97850000000000004</v>
      </c>
      <c r="N826" s="20">
        <v>1.0464</v>
      </c>
      <c r="O826" s="20">
        <v>1.1116999999999999</v>
      </c>
      <c r="P826" s="20">
        <v>1.1746000000000001</v>
      </c>
      <c r="Q826" s="20">
        <v>1.2352000000000001</v>
      </c>
      <c r="R826" s="20">
        <v>1.2936000000000001</v>
      </c>
      <c r="S826" s="20">
        <v>1.3499000000000001</v>
      </c>
      <c r="T826" s="20">
        <v>1.4043000000000001</v>
      </c>
      <c r="U826" s="20">
        <v>1.4569000000000001</v>
      </c>
      <c r="V826" s="20">
        <v>1.5077</v>
      </c>
      <c r="W826"/>
      <c r="X826"/>
      <c r="Y826"/>
      <c r="Z826"/>
    </row>
    <row r="827" spans="1:26" x14ac:dyDescent="0.2">
      <c r="A827" s="19">
        <v>0.82099999999999995</v>
      </c>
      <c r="B827" s="20">
        <v>0</v>
      </c>
      <c r="C827" s="20">
        <v>0.11119999999999999</v>
      </c>
      <c r="D827" s="20">
        <v>0.217</v>
      </c>
      <c r="E827" s="20">
        <v>0.31780000000000003</v>
      </c>
      <c r="F827" s="20">
        <v>0.41399999999999998</v>
      </c>
      <c r="G827" s="20">
        <v>0.50570000000000004</v>
      </c>
      <c r="H827" s="20">
        <v>0.59340000000000004</v>
      </c>
      <c r="I827" s="20">
        <v>0.67720000000000002</v>
      </c>
      <c r="J827" s="20">
        <v>0.75739999999999996</v>
      </c>
      <c r="K827" s="20">
        <v>0.83430000000000004</v>
      </c>
      <c r="L827" s="20">
        <v>0.90800000000000003</v>
      </c>
      <c r="M827" s="20">
        <v>0.97870000000000001</v>
      </c>
      <c r="N827" s="20">
        <v>1.0467</v>
      </c>
      <c r="O827" s="20">
        <v>1.1120000000000001</v>
      </c>
      <c r="P827" s="20">
        <v>1.1749000000000001</v>
      </c>
      <c r="Q827" s="20">
        <v>1.2355</v>
      </c>
      <c r="R827" s="20">
        <v>1.2939000000000001</v>
      </c>
      <c r="S827" s="20">
        <v>1.3503000000000001</v>
      </c>
      <c r="T827" s="20">
        <v>1.4047000000000001</v>
      </c>
      <c r="U827" s="20">
        <v>1.4572000000000001</v>
      </c>
      <c r="V827" s="20">
        <v>1.5081</v>
      </c>
      <c r="W827"/>
      <c r="X827"/>
      <c r="Y827"/>
      <c r="Z827"/>
    </row>
    <row r="828" spans="1:26" x14ac:dyDescent="0.2">
      <c r="A828" s="19">
        <v>0.82199999999999995</v>
      </c>
      <c r="B828" s="20">
        <v>0</v>
      </c>
      <c r="C828" s="20">
        <v>0.11119999999999999</v>
      </c>
      <c r="D828" s="20">
        <v>0.21709999999999999</v>
      </c>
      <c r="E828" s="20">
        <v>0.31790000000000002</v>
      </c>
      <c r="F828" s="20">
        <v>0.41410000000000002</v>
      </c>
      <c r="G828" s="20">
        <v>0.50590000000000002</v>
      </c>
      <c r="H828" s="20">
        <v>0.59360000000000002</v>
      </c>
      <c r="I828" s="20">
        <v>0.6774</v>
      </c>
      <c r="J828" s="20">
        <v>0.75770000000000004</v>
      </c>
      <c r="K828" s="20">
        <v>0.83450000000000002</v>
      </c>
      <c r="L828" s="20">
        <v>0.9083</v>
      </c>
      <c r="M828" s="20">
        <v>0.97899999999999998</v>
      </c>
      <c r="N828" s="20">
        <v>1.0469999999999999</v>
      </c>
      <c r="O828" s="20">
        <v>1.1123000000000001</v>
      </c>
      <c r="P828" s="20">
        <v>1.1752</v>
      </c>
      <c r="Q828" s="20">
        <v>1.2358</v>
      </c>
      <c r="R828" s="20">
        <v>1.2942</v>
      </c>
      <c r="S828" s="20">
        <v>1.3506</v>
      </c>
      <c r="T828" s="20">
        <v>1.405</v>
      </c>
      <c r="U828" s="20">
        <v>1.4576</v>
      </c>
      <c r="V828" s="20">
        <v>1.5084</v>
      </c>
      <c r="W828"/>
      <c r="X828"/>
      <c r="Y828"/>
      <c r="Z828"/>
    </row>
    <row r="829" spans="1:26" x14ac:dyDescent="0.2">
      <c r="A829" s="19">
        <v>0.82299999999999995</v>
      </c>
      <c r="B829" s="20">
        <v>0</v>
      </c>
      <c r="C829" s="20">
        <v>0.11119999999999999</v>
      </c>
      <c r="D829" s="20">
        <v>0.21709999999999999</v>
      </c>
      <c r="E829" s="20">
        <v>0.318</v>
      </c>
      <c r="F829" s="20">
        <v>0.41420000000000001</v>
      </c>
      <c r="G829" s="20">
        <v>0.50600000000000001</v>
      </c>
      <c r="H829" s="20">
        <v>0.59379999999999999</v>
      </c>
      <c r="I829" s="20">
        <v>0.67759999999999998</v>
      </c>
      <c r="J829" s="20">
        <v>0.75790000000000002</v>
      </c>
      <c r="K829" s="20">
        <v>0.83479999999999999</v>
      </c>
      <c r="L829" s="20">
        <v>0.90849999999999997</v>
      </c>
      <c r="M829" s="20">
        <v>0.97929999999999995</v>
      </c>
      <c r="N829" s="20">
        <v>1.0472999999999999</v>
      </c>
      <c r="O829" s="20">
        <v>1.1126</v>
      </c>
      <c r="P829" s="20">
        <v>1.1755</v>
      </c>
      <c r="Q829" s="20">
        <v>1.2361</v>
      </c>
      <c r="R829" s="20">
        <v>1.2946</v>
      </c>
      <c r="S829" s="20">
        <v>1.3509</v>
      </c>
      <c r="T829" s="20">
        <v>1.4053</v>
      </c>
      <c r="U829" s="20">
        <v>1.4579</v>
      </c>
      <c r="V829" s="20">
        <v>1.5086999999999999</v>
      </c>
      <c r="W829"/>
      <c r="X829"/>
      <c r="Y829"/>
      <c r="Z829"/>
    </row>
    <row r="830" spans="1:26" x14ac:dyDescent="0.2">
      <c r="A830" s="19">
        <v>0.82399999999999995</v>
      </c>
      <c r="B830" s="20">
        <v>0</v>
      </c>
      <c r="C830" s="20">
        <v>0.1113</v>
      </c>
      <c r="D830" s="20">
        <v>0.2172</v>
      </c>
      <c r="E830" s="20">
        <v>0.31809999999999999</v>
      </c>
      <c r="F830" s="20">
        <v>0.4143</v>
      </c>
      <c r="G830" s="20">
        <v>0.50619999999999998</v>
      </c>
      <c r="H830" s="20">
        <v>0.59389999999999998</v>
      </c>
      <c r="I830" s="20">
        <v>0.67779999999999996</v>
      </c>
      <c r="J830" s="20">
        <v>0.7581</v>
      </c>
      <c r="K830" s="20">
        <v>0.83499999999999996</v>
      </c>
      <c r="L830" s="20">
        <v>0.90880000000000005</v>
      </c>
      <c r="M830" s="20">
        <v>0.97960000000000003</v>
      </c>
      <c r="N830" s="20">
        <v>1.0476000000000001</v>
      </c>
      <c r="O830" s="20">
        <v>1.1129</v>
      </c>
      <c r="P830" s="20">
        <v>1.1758999999999999</v>
      </c>
      <c r="Q830" s="20">
        <v>1.2364999999999999</v>
      </c>
      <c r="R830" s="20">
        <v>1.2948999999999999</v>
      </c>
      <c r="S830" s="20">
        <v>1.3512999999999999</v>
      </c>
      <c r="T830" s="20">
        <v>1.4056999999999999</v>
      </c>
      <c r="U830" s="20">
        <v>1.4582999999999999</v>
      </c>
      <c r="V830" s="20">
        <v>1.5091000000000001</v>
      </c>
      <c r="W830"/>
      <c r="X830"/>
      <c r="Y830"/>
      <c r="Z830"/>
    </row>
    <row r="831" spans="1:26" x14ac:dyDescent="0.2">
      <c r="A831" s="19">
        <v>0.82499999999999996</v>
      </c>
      <c r="B831" s="20">
        <v>0</v>
      </c>
      <c r="C831" s="20">
        <v>0.1113</v>
      </c>
      <c r="D831" s="20">
        <v>0.21729999999999999</v>
      </c>
      <c r="E831" s="20">
        <v>0.31819999999999998</v>
      </c>
      <c r="F831" s="20">
        <v>0.41449999999999998</v>
      </c>
      <c r="G831" s="20">
        <v>0.50629999999999997</v>
      </c>
      <c r="H831" s="20">
        <v>0.59409999999999996</v>
      </c>
      <c r="I831" s="20">
        <v>0.67800000000000005</v>
      </c>
      <c r="J831" s="20">
        <v>0.75829999999999997</v>
      </c>
      <c r="K831" s="20">
        <v>0.83530000000000004</v>
      </c>
      <c r="L831" s="20">
        <v>0.90900000000000003</v>
      </c>
      <c r="M831" s="20">
        <v>0.9798</v>
      </c>
      <c r="N831" s="20">
        <v>1.0478000000000001</v>
      </c>
      <c r="O831" s="20">
        <v>1.1132</v>
      </c>
      <c r="P831" s="20">
        <v>1.1761999999999999</v>
      </c>
      <c r="Q831" s="20">
        <v>1.2367999999999999</v>
      </c>
      <c r="R831" s="20">
        <v>1.2951999999999999</v>
      </c>
      <c r="S831" s="20">
        <v>1.3515999999999999</v>
      </c>
      <c r="T831" s="20">
        <v>1.4059999999999999</v>
      </c>
      <c r="U831" s="20">
        <v>1.4585999999999999</v>
      </c>
      <c r="V831" s="20">
        <v>1.5094000000000001</v>
      </c>
      <c r="W831"/>
      <c r="X831"/>
      <c r="Y831"/>
      <c r="Z831"/>
    </row>
    <row r="832" spans="1:26" x14ac:dyDescent="0.2">
      <c r="A832" s="19">
        <v>0.82599999999999996</v>
      </c>
      <c r="B832" s="20">
        <v>0</v>
      </c>
      <c r="C832" s="20">
        <v>0.1113</v>
      </c>
      <c r="D832" s="20">
        <v>0.21729999999999999</v>
      </c>
      <c r="E832" s="20">
        <v>0.31830000000000003</v>
      </c>
      <c r="F832" s="20">
        <v>0.41460000000000002</v>
      </c>
      <c r="G832" s="20">
        <v>0.50649999999999995</v>
      </c>
      <c r="H832" s="20">
        <v>0.59430000000000005</v>
      </c>
      <c r="I832" s="20">
        <v>0.67820000000000003</v>
      </c>
      <c r="J832" s="20">
        <v>0.75860000000000005</v>
      </c>
      <c r="K832" s="20">
        <v>0.83550000000000002</v>
      </c>
      <c r="L832" s="20">
        <v>0.9093</v>
      </c>
      <c r="M832" s="20">
        <v>0.98009999999999997</v>
      </c>
      <c r="N832" s="20">
        <v>1.0481</v>
      </c>
      <c r="O832" s="20">
        <v>1.1134999999999999</v>
      </c>
      <c r="P832" s="20">
        <v>1.1765000000000001</v>
      </c>
      <c r="Q832" s="20">
        <v>1.2371000000000001</v>
      </c>
      <c r="R832" s="20">
        <v>1.2955000000000001</v>
      </c>
      <c r="S832" s="20">
        <v>1.3519000000000001</v>
      </c>
      <c r="T832" s="20">
        <v>1.4063000000000001</v>
      </c>
      <c r="U832" s="20">
        <v>1.4589000000000001</v>
      </c>
      <c r="V832" s="20">
        <v>1.5098</v>
      </c>
      <c r="W832"/>
      <c r="X832"/>
      <c r="Y832"/>
      <c r="Z832"/>
    </row>
    <row r="833" spans="1:26" x14ac:dyDescent="0.2">
      <c r="A833" s="19">
        <v>0.82699999999999996</v>
      </c>
      <c r="B833" s="20">
        <v>0</v>
      </c>
      <c r="C833" s="20">
        <v>0.1114</v>
      </c>
      <c r="D833" s="20">
        <v>0.21740000000000001</v>
      </c>
      <c r="E833" s="20">
        <v>0.31840000000000002</v>
      </c>
      <c r="F833" s="20">
        <v>0.41470000000000001</v>
      </c>
      <c r="G833" s="20">
        <v>0.50660000000000005</v>
      </c>
      <c r="H833" s="20">
        <v>0.59450000000000003</v>
      </c>
      <c r="I833" s="20">
        <v>0.6784</v>
      </c>
      <c r="J833" s="20">
        <v>0.75880000000000003</v>
      </c>
      <c r="K833" s="20">
        <v>0.8357</v>
      </c>
      <c r="L833" s="20">
        <v>0.90949999999999998</v>
      </c>
      <c r="M833" s="20">
        <v>0.98040000000000005</v>
      </c>
      <c r="N833" s="20">
        <v>1.0484</v>
      </c>
      <c r="O833" s="20">
        <v>1.1137999999999999</v>
      </c>
      <c r="P833" s="20">
        <v>1.1768000000000001</v>
      </c>
      <c r="Q833" s="20">
        <v>1.2374000000000001</v>
      </c>
      <c r="R833" s="20">
        <v>1.2959000000000001</v>
      </c>
      <c r="S833" s="20">
        <v>1.3522000000000001</v>
      </c>
      <c r="T833" s="20">
        <v>1.4067000000000001</v>
      </c>
      <c r="U833" s="20">
        <v>1.4593</v>
      </c>
      <c r="V833" s="20">
        <v>1.5101</v>
      </c>
      <c r="W833"/>
      <c r="X833"/>
      <c r="Y833"/>
      <c r="Z833"/>
    </row>
    <row r="834" spans="1:26" x14ac:dyDescent="0.2">
      <c r="A834" s="19">
        <v>0.82799999999999996</v>
      </c>
      <c r="B834" s="20">
        <v>0</v>
      </c>
      <c r="C834" s="20">
        <v>0.1114</v>
      </c>
      <c r="D834" s="20">
        <v>0.2175</v>
      </c>
      <c r="E834" s="20">
        <v>0.31850000000000001</v>
      </c>
      <c r="F834" s="20">
        <v>0.4148</v>
      </c>
      <c r="G834" s="20">
        <v>0.50680000000000003</v>
      </c>
      <c r="H834" s="20">
        <v>0.59460000000000002</v>
      </c>
      <c r="I834" s="20">
        <v>0.67859999999999998</v>
      </c>
      <c r="J834" s="20">
        <v>0.75900000000000001</v>
      </c>
      <c r="K834" s="20">
        <v>0.83599999999999997</v>
      </c>
      <c r="L834" s="20">
        <v>0.90980000000000005</v>
      </c>
      <c r="M834" s="20">
        <v>0.98070000000000002</v>
      </c>
      <c r="N834" s="20">
        <v>1.0487</v>
      </c>
      <c r="O834" s="20">
        <v>1.1141000000000001</v>
      </c>
      <c r="P834" s="20">
        <v>1.1771</v>
      </c>
      <c r="Q834" s="20">
        <v>1.2377</v>
      </c>
      <c r="R834" s="20">
        <v>1.2962</v>
      </c>
      <c r="S834" s="20">
        <v>1.3526</v>
      </c>
      <c r="T834" s="20">
        <v>1.407</v>
      </c>
      <c r="U834" s="20">
        <v>1.4596</v>
      </c>
      <c r="V834" s="20">
        <v>1.5104</v>
      </c>
      <c r="W834"/>
      <c r="X834"/>
      <c r="Y834"/>
      <c r="Z834"/>
    </row>
    <row r="835" spans="1:26" x14ac:dyDescent="0.2">
      <c r="A835" s="19">
        <v>0.82899999999999996</v>
      </c>
      <c r="B835" s="20">
        <v>0</v>
      </c>
      <c r="C835" s="20">
        <v>0.1114</v>
      </c>
      <c r="D835" s="20">
        <v>0.2175</v>
      </c>
      <c r="E835" s="20">
        <v>0.31859999999999999</v>
      </c>
      <c r="F835" s="20">
        <v>0.41499999999999998</v>
      </c>
      <c r="G835" s="20">
        <v>0.50700000000000001</v>
      </c>
      <c r="H835" s="20">
        <v>0.5948</v>
      </c>
      <c r="I835" s="20">
        <v>0.67879999999999996</v>
      </c>
      <c r="J835" s="20">
        <v>0.75919999999999999</v>
      </c>
      <c r="K835" s="20">
        <v>0.83620000000000005</v>
      </c>
      <c r="L835" s="20">
        <v>0.91010000000000002</v>
      </c>
      <c r="M835" s="20">
        <v>0.98089999999999999</v>
      </c>
      <c r="N835" s="20">
        <v>1.0489999999999999</v>
      </c>
      <c r="O835" s="20">
        <v>1.1144000000000001</v>
      </c>
      <c r="P835" s="20">
        <v>1.1774</v>
      </c>
      <c r="Q835" s="20">
        <v>1.238</v>
      </c>
      <c r="R835" s="20">
        <v>1.2965</v>
      </c>
      <c r="S835" s="20">
        <v>1.3529</v>
      </c>
      <c r="T835" s="20">
        <v>1.4073</v>
      </c>
      <c r="U835" s="20">
        <v>1.4599</v>
      </c>
      <c r="V835" s="20">
        <v>1.5107999999999999</v>
      </c>
      <c r="W835"/>
      <c r="X835"/>
      <c r="Y835"/>
      <c r="Z835"/>
    </row>
    <row r="836" spans="1:26" x14ac:dyDescent="0.2">
      <c r="A836" s="19">
        <v>0.83</v>
      </c>
      <c r="B836" s="20">
        <v>0</v>
      </c>
      <c r="C836" s="20">
        <v>0.1115</v>
      </c>
      <c r="D836" s="20">
        <v>0.21759999999999999</v>
      </c>
      <c r="E836" s="20">
        <v>0.31869999999999998</v>
      </c>
      <c r="F836" s="20">
        <v>0.41510000000000002</v>
      </c>
      <c r="G836" s="20">
        <v>0.5071</v>
      </c>
      <c r="H836" s="20">
        <v>0.59499999999999997</v>
      </c>
      <c r="I836" s="20">
        <v>0.67900000000000005</v>
      </c>
      <c r="J836" s="20">
        <v>0.75939999999999996</v>
      </c>
      <c r="K836" s="20">
        <v>0.83650000000000002</v>
      </c>
      <c r="L836" s="20">
        <v>0.9103</v>
      </c>
      <c r="M836" s="20">
        <v>0.98119999999999996</v>
      </c>
      <c r="N836" s="20">
        <v>1.0492999999999999</v>
      </c>
      <c r="O836" s="20">
        <v>1.1147</v>
      </c>
      <c r="P836" s="20">
        <v>1.1777</v>
      </c>
      <c r="Q836" s="20">
        <v>1.2383999999999999</v>
      </c>
      <c r="R836" s="20">
        <v>1.2968</v>
      </c>
      <c r="S836" s="20">
        <v>1.3532</v>
      </c>
      <c r="T836" s="20">
        <v>1.4077</v>
      </c>
      <c r="U836" s="20">
        <v>1.4602999999999999</v>
      </c>
      <c r="V836" s="20">
        <v>1.5111000000000001</v>
      </c>
      <c r="W836"/>
      <c r="X836"/>
      <c r="Y836"/>
      <c r="Z836"/>
    </row>
    <row r="837" spans="1:26" x14ac:dyDescent="0.2">
      <c r="A837" s="19">
        <v>0.83099999999999996</v>
      </c>
      <c r="B837" s="20">
        <v>0</v>
      </c>
      <c r="C837" s="20">
        <v>0.1115</v>
      </c>
      <c r="D837" s="20">
        <v>0.2177</v>
      </c>
      <c r="E837" s="20">
        <v>0.31879999999999997</v>
      </c>
      <c r="F837" s="20">
        <v>0.41520000000000001</v>
      </c>
      <c r="G837" s="20">
        <v>0.50729999999999997</v>
      </c>
      <c r="H837" s="20">
        <v>0.59519999999999995</v>
      </c>
      <c r="I837" s="20">
        <v>0.67920000000000003</v>
      </c>
      <c r="J837" s="20">
        <v>0.75970000000000004</v>
      </c>
      <c r="K837" s="20">
        <v>0.8367</v>
      </c>
      <c r="L837" s="20">
        <v>0.91059999999999997</v>
      </c>
      <c r="M837" s="20">
        <v>0.98150000000000004</v>
      </c>
      <c r="N837" s="20">
        <v>1.0496000000000001</v>
      </c>
      <c r="O837" s="20">
        <v>1.115</v>
      </c>
      <c r="P837" s="20">
        <v>1.1779999999999999</v>
      </c>
      <c r="Q837" s="20">
        <v>1.2386999999999999</v>
      </c>
      <c r="R837" s="20">
        <v>1.2970999999999999</v>
      </c>
      <c r="S837" s="20">
        <v>1.3534999999999999</v>
      </c>
      <c r="T837" s="20">
        <v>1.4079999999999999</v>
      </c>
      <c r="U837" s="20">
        <v>1.4605999999999999</v>
      </c>
      <c r="V837" s="20">
        <v>1.5114000000000001</v>
      </c>
      <c r="W837"/>
      <c r="X837"/>
      <c r="Y837"/>
      <c r="Z837"/>
    </row>
    <row r="838" spans="1:26" x14ac:dyDescent="0.2">
      <c r="A838" s="19">
        <v>0.83199999999999996</v>
      </c>
      <c r="B838" s="20">
        <v>0</v>
      </c>
      <c r="C838" s="20">
        <v>0.1115</v>
      </c>
      <c r="D838" s="20">
        <v>0.2177</v>
      </c>
      <c r="E838" s="20">
        <v>0.31890000000000002</v>
      </c>
      <c r="F838" s="20">
        <v>0.4153</v>
      </c>
      <c r="G838" s="20">
        <v>0.50739999999999996</v>
      </c>
      <c r="H838" s="20">
        <v>0.59530000000000005</v>
      </c>
      <c r="I838" s="20">
        <v>0.6794</v>
      </c>
      <c r="J838" s="20">
        <v>0.75990000000000002</v>
      </c>
      <c r="K838" s="20">
        <v>0.83689999999999998</v>
      </c>
      <c r="L838" s="20">
        <v>0.91080000000000005</v>
      </c>
      <c r="M838" s="20">
        <v>0.98170000000000002</v>
      </c>
      <c r="N838" s="20">
        <v>1.0498000000000001</v>
      </c>
      <c r="O838" s="20">
        <v>1.1153</v>
      </c>
      <c r="P838" s="20">
        <v>1.1782999999999999</v>
      </c>
      <c r="Q838" s="20">
        <v>1.2390000000000001</v>
      </c>
      <c r="R838" s="20">
        <v>1.2975000000000001</v>
      </c>
      <c r="S838" s="20">
        <v>1.3539000000000001</v>
      </c>
      <c r="T838" s="20">
        <v>1.4083000000000001</v>
      </c>
      <c r="U838" s="20">
        <v>1.4609000000000001</v>
      </c>
      <c r="V838" s="20">
        <v>1.5118</v>
      </c>
      <c r="W838"/>
      <c r="X838"/>
      <c r="Y838"/>
      <c r="Z838"/>
    </row>
    <row r="839" spans="1:26" x14ac:dyDescent="0.2">
      <c r="A839" s="19">
        <v>0.83299999999999996</v>
      </c>
      <c r="B839" s="20">
        <v>0</v>
      </c>
      <c r="C839" s="20">
        <v>0.1116</v>
      </c>
      <c r="D839" s="20">
        <v>0.21779999999999999</v>
      </c>
      <c r="E839" s="20">
        <v>0.31900000000000001</v>
      </c>
      <c r="F839" s="20">
        <v>0.41549999999999998</v>
      </c>
      <c r="G839" s="20">
        <v>0.50760000000000005</v>
      </c>
      <c r="H839" s="20">
        <v>0.59550000000000003</v>
      </c>
      <c r="I839" s="20">
        <v>0.67959999999999998</v>
      </c>
      <c r="J839" s="20">
        <v>0.7601</v>
      </c>
      <c r="K839" s="20">
        <v>0.83720000000000006</v>
      </c>
      <c r="L839" s="20">
        <v>0.91110000000000002</v>
      </c>
      <c r="M839" s="20">
        <v>0.98199999999999998</v>
      </c>
      <c r="N839" s="20">
        <v>1.0501</v>
      </c>
      <c r="O839" s="20">
        <v>1.1155999999999999</v>
      </c>
      <c r="P839" s="20">
        <v>1.1786000000000001</v>
      </c>
      <c r="Q839" s="20">
        <v>1.2393000000000001</v>
      </c>
      <c r="R839" s="20">
        <v>1.2978000000000001</v>
      </c>
      <c r="S839" s="20">
        <v>1.3542000000000001</v>
      </c>
      <c r="T839" s="20">
        <v>1.4087000000000001</v>
      </c>
      <c r="U839" s="20">
        <v>1.4612000000000001</v>
      </c>
      <c r="V839" s="20">
        <v>1.5121</v>
      </c>
      <c r="W839"/>
      <c r="X839"/>
      <c r="Y839"/>
      <c r="Z839"/>
    </row>
    <row r="840" spans="1:26" x14ac:dyDescent="0.2">
      <c r="A840" s="19">
        <v>0.83399999999999996</v>
      </c>
      <c r="B840" s="20">
        <v>0</v>
      </c>
      <c r="C840" s="20">
        <v>0.1116</v>
      </c>
      <c r="D840" s="20">
        <v>0.21790000000000001</v>
      </c>
      <c r="E840" s="20">
        <v>0.31909999999999999</v>
      </c>
      <c r="F840" s="20">
        <v>0.41560000000000002</v>
      </c>
      <c r="G840" s="20">
        <v>0.50770000000000004</v>
      </c>
      <c r="H840" s="20">
        <v>0.59570000000000001</v>
      </c>
      <c r="I840" s="20">
        <v>0.67979999999999996</v>
      </c>
      <c r="J840" s="20">
        <v>0.76029999999999998</v>
      </c>
      <c r="K840" s="20">
        <v>0.83740000000000003</v>
      </c>
      <c r="L840" s="20">
        <v>0.9113</v>
      </c>
      <c r="M840" s="20">
        <v>0.98229999999999995</v>
      </c>
      <c r="N840" s="20">
        <v>1.0504</v>
      </c>
      <c r="O840" s="20">
        <v>1.1158999999999999</v>
      </c>
      <c r="P840" s="20">
        <v>1.1789000000000001</v>
      </c>
      <c r="Q840" s="20">
        <v>1.2396</v>
      </c>
      <c r="R840" s="20">
        <v>1.2981</v>
      </c>
      <c r="S840" s="20">
        <v>1.3545</v>
      </c>
      <c r="T840" s="20">
        <v>1.409</v>
      </c>
      <c r="U840" s="20">
        <v>1.4616</v>
      </c>
      <c r="V840" s="20">
        <v>1.5124</v>
      </c>
      <c r="W840"/>
      <c r="X840"/>
      <c r="Y840"/>
      <c r="Z840"/>
    </row>
    <row r="841" spans="1:26" x14ac:dyDescent="0.2">
      <c r="A841" s="19">
        <v>0.83499999999999996</v>
      </c>
      <c r="B841" s="20">
        <v>0</v>
      </c>
      <c r="C841" s="20">
        <v>0.1116</v>
      </c>
      <c r="D841" s="20">
        <v>0.21790000000000001</v>
      </c>
      <c r="E841" s="20">
        <v>0.31919999999999998</v>
      </c>
      <c r="F841" s="20">
        <v>0.41570000000000001</v>
      </c>
      <c r="G841" s="20">
        <v>0.50790000000000002</v>
      </c>
      <c r="H841" s="20">
        <v>0.59589999999999999</v>
      </c>
      <c r="I841" s="20">
        <v>0.68</v>
      </c>
      <c r="J841" s="20">
        <v>0.76049999999999995</v>
      </c>
      <c r="K841" s="20">
        <v>0.8377</v>
      </c>
      <c r="L841" s="20">
        <v>0.91159999999999997</v>
      </c>
      <c r="M841" s="20">
        <v>0.98250000000000004</v>
      </c>
      <c r="N841" s="20">
        <v>1.0507</v>
      </c>
      <c r="O841" s="20">
        <v>1.1162000000000001</v>
      </c>
      <c r="P841" s="20">
        <v>1.1792</v>
      </c>
      <c r="Q841" s="20">
        <v>1.2399</v>
      </c>
      <c r="R841" s="20">
        <v>1.2984</v>
      </c>
      <c r="S841" s="20">
        <v>1.3548</v>
      </c>
      <c r="T841" s="20">
        <v>1.4093</v>
      </c>
      <c r="U841" s="20">
        <v>1.4619</v>
      </c>
      <c r="V841" s="20">
        <v>1.5126999999999999</v>
      </c>
      <c r="W841"/>
      <c r="X841"/>
      <c r="Y841"/>
      <c r="Z841"/>
    </row>
    <row r="842" spans="1:26" x14ac:dyDescent="0.2">
      <c r="A842" s="19">
        <v>0.83599999999999997</v>
      </c>
      <c r="B842" s="20">
        <v>0</v>
      </c>
      <c r="C842" s="20">
        <v>0.11169999999999999</v>
      </c>
      <c r="D842" s="20">
        <v>0.218</v>
      </c>
      <c r="E842" s="20">
        <v>0.31929999999999997</v>
      </c>
      <c r="F842" s="20">
        <v>0.4158</v>
      </c>
      <c r="G842" s="20">
        <v>0.50800000000000001</v>
      </c>
      <c r="H842" s="20">
        <v>0.59599999999999997</v>
      </c>
      <c r="I842" s="20">
        <v>0.68020000000000003</v>
      </c>
      <c r="J842" s="20">
        <v>0.76070000000000004</v>
      </c>
      <c r="K842" s="20">
        <v>0.83789999999999998</v>
      </c>
      <c r="L842" s="20">
        <v>0.91180000000000005</v>
      </c>
      <c r="M842" s="20">
        <v>0.98280000000000001</v>
      </c>
      <c r="N842" s="20">
        <v>1.0509999999999999</v>
      </c>
      <c r="O842" s="20">
        <v>1.1165</v>
      </c>
      <c r="P842" s="20">
        <v>1.1795</v>
      </c>
      <c r="Q842" s="20">
        <v>1.2402</v>
      </c>
      <c r="R842" s="20">
        <v>1.2987</v>
      </c>
      <c r="S842" s="20">
        <v>1.3552</v>
      </c>
      <c r="T842" s="20">
        <v>1.4096</v>
      </c>
      <c r="U842" s="20">
        <v>1.4621999999999999</v>
      </c>
      <c r="V842" s="20">
        <v>1.5130999999999999</v>
      </c>
      <c r="W842"/>
      <c r="X842"/>
      <c r="Y842"/>
      <c r="Z842"/>
    </row>
    <row r="843" spans="1:26" x14ac:dyDescent="0.2">
      <c r="A843" s="19">
        <v>0.83699999999999997</v>
      </c>
      <c r="B843" s="20">
        <v>0</v>
      </c>
      <c r="C843" s="20">
        <v>0.11169999999999999</v>
      </c>
      <c r="D843" s="20">
        <v>0.218</v>
      </c>
      <c r="E843" s="20">
        <v>0.31940000000000002</v>
      </c>
      <c r="F843" s="20">
        <v>0.41599999999999998</v>
      </c>
      <c r="G843" s="20">
        <v>0.50819999999999999</v>
      </c>
      <c r="H843" s="20">
        <v>0.59619999999999995</v>
      </c>
      <c r="I843" s="20">
        <v>0.6804</v>
      </c>
      <c r="J843" s="20">
        <v>0.76100000000000001</v>
      </c>
      <c r="K843" s="20">
        <v>0.83809999999999996</v>
      </c>
      <c r="L843" s="20">
        <v>0.91210000000000002</v>
      </c>
      <c r="M843" s="20">
        <v>0.98309999999999997</v>
      </c>
      <c r="N843" s="20">
        <v>1.0512999999999999</v>
      </c>
      <c r="O843" s="20">
        <v>1.1168</v>
      </c>
      <c r="P843" s="20">
        <v>1.1798</v>
      </c>
      <c r="Q843" s="20">
        <v>1.2405999999999999</v>
      </c>
      <c r="R843" s="20">
        <v>1.2990999999999999</v>
      </c>
      <c r="S843" s="20">
        <v>1.3554999999999999</v>
      </c>
      <c r="T843" s="20">
        <v>1.41</v>
      </c>
      <c r="U843" s="20">
        <v>1.4625999999999999</v>
      </c>
      <c r="V843" s="20">
        <v>1.5134000000000001</v>
      </c>
      <c r="W843"/>
      <c r="X843"/>
      <c r="Y843"/>
      <c r="Z843"/>
    </row>
    <row r="844" spans="1:26" x14ac:dyDescent="0.2">
      <c r="A844" s="19">
        <v>0.83799999999999997</v>
      </c>
      <c r="B844" s="20">
        <v>0</v>
      </c>
      <c r="C844" s="20">
        <v>0.11169999999999999</v>
      </c>
      <c r="D844" s="20">
        <v>0.21809999999999999</v>
      </c>
      <c r="E844" s="20">
        <v>0.31950000000000001</v>
      </c>
      <c r="F844" s="20">
        <v>0.41610000000000003</v>
      </c>
      <c r="G844" s="20">
        <v>0.50829999999999997</v>
      </c>
      <c r="H844" s="20">
        <v>0.59640000000000004</v>
      </c>
      <c r="I844" s="20">
        <v>0.68059999999999998</v>
      </c>
      <c r="J844" s="20">
        <v>0.76119999999999999</v>
      </c>
      <c r="K844" s="20">
        <v>0.83840000000000003</v>
      </c>
      <c r="L844" s="20">
        <v>0.91239999999999999</v>
      </c>
      <c r="M844" s="20">
        <v>0.98329999999999995</v>
      </c>
      <c r="N844" s="20">
        <v>1.0515000000000001</v>
      </c>
      <c r="O844" s="20">
        <v>1.1171</v>
      </c>
      <c r="P844" s="20">
        <v>1.1800999999999999</v>
      </c>
      <c r="Q844" s="20">
        <v>1.2408999999999999</v>
      </c>
      <c r="R844" s="20">
        <v>1.2994000000000001</v>
      </c>
      <c r="S844" s="20">
        <v>1.3557999999999999</v>
      </c>
      <c r="T844" s="20">
        <v>1.4103000000000001</v>
      </c>
      <c r="U844" s="20">
        <v>1.4629000000000001</v>
      </c>
      <c r="V844" s="20">
        <v>1.5137</v>
      </c>
      <c r="W844"/>
      <c r="X844"/>
      <c r="Y844"/>
      <c r="Z844"/>
    </row>
    <row r="845" spans="1:26" x14ac:dyDescent="0.2">
      <c r="A845" s="19">
        <v>0.83899999999999997</v>
      </c>
      <c r="B845" s="20">
        <v>0</v>
      </c>
      <c r="C845" s="20">
        <v>0.1118</v>
      </c>
      <c r="D845" s="20">
        <v>0.21820000000000001</v>
      </c>
      <c r="E845" s="20">
        <v>0.3196</v>
      </c>
      <c r="F845" s="20">
        <v>0.41620000000000001</v>
      </c>
      <c r="G845" s="20">
        <v>0.50849999999999995</v>
      </c>
      <c r="H845" s="20">
        <v>0.59660000000000002</v>
      </c>
      <c r="I845" s="20">
        <v>0.68079999999999996</v>
      </c>
      <c r="J845" s="20">
        <v>0.76139999999999997</v>
      </c>
      <c r="K845" s="20">
        <v>0.83860000000000001</v>
      </c>
      <c r="L845" s="20">
        <v>0.91259999999999997</v>
      </c>
      <c r="M845" s="20">
        <v>0.98360000000000003</v>
      </c>
      <c r="N845" s="20">
        <v>1.0518000000000001</v>
      </c>
      <c r="O845" s="20">
        <v>1.1173999999999999</v>
      </c>
      <c r="P845" s="20">
        <v>1.1803999999999999</v>
      </c>
      <c r="Q845" s="20">
        <v>1.2412000000000001</v>
      </c>
      <c r="R845" s="20">
        <v>1.2997000000000001</v>
      </c>
      <c r="S845" s="20">
        <v>1.3561000000000001</v>
      </c>
      <c r="T845" s="20">
        <v>1.4106000000000001</v>
      </c>
      <c r="U845" s="20">
        <v>1.4632000000000001</v>
      </c>
      <c r="V845" s="20">
        <v>1.5141</v>
      </c>
      <c r="W845"/>
      <c r="X845"/>
      <c r="Y845"/>
      <c r="Z845"/>
    </row>
    <row r="846" spans="1:26" x14ac:dyDescent="0.2">
      <c r="A846" s="19">
        <v>0.84</v>
      </c>
      <c r="B846" s="20">
        <v>0</v>
      </c>
      <c r="C846" s="20">
        <v>0.1118</v>
      </c>
      <c r="D846" s="20">
        <v>0.21820000000000001</v>
      </c>
      <c r="E846" s="20">
        <v>0.3196</v>
      </c>
      <c r="F846" s="20">
        <v>0.4163</v>
      </c>
      <c r="G846" s="20">
        <v>0.50860000000000005</v>
      </c>
      <c r="H846" s="20">
        <v>0.59670000000000001</v>
      </c>
      <c r="I846" s="20">
        <v>0.68100000000000005</v>
      </c>
      <c r="J846" s="20">
        <v>0.76160000000000005</v>
      </c>
      <c r="K846" s="20">
        <v>0.83879999999999999</v>
      </c>
      <c r="L846" s="20">
        <v>0.91290000000000004</v>
      </c>
      <c r="M846" s="20">
        <v>0.9839</v>
      </c>
      <c r="N846" s="20">
        <v>1.0521</v>
      </c>
      <c r="O846" s="20">
        <v>1.1176999999999999</v>
      </c>
      <c r="P846" s="20">
        <v>1.1807000000000001</v>
      </c>
      <c r="Q846" s="20">
        <v>1.2415</v>
      </c>
      <c r="R846" s="20">
        <v>1.3</v>
      </c>
      <c r="S846" s="20">
        <v>1.3565</v>
      </c>
      <c r="T846" s="20">
        <v>1.4109</v>
      </c>
      <c r="U846" s="20">
        <v>1.4635</v>
      </c>
      <c r="V846" s="20">
        <v>1.5144</v>
      </c>
      <c r="W846"/>
      <c r="X846"/>
      <c r="Y846"/>
      <c r="Z846"/>
    </row>
    <row r="847" spans="1:26" x14ac:dyDescent="0.2">
      <c r="A847" s="19">
        <v>0.84099999999999997</v>
      </c>
      <c r="B847" s="20">
        <v>0</v>
      </c>
      <c r="C847" s="20">
        <v>0.1118</v>
      </c>
      <c r="D847" s="20">
        <v>0.21829999999999999</v>
      </c>
      <c r="E847" s="20">
        <v>0.31969999999999998</v>
      </c>
      <c r="F847" s="20">
        <v>0.41649999999999998</v>
      </c>
      <c r="G847" s="20">
        <v>0.50880000000000003</v>
      </c>
      <c r="H847" s="20">
        <v>0.59689999999999999</v>
      </c>
      <c r="I847" s="20">
        <v>0.68120000000000003</v>
      </c>
      <c r="J847" s="20">
        <v>0.76180000000000003</v>
      </c>
      <c r="K847" s="20">
        <v>0.83909999999999996</v>
      </c>
      <c r="L847" s="20">
        <v>0.91310000000000002</v>
      </c>
      <c r="M847" s="20">
        <v>0.98409999999999997</v>
      </c>
      <c r="N847" s="20">
        <v>1.0524</v>
      </c>
      <c r="O847" s="20">
        <v>1.1180000000000001</v>
      </c>
      <c r="P847" s="20">
        <v>1.181</v>
      </c>
      <c r="Q847" s="20">
        <v>1.2418</v>
      </c>
      <c r="R847" s="20">
        <v>1.3003</v>
      </c>
      <c r="S847" s="20">
        <v>1.3568</v>
      </c>
      <c r="T847" s="20">
        <v>1.4113</v>
      </c>
      <c r="U847" s="20">
        <v>1.4639</v>
      </c>
      <c r="V847" s="20">
        <v>1.5146999999999999</v>
      </c>
      <c r="W847"/>
      <c r="X847"/>
      <c r="Y847"/>
      <c r="Z847"/>
    </row>
    <row r="848" spans="1:26" x14ac:dyDescent="0.2">
      <c r="A848" s="19">
        <v>0.84199999999999997</v>
      </c>
      <c r="B848" s="20">
        <v>0</v>
      </c>
      <c r="C848" s="20">
        <v>0.1119</v>
      </c>
      <c r="D848" s="20">
        <v>0.21840000000000001</v>
      </c>
      <c r="E848" s="20">
        <v>0.31979999999999997</v>
      </c>
      <c r="F848" s="20">
        <v>0.41660000000000003</v>
      </c>
      <c r="G848" s="20">
        <v>0.50890000000000002</v>
      </c>
      <c r="H848" s="20">
        <v>0.59709999999999996</v>
      </c>
      <c r="I848" s="20">
        <v>0.68140000000000001</v>
      </c>
      <c r="J848" s="20">
        <v>0.76200000000000001</v>
      </c>
      <c r="K848" s="20">
        <v>0.83930000000000005</v>
      </c>
      <c r="L848" s="20">
        <v>0.91339999999999999</v>
      </c>
      <c r="M848" s="20">
        <v>0.98440000000000005</v>
      </c>
      <c r="N848" s="20">
        <v>1.0527</v>
      </c>
      <c r="O848" s="20">
        <v>1.1182000000000001</v>
      </c>
      <c r="P848" s="20">
        <v>1.1813</v>
      </c>
      <c r="Q848" s="20">
        <v>1.2421</v>
      </c>
      <c r="R848" s="20">
        <v>1.3006</v>
      </c>
      <c r="S848" s="20">
        <v>1.3571</v>
      </c>
      <c r="T848" s="20">
        <v>1.4116</v>
      </c>
      <c r="U848" s="20">
        <v>1.4641999999999999</v>
      </c>
      <c r="V848" s="20">
        <v>1.5149999999999999</v>
      </c>
      <c r="W848"/>
      <c r="X848"/>
      <c r="Y848"/>
      <c r="Z848"/>
    </row>
    <row r="849" spans="1:26" x14ac:dyDescent="0.2">
      <c r="A849" s="19">
        <v>0.84299999999999997</v>
      </c>
      <c r="B849" s="20">
        <v>0</v>
      </c>
      <c r="C849" s="20">
        <v>0.1119</v>
      </c>
      <c r="D849" s="20">
        <v>0.21840000000000001</v>
      </c>
      <c r="E849" s="20">
        <v>0.31990000000000002</v>
      </c>
      <c r="F849" s="20">
        <v>0.41670000000000001</v>
      </c>
      <c r="G849" s="20">
        <v>0.5091</v>
      </c>
      <c r="H849" s="20">
        <v>0.59730000000000005</v>
      </c>
      <c r="I849" s="20">
        <v>0.68159999999999998</v>
      </c>
      <c r="J849" s="20">
        <v>0.76229999999999998</v>
      </c>
      <c r="K849" s="20">
        <v>0.83950000000000002</v>
      </c>
      <c r="L849" s="20">
        <v>0.91359999999999997</v>
      </c>
      <c r="M849" s="20">
        <v>0.98470000000000002</v>
      </c>
      <c r="N849" s="20">
        <v>1.0528999999999999</v>
      </c>
      <c r="O849" s="20">
        <v>1.1185</v>
      </c>
      <c r="P849" s="20">
        <v>1.1816</v>
      </c>
      <c r="Q849" s="20">
        <v>1.2423999999999999</v>
      </c>
      <c r="R849" s="20">
        <v>1.3009999999999999</v>
      </c>
      <c r="S849" s="20">
        <v>1.3573999999999999</v>
      </c>
      <c r="T849" s="20">
        <v>1.4118999999999999</v>
      </c>
      <c r="U849" s="20">
        <v>1.4644999999999999</v>
      </c>
      <c r="V849" s="20">
        <v>1.5154000000000001</v>
      </c>
      <c r="W849"/>
      <c r="X849"/>
      <c r="Y849"/>
      <c r="Z849"/>
    </row>
    <row r="850" spans="1:26" x14ac:dyDescent="0.2">
      <c r="A850" s="19">
        <v>0.84399999999999997</v>
      </c>
      <c r="B850" s="20">
        <v>0</v>
      </c>
      <c r="C850" s="20">
        <v>0.1119</v>
      </c>
      <c r="D850" s="20">
        <v>0.2185</v>
      </c>
      <c r="E850" s="20">
        <v>0.32</v>
      </c>
      <c r="F850" s="20">
        <v>0.4168</v>
      </c>
      <c r="G850" s="20">
        <v>0.50919999999999999</v>
      </c>
      <c r="H850" s="20">
        <v>0.59740000000000004</v>
      </c>
      <c r="I850" s="20">
        <v>0.68179999999999996</v>
      </c>
      <c r="J850" s="20">
        <v>0.76249999999999996</v>
      </c>
      <c r="K850" s="20">
        <v>0.83979999999999999</v>
      </c>
      <c r="L850" s="20">
        <v>0.91390000000000005</v>
      </c>
      <c r="M850" s="20">
        <v>0.9849</v>
      </c>
      <c r="N850" s="20">
        <v>1.0531999999999999</v>
      </c>
      <c r="O850" s="20">
        <v>1.1188</v>
      </c>
      <c r="P850" s="20">
        <v>1.1819</v>
      </c>
      <c r="Q850" s="20">
        <v>1.2426999999999999</v>
      </c>
      <c r="R850" s="20">
        <v>1.3012999999999999</v>
      </c>
      <c r="S850" s="20">
        <v>1.3576999999999999</v>
      </c>
      <c r="T850" s="20">
        <v>1.4121999999999999</v>
      </c>
      <c r="U850" s="20">
        <v>1.4648000000000001</v>
      </c>
      <c r="V850" s="20">
        <v>1.5157</v>
      </c>
      <c r="W850"/>
      <c r="X850"/>
      <c r="Y850"/>
      <c r="Z850"/>
    </row>
    <row r="851" spans="1:26" x14ac:dyDescent="0.2">
      <c r="A851" s="19">
        <v>0.84499999999999997</v>
      </c>
      <c r="B851" s="20">
        <v>0</v>
      </c>
      <c r="C851" s="20">
        <v>0.112</v>
      </c>
      <c r="D851" s="20">
        <v>0.21859999999999999</v>
      </c>
      <c r="E851" s="20">
        <v>0.3201</v>
      </c>
      <c r="F851" s="20">
        <v>0.41689999999999999</v>
      </c>
      <c r="G851" s="20">
        <v>0.50929999999999997</v>
      </c>
      <c r="H851" s="20">
        <v>0.59760000000000002</v>
      </c>
      <c r="I851" s="20">
        <v>0.68200000000000005</v>
      </c>
      <c r="J851" s="20">
        <v>0.76270000000000004</v>
      </c>
      <c r="K851" s="20">
        <v>0.84</v>
      </c>
      <c r="L851" s="20">
        <v>0.91410000000000002</v>
      </c>
      <c r="M851" s="20">
        <v>0.98519999999999996</v>
      </c>
      <c r="N851" s="20">
        <v>1.0535000000000001</v>
      </c>
      <c r="O851" s="20">
        <v>1.1191</v>
      </c>
      <c r="P851" s="20">
        <v>1.1821999999999999</v>
      </c>
      <c r="Q851" s="20">
        <v>1.2430000000000001</v>
      </c>
      <c r="R851" s="20">
        <v>1.3016000000000001</v>
      </c>
      <c r="S851" s="20">
        <v>1.3581000000000001</v>
      </c>
      <c r="T851" s="20">
        <v>1.4126000000000001</v>
      </c>
      <c r="U851" s="20">
        <v>1.4652000000000001</v>
      </c>
      <c r="V851" s="20">
        <v>1.516</v>
      </c>
      <c r="W851"/>
      <c r="X851"/>
      <c r="Y851"/>
      <c r="Z851"/>
    </row>
    <row r="852" spans="1:26" x14ac:dyDescent="0.2">
      <c r="A852" s="19">
        <v>0.84599999999999997</v>
      </c>
      <c r="B852" s="20">
        <v>0</v>
      </c>
      <c r="C852" s="20">
        <v>0.112</v>
      </c>
      <c r="D852" s="20">
        <v>0.21859999999999999</v>
      </c>
      <c r="E852" s="20">
        <v>0.32019999999999998</v>
      </c>
      <c r="F852" s="20">
        <v>0.41710000000000003</v>
      </c>
      <c r="G852" s="20">
        <v>0.50949999999999995</v>
      </c>
      <c r="H852" s="20">
        <v>0.5978</v>
      </c>
      <c r="I852" s="20">
        <v>0.68220000000000003</v>
      </c>
      <c r="J852" s="20">
        <v>0.76290000000000002</v>
      </c>
      <c r="K852" s="20">
        <v>0.84019999999999995</v>
      </c>
      <c r="L852" s="20">
        <v>0.91439999999999999</v>
      </c>
      <c r="M852" s="20">
        <v>0.98550000000000004</v>
      </c>
      <c r="N852" s="20">
        <v>1.0538000000000001</v>
      </c>
      <c r="O852" s="20">
        <v>1.1194</v>
      </c>
      <c r="P852" s="20">
        <v>1.1825000000000001</v>
      </c>
      <c r="Q852" s="20">
        <v>1.2433000000000001</v>
      </c>
      <c r="R852" s="20">
        <v>1.3019000000000001</v>
      </c>
      <c r="S852" s="20">
        <v>1.3584000000000001</v>
      </c>
      <c r="T852" s="20">
        <v>1.4129</v>
      </c>
      <c r="U852" s="20">
        <v>1.4655</v>
      </c>
      <c r="V852" s="20">
        <v>1.5163</v>
      </c>
      <c r="W852"/>
      <c r="X852"/>
      <c r="Y852"/>
      <c r="Z852"/>
    </row>
    <row r="853" spans="1:26" x14ac:dyDescent="0.2">
      <c r="A853" s="19">
        <v>0.84699999999999998</v>
      </c>
      <c r="B853" s="20">
        <v>0</v>
      </c>
      <c r="C853" s="20">
        <v>0.112</v>
      </c>
      <c r="D853" s="20">
        <v>0.21870000000000001</v>
      </c>
      <c r="E853" s="20">
        <v>0.32029999999999997</v>
      </c>
      <c r="F853" s="20">
        <v>0.41720000000000002</v>
      </c>
      <c r="G853" s="20">
        <v>0.50960000000000005</v>
      </c>
      <c r="H853" s="20">
        <v>0.59789999999999999</v>
      </c>
      <c r="I853" s="20">
        <v>0.68240000000000001</v>
      </c>
      <c r="J853" s="20">
        <v>0.7631</v>
      </c>
      <c r="K853" s="20">
        <v>0.84050000000000002</v>
      </c>
      <c r="L853" s="20">
        <v>0.91459999999999997</v>
      </c>
      <c r="M853" s="20">
        <v>0.98570000000000002</v>
      </c>
      <c r="N853" s="20">
        <v>1.054</v>
      </c>
      <c r="O853" s="20">
        <v>1.1196999999999999</v>
      </c>
      <c r="P853" s="20">
        <v>1.1828000000000001</v>
      </c>
      <c r="Q853" s="20">
        <v>1.2436</v>
      </c>
      <c r="R853" s="20">
        <v>1.3022</v>
      </c>
      <c r="S853" s="20">
        <v>1.3587</v>
      </c>
      <c r="T853" s="20">
        <v>1.4132</v>
      </c>
      <c r="U853" s="20">
        <v>1.4658</v>
      </c>
      <c r="V853" s="20">
        <v>1.5166999999999999</v>
      </c>
      <c r="W853"/>
      <c r="X853"/>
      <c r="Y853"/>
      <c r="Z853"/>
    </row>
    <row r="854" spans="1:26" x14ac:dyDescent="0.2">
      <c r="A854" s="19">
        <v>0.84799999999999998</v>
      </c>
      <c r="B854" s="20">
        <v>0</v>
      </c>
      <c r="C854" s="20">
        <v>0.11210000000000001</v>
      </c>
      <c r="D854" s="20">
        <v>0.21879999999999999</v>
      </c>
      <c r="E854" s="20">
        <v>0.32040000000000002</v>
      </c>
      <c r="F854" s="20">
        <v>0.4173</v>
      </c>
      <c r="G854" s="20">
        <v>0.50980000000000003</v>
      </c>
      <c r="H854" s="20">
        <v>0.59809999999999997</v>
      </c>
      <c r="I854" s="20">
        <v>0.6825</v>
      </c>
      <c r="J854" s="20">
        <v>0.76329999999999998</v>
      </c>
      <c r="K854" s="20">
        <v>0.8407</v>
      </c>
      <c r="L854" s="20">
        <v>0.91490000000000005</v>
      </c>
      <c r="M854" s="20">
        <v>0.98599999999999999</v>
      </c>
      <c r="N854" s="20">
        <v>1.0543</v>
      </c>
      <c r="O854" s="20">
        <v>1.1200000000000001</v>
      </c>
      <c r="P854" s="20">
        <v>1.1831</v>
      </c>
      <c r="Q854" s="20">
        <v>1.2439</v>
      </c>
      <c r="R854" s="20">
        <v>1.3025</v>
      </c>
      <c r="S854" s="20">
        <v>1.359</v>
      </c>
      <c r="T854" s="20">
        <v>1.4135</v>
      </c>
      <c r="U854" s="20">
        <v>1.4661</v>
      </c>
      <c r="V854" s="20">
        <v>1.5169999999999999</v>
      </c>
      <c r="W854"/>
      <c r="X854"/>
      <c r="Y854"/>
      <c r="Z854"/>
    </row>
    <row r="855" spans="1:26" x14ac:dyDescent="0.2">
      <c r="A855" s="19">
        <v>0.84899999999999998</v>
      </c>
      <c r="B855" s="20">
        <v>0</v>
      </c>
      <c r="C855" s="20">
        <v>0.11210000000000001</v>
      </c>
      <c r="D855" s="20">
        <v>0.21879999999999999</v>
      </c>
      <c r="E855" s="20">
        <v>0.32050000000000001</v>
      </c>
      <c r="F855" s="20">
        <v>0.41739999999999999</v>
      </c>
      <c r="G855" s="20">
        <v>0.50990000000000002</v>
      </c>
      <c r="H855" s="20">
        <v>0.59830000000000005</v>
      </c>
      <c r="I855" s="20">
        <v>0.68269999999999997</v>
      </c>
      <c r="J855" s="20">
        <v>0.76349999999999996</v>
      </c>
      <c r="K855" s="20">
        <v>0.84089999999999998</v>
      </c>
      <c r="L855" s="20">
        <v>0.91510000000000002</v>
      </c>
      <c r="M855" s="20">
        <v>0.98629999999999995</v>
      </c>
      <c r="N855" s="20">
        <v>1.0546</v>
      </c>
      <c r="O855" s="20">
        <v>1.1203000000000001</v>
      </c>
      <c r="P855" s="20">
        <v>1.1834</v>
      </c>
      <c r="Q855" s="20">
        <v>1.2442</v>
      </c>
      <c r="R855" s="20">
        <v>1.3028</v>
      </c>
      <c r="S855" s="20">
        <v>1.3593</v>
      </c>
      <c r="T855" s="20">
        <v>1.4137999999999999</v>
      </c>
      <c r="U855" s="20">
        <v>1.4664999999999999</v>
      </c>
      <c r="V855" s="20">
        <v>1.5173000000000001</v>
      </c>
      <c r="W855"/>
      <c r="X855"/>
      <c r="Y855"/>
      <c r="Z855"/>
    </row>
    <row r="856" spans="1:26" x14ac:dyDescent="0.2">
      <c r="A856" s="19">
        <v>0.85</v>
      </c>
      <c r="B856" s="20">
        <v>0</v>
      </c>
      <c r="C856" s="20">
        <v>0.11210000000000001</v>
      </c>
      <c r="D856" s="20">
        <v>0.21890000000000001</v>
      </c>
      <c r="E856" s="20">
        <v>0.3206</v>
      </c>
      <c r="F856" s="20">
        <v>0.41760000000000003</v>
      </c>
      <c r="G856" s="20">
        <v>0.5101</v>
      </c>
      <c r="H856" s="20">
        <v>0.59850000000000003</v>
      </c>
      <c r="I856" s="20">
        <v>0.68289999999999995</v>
      </c>
      <c r="J856" s="20">
        <v>0.76380000000000003</v>
      </c>
      <c r="K856" s="20">
        <v>0.84119999999999995</v>
      </c>
      <c r="L856" s="20">
        <v>0.91539999999999999</v>
      </c>
      <c r="M856" s="20">
        <v>0.98650000000000004</v>
      </c>
      <c r="N856" s="20">
        <v>1.0548999999999999</v>
      </c>
      <c r="O856" s="20">
        <v>1.1206</v>
      </c>
      <c r="P856" s="20">
        <v>1.1837</v>
      </c>
      <c r="Q856" s="20">
        <v>1.2445999999999999</v>
      </c>
      <c r="R856" s="20">
        <v>1.3030999999999999</v>
      </c>
      <c r="S856" s="20">
        <v>1.3595999999999999</v>
      </c>
      <c r="T856" s="20">
        <v>1.4141999999999999</v>
      </c>
      <c r="U856" s="20">
        <v>1.4668000000000001</v>
      </c>
      <c r="V856" s="20">
        <v>1.5176000000000001</v>
      </c>
      <c r="W856"/>
      <c r="X856"/>
      <c r="Y856"/>
      <c r="Z856"/>
    </row>
    <row r="857" spans="1:26" x14ac:dyDescent="0.2">
      <c r="A857" s="19">
        <v>0.85099999999999998</v>
      </c>
      <c r="B857" s="20">
        <v>0</v>
      </c>
      <c r="C857" s="20">
        <v>0.11219999999999999</v>
      </c>
      <c r="D857" s="20">
        <v>0.219</v>
      </c>
      <c r="E857" s="20">
        <v>0.32069999999999999</v>
      </c>
      <c r="F857" s="20">
        <v>0.41770000000000002</v>
      </c>
      <c r="G857" s="20">
        <v>0.51019999999999999</v>
      </c>
      <c r="H857" s="20">
        <v>0.59860000000000002</v>
      </c>
      <c r="I857" s="20">
        <v>0.68310000000000004</v>
      </c>
      <c r="J857" s="20">
        <v>0.76400000000000001</v>
      </c>
      <c r="K857" s="20">
        <v>0.84140000000000004</v>
      </c>
      <c r="L857" s="20">
        <v>0.91559999999999997</v>
      </c>
      <c r="M857" s="20">
        <v>0.98680000000000001</v>
      </c>
      <c r="N857" s="20">
        <v>1.0550999999999999</v>
      </c>
      <c r="O857" s="20">
        <v>1.1208</v>
      </c>
      <c r="P857" s="20">
        <v>1.1839999999999999</v>
      </c>
      <c r="Q857" s="20">
        <v>1.2448999999999999</v>
      </c>
      <c r="R857" s="20">
        <v>1.3035000000000001</v>
      </c>
      <c r="S857" s="20">
        <v>1.36</v>
      </c>
      <c r="T857" s="20">
        <v>1.4145000000000001</v>
      </c>
      <c r="U857" s="20">
        <v>1.4671000000000001</v>
      </c>
      <c r="V857" s="20">
        <v>1.518</v>
      </c>
      <c r="W857"/>
      <c r="X857"/>
      <c r="Y857"/>
      <c r="Z857"/>
    </row>
    <row r="858" spans="1:26" x14ac:dyDescent="0.2">
      <c r="A858" s="19">
        <v>0.85199999999999998</v>
      </c>
      <c r="B858" s="20">
        <v>0</v>
      </c>
      <c r="C858" s="20">
        <v>0.11219999999999999</v>
      </c>
      <c r="D858" s="20">
        <v>0.219</v>
      </c>
      <c r="E858" s="20">
        <v>0.32079999999999997</v>
      </c>
      <c r="F858" s="20">
        <v>0.4178</v>
      </c>
      <c r="G858" s="20">
        <v>0.51039999999999996</v>
      </c>
      <c r="H858" s="20">
        <v>0.5988</v>
      </c>
      <c r="I858" s="20">
        <v>0.68330000000000002</v>
      </c>
      <c r="J858" s="20">
        <v>0.76419999999999999</v>
      </c>
      <c r="K858" s="20">
        <v>0.84160000000000001</v>
      </c>
      <c r="L858" s="20">
        <v>0.91579999999999995</v>
      </c>
      <c r="M858" s="20">
        <v>0.98709999999999998</v>
      </c>
      <c r="N858" s="20">
        <v>1.0553999999999999</v>
      </c>
      <c r="O858" s="20">
        <v>1.1211</v>
      </c>
      <c r="P858" s="20">
        <v>1.1842999999999999</v>
      </c>
      <c r="Q858" s="20">
        <v>1.2452000000000001</v>
      </c>
      <c r="R858" s="20">
        <v>1.3038000000000001</v>
      </c>
      <c r="S858" s="20">
        <v>1.3603000000000001</v>
      </c>
      <c r="T858" s="20">
        <v>1.4148000000000001</v>
      </c>
      <c r="U858" s="20">
        <v>1.4674</v>
      </c>
      <c r="V858" s="20">
        <v>1.5183</v>
      </c>
      <c r="W858"/>
      <c r="X858"/>
      <c r="Y858"/>
      <c r="Z858"/>
    </row>
    <row r="859" spans="1:26" x14ac:dyDescent="0.2">
      <c r="A859" s="19">
        <v>0.85299999999999998</v>
      </c>
      <c r="B859" s="20">
        <v>0</v>
      </c>
      <c r="C859" s="20">
        <v>0.11219999999999999</v>
      </c>
      <c r="D859" s="20">
        <v>0.21909999999999999</v>
      </c>
      <c r="E859" s="20">
        <v>0.32090000000000002</v>
      </c>
      <c r="F859" s="20">
        <v>0.41789999999999999</v>
      </c>
      <c r="G859" s="20">
        <v>0.51049999999999995</v>
      </c>
      <c r="H859" s="20">
        <v>0.59899999999999998</v>
      </c>
      <c r="I859" s="20">
        <v>0.6835</v>
      </c>
      <c r="J859" s="20">
        <v>0.76439999999999997</v>
      </c>
      <c r="K859" s="20">
        <v>0.84189999999999998</v>
      </c>
      <c r="L859" s="20">
        <v>0.91610000000000003</v>
      </c>
      <c r="M859" s="20">
        <v>0.98729999999999996</v>
      </c>
      <c r="N859" s="20">
        <v>1.0557000000000001</v>
      </c>
      <c r="O859" s="20">
        <v>1.1214</v>
      </c>
      <c r="P859" s="20">
        <v>1.1846000000000001</v>
      </c>
      <c r="Q859" s="20">
        <v>1.2455000000000001</v>
      </c>
      <c r="R859" s="20">
        <v>1.3041</v>
      </c>
      <c r="S859" s="20">
        <v>1.3606</v>
      </c>
      <c r="T859" s="20">
        <v>1.4151</v>
      </c>
      <c r="U859" s="20">
        <v>1.4677</v>
      </c>
      <c r="V859" s="20">
        <v>1.5185999999999999</v>
      </c>
      <c r="W859"/>
      <c r="X859"/>
      <c r="Y859"/>
      <c r="Z859"/>
    </row>
    <row r="860" spans="1:26" x14ac:dyDescent="0.2">
      <c r="A860" s="19">
        <v>0.85399999999999998</v>
      </c>
      <c r="B860" s="20">
        <v>0</v>
      </c>
      <c r="C860" s="20">
        <v>0.1123</v>
      </c>
      <c r="D860" s="20">
        <v>0.21909999999999999</v>
      </c>
      <c r="E860" s="20">
        <v>0.32100000000000001</v>
      </c>
      <c r="F860" s="20">
        <v>0.41799999999999998</v>
      </c>
      <c r="G860" s="20">
        <v>0.51070000000000004</v>
      </c>
      <c r="H860" s="20">
        <v>0.59909999999999997</v>
      </c>
      <c r="I860" s="20">
        <v>0.68369999999999997</v>
      </c>
      <c r="J860" s="20">
        <v>0.76459999999999995</v>
      </c>
      <c r="K860" s="20">
        <v>0.84209999999999996</v>
      </c>
      <c r="L860" s="20">
        <v>0.9163</v>
      </c>
      <c r="M860" s="20">
        <v>0.98760000000000003</v>
      </c>
      <c r="N860" s="20">
        <v>1.056</v>
      </c>
      <c r="O860" s="20">
        <v>1.1216999999999999</v>
      </c>
      <c r="P860" s="20">
        <v>1.1849000000000001</v>
      </c>
      <c r="Q860" s="20">
        <v>1.2458</v>
      </c>
      <c r="R860" s="20">
        <v>1.3044</v>
      </c>
      <c r="S860" s="20">
        <v>1.3609</v>
      </c>
      <c r="T860" s="20">
        <v>1.4154</v>
      </c>
      <c r="U860" s="20">
        <v>1.4681</v>
      </c>
      <c r="V860" s="20">
        <v>1.5188999999999999</v>
      </c>
      <c r="W860"/>
      <c r="X860"/>
      <c r="Y860"/>
      <c r="Z860"/>
    </row>
    <row r="861" spans="1:26" x14ac:dyDescent="0.2">
      <c r="A861" s="19">
        <v>0.85499999999999998</v>
      </c>
      <c r="B861" s="20">
        <v>0</v>
      </c>
      <c r="C861" s="20">
        <v>0.1123</v>
      </c>
      <c r="D861" s="20">
        <v>0.21920000000000001</v>
      </c>
      <c r="E861" s="20">
        <v>0.3211</v>
      </c>
      <c r="F861" s="20">
        <v>0.41820000000000002</v>
      </c>
      <c r="G861" s="20">
        <v>0.51080000000000003</v>
      </c>
      <c r="H861" s="20">
        <v>0.59930000000000005</v>
      </c>
      <c r="I861" s="20">
        <v>0.68389999999999995</v>
      </c>
      <c r="J861" s="20">
        <v>0.76480000000000004</v>
      </c>
      <c r="K861" s="20">
        <v>0.84230000000000005</v>
      </c>
      <c r="L861" s="20">
        <v>0.91659999999999997</v>
      </c>
      <c r="M861" s="20">
        <v>0.98780000000000001</v>
      </c>
      <c r="N861" s="20">
        <v>1.0562</v>
      </c>
      <c r="O861" s="20">
        <v>1.1220000000000001</v>
      </c>
      <c r="P861" s="20">
        <v>1.1852</v>
      </c>
      <c r="Q861" s="20">
        <v>1.2461</v>
      </c>
      <c r="R861" s="20">
        <v>1.3047</v>
      </c>
      <c r="S861" s="20">
        <v>1.3612</v>
      </c>
      <c r="T861" s="20">
        <v>1.4157</v>
      </c>
      <c r="U861" s="20">
        <v>1.4683999999999999</v>
      </c>
      <c r="V861" s="20">
        <v>1.5192000000000001</v>
      </c>
      <c r="W861"/>
      <c r="X861"/>
      <c r="Y861"/>
      <c r="Z861"/>
    </row>
    <row r="862" spans="1:26" x14ac:dyDescent="0.2">
      <c r="A862" s="19">
        <v>0.85599999999999998</v>
      </c>
      <c r="B862" s="20">
        <v>0</v>
      </c>
      <c r="C862" s="20">
        <v>0.1123</v>
      </c>
      <c r="D862" s="20">
        <v>0.21929999999999999</v>
      </c>
      <c r="E862" s="20">
        <v>0.3211</v>
      </c>
      <c r="F862" s="20">
        <v>0.41830000000000001</v>
      </c>
      <c r="G862" s="20">
        <v>0.51100000000000001</v>
      </c>
      <c r="H862" s="20">
        <v>0.59950000000000003</v>
      </c>
      <c r="I862" s="20">
        <v>0.68410000000000004</v>
      </c>
      <c r="J862" s="20">
        <v>0.76500000000000001</v>
      </c>
      <c r="K862" s="20">
        <v>0.84250000000000003</v>
      </c>
      <c r="L862" s="20">
        <v>0.91679999999999995</v>
      </c>
      <c r="M862" s="20">
        <v>0.98809999999999998</v>
      </c>
      <c r="N862" s="20">
        <v>1.0565</v>
      </c>
      <c r="O862" s="20">
        <v>1.1223000000000001</v>
      </c>
      <c r="P862" s="20">
        <v>1.1855</v>
      </c>
      <c r="Q862" s="20">
        <v>1.2464</v>
      </c>
      <c r="R862" s="20">
        <v>1.3049999999999999</v>
      </c>
      <c r="S862" s="20">
        <v>1.3614999999999999</v>
      </c>
      <c r="T862" s="20">
        <v>1.4160999999999999</v>
      </c>
      <c r="U862" s="20">
        <v>1.4686999999999999</v>
      </c>
      <c r="V862" s="20">
        <v>1.5196000000000001</v>
      </c>
      <c r="W862"/>
      <c r="X862"/>
      <c r="Y862"/>
      <c r="Z862"/>
    </row>
    <row r="863" spans="1:26" x14ac:dyDescent="0.2">
      <c r="A863" s="19">
        <v>0.85699999999999998</v>
      </c>
      <c r="B863" s="20">
        <v>0</v>
      </c>
      <c r="C863" s="20">
        <v>0.1124</v>
      </c>
      <c r="D863" s="20">
        <v>0.21929999999999999</v>
      </c>
      <c r="E863" s="20">
        <v>0.32119999999999999</v>
      </c>
      <c r="F863" s="20">
        <v>0.41839999999999999</v>
      </c>
      <c r="G863" s="20">
        <v>0.5111</v>
      </c>
      <c r="H863" s="20">
        <v>0.59960000000000002</v>
      </c>
      <c r="I863" s="20">
        <v>0.68430000000000002</v>
      </c>
      <c r="J863" s="20">
        <v>0.76519999999999999</v>
      </c>
      <c r="K863" s="20">
        <v>0.84279999999999999</v>
      </c>
      <c r="L863" s="20">
        <v>0.91710000000000003</v>
      </c>
      <c r="M863" s="20">
        <v>0.98839999999999995</v>
      </c>
      <c r="N863" s="20">
        <v>1.0568</v>
      </c>
      <c r="O863" s="20">
        <v>1.1226</v>
      </c>
      <c r="P863" s="20">
        <v>1.1858</v>
      </c>
      <c r="Q863" s="20">
        <v>1.2466999999999999</v>
      </c>
      <c r="R863" s="20">
        <v>1.3052999999999999</v>
      </c>
      <c r="S863" s="20">
        <v>1.3617999999999999</v>
      </c>
      <c r="T863" s="20">
        <v>1.4164000000000001</v>
      </c>
      <c r="U863" s="20">
        <v>1.4690000000000001</v>
      </c>
      <c r="V863" s="20">
        <v>1.5199</v>
      </c>
      <c r="W863"/>
      <c r="X863"/>
      <c r="Y863"/>
      <c r="Z863"/>
    </row>
    <row r="864" spans="1:26" x14ac:dyDescent="0.2">
      <c r="A864" s="19">
        <v>0.85799999999999998</v>
      </c>
      <c r="B864" s="20">
        <v>0</v>
      </c>
      <c r="C864" s="20">
        <v>0.1124</v>
      </c>
      <c r="D864" s="20">
        <v>0.21940000000000001</v>
      </c>
      <c r="E864" s="20">
        <v>0.32129999999999997</v>
      </c>
      <c r="F864" s="20">
        <v>0.41849999999999998</v>
      </c>
      <c r="G864" s="20">
        <v>0.51119999999999999</v>
      </c>
      <c r="H864" s="20">
        <v>0.5998</v>
      </c>
      <c r="I864" s="20">
        <v>0.6845</v>
      </c>
      <c r="J864" s="20">
        <v>0.76549999999999996</v>
      </c>
      <c r="K864" s="20">
        <v>0.84299999999999997</v>
      </c>
      <c r="L864" s="20">
        <v>0.9173</v>
      </c>
      <c r="M864" s="20">
        <v>0.98860000000000003</v>
      </c>
      <c r="N864" s="20">
        <v>1.0570999999999999</v>
      </c>
      <c r="O864" s="20">
        <v>1.1228</v>
      </c>
      <c r="P864" s="20">
        <v>1.1860999999999999</v>
      </c>
      <c r="Q864" s="20">
        <v>1.2470000000000001</v>
      </c>
      <c r="R864" s="20">
        <v>1.3056000000000001</v>
      </c>
      <c r="S864" s="20">
        <v>1.3622000000000001</v>
      </c>
      <c r="T864" s="20">
        <v>1.4167000000000001</v>
      </c>
      <c r="U864" s="20">
        <v>1.4693000000000001</v>
      </c>
      <c r="V864" s="20">
        <v>1.5202</v>
      </c>
      <c r="W864"/>
      <c r="X864"/>
      <c r="Y864"/>
      <c r="Z864"/>
    </row>
    <row r="865" spans="1:26" x14ac:dyDescent="0.2">
      <c r="A865" s="19">
        <v>0.85899999999999999</v>
      </c>
      <c r="B865" s="20">
        <v>0</v>
      </c>
      <c r="C865" s="20">
        <v>0.1124</v>
      </c>
      <c r="D865" s="20">
        <v>0.2195</v>
      </c>
      <c r="E865" s="20">
        <v>0.32140000000000002</v>
      </c>
      <c r="F865" s="20">
        <v>0.41860000000000003</v>
      </c>
      <c r="G865" s="20">
        <v>0.51139999999999997</v>
      </c>
      <c r="H865" s="20">
        <v>0.6</v>
      </c>
      <c r="I865" s="20">
        <v>0.68469999999999998</v>
      </c>
      <c r="J865" s="20">
        <v>0.76570000000000005</v>
      </c>
      <c r="K865" s="20">
        <v>0.84319999999999995</v>
      </c>
      <c r="L865" s="20">
        <v>0.91759999999999997</v>
      </c>
      <c r="M865" s="20">
        <v>0.9889</v>
      </c>
      <c r="N865" s="20">
        <v>1.0572999999999999</v>
      </c>
      <c r="O865" s="20">
        <v>1.1231</v>
      </c>
      <c r="P865" s="20">
        <v>1.1863999999999999</v>
      </c>
      <c r="Q865" s="20">
        <v>1.2473000000000001</v>
      </c>
      <c r="R865" s="20">
        <v>1.3059000000000001</v>
      </c>
      <c r="S865" s="20">
        <v>1.3625</v>
      </c>
      <c r="T865" s="20">
        <v>1.417</v>
      </c>
      <c r="U865" s="20">
        <v>1.4697</v>
      </c>
      <c r="V865" s="20">
        <v>1.5205</v>
      </c>
      <c r="W865"/>
      <c r="X865"/>
      <c r="Y865"/>
      <c r="Z865"/>
    </row>
    <row r="866" spans="1:26" x14ac:dyDescent="0.2">
      <c r="A866" s="19">
        <v>0.86</v>
      </c>
      <c r="B866" s="20">
        <v>0</v>
      </c>
      <c r="C866" s="20">
        <v>0.1125</v>
      </c>
      <c r="D866" s="20">
        <v>0.2195</v>
      </c>
      <c r="E866" s="20">
        <v>0.32150000000000001</v>
      </c>
      <c r="F866" s="20">
        <v>0.41880000000000001</v>
      </c>
      <c r="G866" s="20">
        <v>0.51149999999999995</v>
      </c>
      <c r="H866" s="20">
        <v>0.60009999999999997</v>
      </c>
      <c r="I866" s="20">
        <v>0.68479999999999996</v>
      </c>
      <c r="J866" s="20">
        <v>0.76590000000000003</v>
      </c>
      <c r="K866" s="20">
        <v>0.84350000000000003</v>
      </c>
      <c r="L866" s="20">
        <v>0.91779999999999995</v>
      </c>
      <c r="M866" s="20">
        <v>0.98909999999999998</v>
      </c>
      <c r="N866" s="20">
        <v>1.0576000000000001</v>
      </c>
      <c r="O866" s="20">
        <v>1.1234</v>
      </c>
      <c r="P866" s="20">
        <v>1.1867000000000001</v>
      </c>
      <c r="Q866" s="20">
        <v>1.2476</v>
      </c>
      <c r="R866" s="20">
        <v>1.3062</v>
      </c>
      <c r="S866" s="20">
        <v>1.3628</v>
      </c>
      <c r="T866" s="20">
        <v>1.4173</v>
      </c>
      <c r="U866" s="20">
        <v>1.47</v>
      </c>
      <c r="V866" s="20">
        <v>1.5207999999999999</v>
      </c>
      <c r="W866"/>
      <c r="X866"/>
      <c r="Y866"/>
      <c r="Z866"/>
    </row>
    <row r="867" spans="1:26" x14ac:dyDescent="0.2">
      <c r="A867" s="19">
        <v>0.86099999999999999</v>
      </c>
      <c r="B867" s="20">
        <v>0</v>
      </c>
      <c r="C867" s="20">
        <v>0.1125</v>
      </c>
      <c r="D867" s="20">
        <v>0.21959999999999999</v>
      </c>
      <c r="E867" s="20">
        <v>0.3216</v>
      </c>
      <c r="F867" s="20">
        <v>0.41889999999999999</v>
      </c>
      <c r="G867" s="20">
        <v>0.51170000000000004</v>
      </c>
      <c r="H867" s="20">
        <v>0.60029999999999994</v>
      </c>
      <c r="I867" s="20">
        <v>0.68500000000000005</v>
      </c>
      <c r="J867" s="20">
        <v>0.7661</v>
      </c>
      <c r="K867" s="20">
        <v>0.84370000000000001</v>
      </c>
      <c r="L867" s="20">
        <v>0.91810000000000003</v>
      </c>
      <c r="M867" s="20">
        <v>0.98939999999999995</v>
      </c>
      <c r="N867" s="20">
        <v>1.0579000000000001</v>
      </c>
      <c r="O867" s="20">
        <v>1.1236999999999999</v>
      </c>
      <c r="P867" s="20">
        <v>1.1870000000000001</v>
      </c>
      <c r="Q867" s="20">
        <v>1.2479</v>
      </c>
      <c r="R867" s="20">
        <v>1.3065</v>
      </c>
      <c r="S867" s="20">
        <v>1.3631</v>
      </c>
      <c r="T867" s="20">
        <v>1.4176</v>
      </c>
      <c r="U867" s="20">
        <v>1.4702999999999999</v>
      </c>
      <c r="V867" s="20">
        <v>1.5210999999999999</v>
      </c>
      <c r="W867"/>
      <c r="X867"/>
      <c r="Y867"/>
      <c r="Z867"/>
    </row>
    <row r="868" spans="1:26" x14ac:dyDescent="0.2">
      <c r="A868" s="19">
        <v>0.86199999999999999</v>
      </c>
      <c r="B868" s="20">
        <v>0</v>
      </c>
      <c r="C868" s="20">
        <v>0.1125</v>
      </c>
      <c r="D868" s="20">
        <v>0.21959999999999999</v>
      </c>
      <c r="E868" s="20">
        <v>0.32169999999999999</v>
      </c>
      <c r="F868" s="20">
        <v>0.41899999999999998</v>
      </c>
      <c r="G868" s="20">
        <v>0.51180000000000003</v>
      </c>
      <c r="H868" s="20">
        <v>0.60050000000000003</v>
      </c>
      <c r="I868" s="20">
        <v>0.68520000000000003</v>
      </c>
      <c r="J868" s="20">
        <v>0.76629999999999998</v>
      </c>
      <c r="K868" s="20">
        <v>0.84389999999999998</v>
      </c>
      <c r="L868" s="20">
        <v>0.91830000000000001</v>
      </c>
      <c r="M868" s="20">
        <v>0.98960000000000004</v>
      </c>
      <c r="N868" s="20">
        <v>1.0581</v>
      </c>
      <c r="O868" s="20">
        <v>1.1240000000000001</v>
      </c>
      <c r="P868" s="20">
        <v>1.1873</v>
      </c>
      <c r="Q868" s="20">
        <v>1.2482</v>
      </c>
      <c r="R868" s="20">
        <v>1.3068</v>
      </c>
      <c r="S868" s="20">
        <v>1.3633999999999999</v>
      </c>
      <c r="T868" s="20">
        <v>1.4179999999999999</v>
      </c>
      <c r="U868" s="20">
        <v>1.4705999999999999</v>
      </c>
      <c r="V868" s="20">
        <v>1.5215000000000001</v>
      </c>
      <c r="W868"/>
      <c r="X868"/>
      <c r="Y868"/>
      <c r="Z868"/>
    </row>
    <row r="869" spans="1:26" x14ac:dyDescent="0.2">
      <c r="A869" s="19">
        <v>0.86299999999999999</v>
      </c>
      <c r="B869" s="20">
        <v>0</v>
      </c>
      <c r="C869" s="20">
        <v>0.11260000000000001</v>
      </c>
      <c r="D869" s="20">
        <v>0.21970000000000001</v>
      </c>
      <c r="E869" s="20">
        <v>0.32179999999999997</v>
      </c>
      <c r="F869" s="20">
        <v>0.41909999999999997</v>
      </c>
      <c r="G869" s="20">
        <v>0.51200000000000001</v>
      </c>
      <c r="H869" s="20">
        <v>0.60060000000000002</v>
      </c>
      <c r="I869" s="20">
        <v>0.68540000000000001</v>
      </c>
      <c r="J869" s="20">
        <v>0.76649999999999996</v>
      </c>
      <c r="K869" s="20">
        <v>0.84409999999999996</v>
      </c>
      <c r="L869" s="20">
        <v>0.91849999999999998</v>
      </c>
      <c r="M869" s="20">
        <v>0.9899</v>
      </c>
      <c r="N869" s="20">
        <v>1.0584</v>
      </c>
      <c r="O869" s="20">
        <v>1.1242000000000001</v>
      </c>
      <c r="P869" s="20">
        <v>1.1875</v>
      </c>
      <c r="Q869" s="20">
        <v>1.2484999999999999</v>
      </c>
      <c r="R869" s="20">
        <v>1.3071999999999999</v>
      </c>
      <c r="S869" s="20">
        <v>1.3636999999999999</v>
      </c>
      <c r="T869" s="20">
        <v>1.4182999999999999</v>
      </c>
      <c r="U869" s="20">
        <v>1.4709000000000001</v>
      </c>
      <c r="V869" s="20">
        <v>1.5218</v>
      </c>
      <c r="W869"/>
      <c r="X869"/>
      <c r="Y869"/>
      <c r="Z869"/>
    </row>
    <row r="870" spans="1:26" x14ac:dyDescent="0.2">
      <c r="A870" s="19">
        <v>0.86399999999999999</v>
      </c>
      <c r="B870" s="20">
        <v>0</v>
      </c>
      <c r="C870" s="20">
        <v>0.11260000000000001</v>
      </c>
      <c r="D870" s="20">
        <v>0.2198</v>
      </c>
      <c r="E870" s="20">
        <v>0.32190000000000002</v>
      </c>
      <c r="F870" s="20">
        <v>0.41920000000000002</v>
      </c>
      <c r="G870" s="20">
        <v>0.5121</v>
      </c>
      <c r="H870" s="20">
        <v>0.6008</v>
      </c>
      <c r="I870" s="20">
        <v>0.68559999999999999</v>
      </c>
      <c r="J870" s="20">
        <v>0.76670000000000005</v>
      </c>
      <c r="K870" s="20">
        <v>0.84440000000000004</v>
      </c>
      <c r="L870" s="20">
        <v>0.91879999999999995</v>
      </c>
      <c r="M870" s="20">
        <v>0.99019999999999997</v>
      </c>
      <c r="N870" s="20">
        <v>1.0587</v>
      </c>
      <c r="O870" s="20">
        <v>1.1245000000000001</v>
      </c>
      <c r="P870" s="20">
        <v>1.1878</v>
      </c>
      <c r="Q870" s="20">
        <v>1.2487999999999999</v>
      </c>
      <c r="R870" s="20">
        <v>1.3075000000000001</v>
      </c>
      <c r="S870" s="20">
        <v>1.3640000000000001</v>
      </c>
      <c r="T870" s="20">
        <v>1.4186000000000001</v>
      </c>
      <c r="U870" s="20">
        <v>1.4712000000000001</v>
      </c>
      <c r="V870" s="20">
        <v>1.5221</v>
      </c>
      <c r="W870"/>
      <c r="X870"/>
      <c r="Y870"/>
      <c r="Z870"/>
    </row>
    <row r="871" spans="1:26" x14ac:dyDescent="0.2">
      <c r="A871" s="19">
        <v>0.86499999999999999</v>
      </c>
      <c r="B871" s="20">
        <v>0</v>
      </c>
      <c r="C871" s="20">
        <v>0.11260000000000001</v>
      </c>
      <c r="D871" s="20">
        <v>0.2198</v>
      </c>
      <c r="E871" s="20">
        <v>0.32200000000000001</v>
      </c>
      <c r="F871" s="20">
        <v>0.41930000000000001</v>
      </c>
      <c r="G871" s="20">
        <v>0.51229999999999998</v>
      </c>
      <c r="H871" s="20">
        <v>0.60099999999999998</v>
      </c>
      <c r="I871" s="20">
        <v>0.68579999999999997</v>
      </c>
      <c r="J871" s="20">
        <v>0.76690000000000003</v>
      </c>
      <c r="K871" s="20">
        <v>0.84460000000000002</v>
      </c>
      <c r="L871" s="20">
        <v>0.91900000000000004</v>
      </c>
      <c r="M871" s="20">
        <v>0.99039999999999995</v>
      </c>
      <c r="N871" s="20">
        <v>1.0589999999999999</v>
      </c>
      <c r="O871" s="20">
        <v>1.1248</v>
      </c>
      <c r="P871" s="20">
        <v>1.1880999999999999</v>
      </c>
      <c r="Q871" s="20">
        <v>1.2491000000000001</v>
      </c>
      <c r="R871" s="20">
        <v>1.3078000000000001</v>
      </c>
      <c r="S871" s="20">
        <v>1.3643000000000001</v>
      </c>
      <c r="T871" s="20">
        <v>1.4189000000000001</v>
      </c>
      <c r="U871" s="20">
        <v>1.4716</v>
      </c>
      <c r="V871" s="20">
        <v>1.5224</v>
      </c>
      <c r="W871"/>
      <c r="X871"/>
      <c r="Y871"/>
      <c r="Z871"/>
    </row>
    <row r="872" spans="1:26" x14ac:dyDescent="0.2">
      <c r="A872" s="19">
        <v>0.86599999999999999</v>
      </c>
      <c r="B872" s="20">
        <v>0</v>
      </c>
      <c r="C872" s="20">
        <v>0.11269999999999999</v>
      </c>
      <c r="D872" s="20">
        <v>0.21990000000000001</v>
      </c>
      <c r="E872" s="20">
        <v>0.3221</v>
      </c>
      <c r="F872" s="20">
        <v>0.41949999999999998</v>
      </c>
      <c r="G872" s="20">
        <v>0.51239999999999997</v>
      </c>
      <c r="H872" s="20">
        <v>0.60109999999999997</v>
      </c>
      <c r="I872" s="20">
        <v>0.68600000000000005</v>
      </c>
      <c r="J872" s="20">
        <v>0.7671</v>
      </c>
      <c r="K872" s="20">
        <v>0.8448</v>
      </c>
      <c r="L872" s="20">
        <v>0.91930000000000001</v>
      </c>
      <c r="M872" s="20">
        <v>0.99070000000000003</v>
      </c>
      <c r="N872" s="20">
        <v>1.0591999999999999</v>
      </c>
      <c r="O872" s="20">
        <v>1.1251</v>
      </c>
      <c r="P872" s="20">
        <v>1.1883999999999999</v>
      </c>
      <c r="Q872" s="20">
        <v>1.2494000000000001</v>
      </c>
      <c r="R872" s="20">
        <v>1.3081</v>
      </c>
      <c r="S872" s="20">
        <v>1.3646</v>
      </c>
      <c r="T872" s="20">
        <v>1.4192</v>
      </c>
      <c r="U872" s="20">
        <v>1.4719</v>
      </c>
      <c r="V872" s="20">
        <v>1.5226999999999999</v>
      </c>
      <c r="W872"/>
      <c r="X872"/>
      <c r="Y872"/>
      <c r="Z872"/>
    </row>
    <row r="873" spans="1:26" x14ac:dyDescent="0.2">
      <c r="A873" s="19">
        <v>0.86699999999999999</v>
      </c>
      <c r="B873" s="20">
        <v>0</v>
      </c>
      <c r="C873" s="20">
        <v>0.11269999999999999</v>
      </c>
      <c r="D873" s="20">
        <v>0.22</v>
      </c>
      <c r="E873" s="20">
        <v>0.32219999999999999</v>
      </c>
      <c r="F873" s="20">
        <v>0.41959999999999997</v>
      </c>
      <c r="G873" s="20">
        <v>0.51249999999999996</v>
      </c>
      <c r="H873" s="20">
        <v>0.60129999999999995</v>
      </c>
      <c r="I873" s="20">
        <v>0.68620000000000003</v>
      </c>
      <c r="J873" s="20">
        <v>0.76729999999999998</v>
      </c>
      <c r="K873" s="20">
        <v>0.84499999999999997</v>
      </c>
      <c r="L873" s="20">
        <v>0.91949999999999998</v>
      </c>
      <c r="M873" s="20">
        <v>0.9909</v>
      </c>
      <c r="N873" s="20">
        <v>1.0595000000000001</v>
      </c>
      <c r="O873" s="20">
        <v>1.1254</v>
      </c>
      <c r="P873" s="20">
        <v>1.1887000000000001</v>
      </c>
      <c r="Q873" s="20">
        <v>1.2497</v>
      </c>
      <c r="R873" s="20">
        <v>1.3084</v>
      </c>
      <c r="S873" s="20">
        <v>1.3649</v>
      </c>
      <c r="T873" s="20">
        <v>1.4195</v>
      </c>
      <c r="U873" s="20">
        <v>1.4722</v>
      </c>
      <c r="V873" s="20">
        <v>1.5229999999999999</v>
      </c>
      <c r="W873"/>
      <c r="X873"/>
      <c r="Y873"/>
      <c r="Z873"/>
    </row>
    <row r="874" spans="1:26" x14ac:dyDescent="0.2">
      <c r="A874" s="19">
        <v>0.86799999999999999</v>
      </c>
      <c r="B874" s="20">
        <v>0</v>
      </c>
      <c r="C874" s="20">
        <v>0.11269999999999999</v>
      </c>
      <c r="D874" s="20">
        <v>0.22</v>
      </c>
      <c r="E874" s="20">
        <v>0.32219999999999999</v>
      </c>
      <c r="F874" s="20">
        <v>0.41970000000000002</v>
      </c>
      <c r="G874" s="20">
        <v>0.51270000000000004</v>
      </c>
      <c r="H874" s="20">
        <v>0.60150000000000003</v>
      </c>
      <c r="I874" s="20">
        <v>0.68630000000000002</v>
      </c>
      <c r="J874" s="20">
        <v>0.76749999999999996</v>
      </c>
      <c r="K874" s="20">
        <v>0.84530000000000005</v>
      </c>
      <c r="L874" s="20">
        <v>0.91969999999999996</v>
      </c>
      <c r="M874" s="20">
        <v>0.99119999999999997</v>
      </c>
      <c r="N874" s="20">
        <v>1.0598000000000001</v>
      </c>
      <c r="O874" s="20">
        <v>1.1255999999999999</v>
      </c>
      <c r="P874" s="20">
        <v>1.1890000000000001</v>
      </c>
      <c r="Q874" s="20">
        <v>1.25</v>
      </c>
      <c r="R874" s="20">
        <v>1.3087</v>
      </c>
      <c r="S874" s="20">
        <v>1.3653</v>
      </c>
      <c r="T874" s="20">
        <v>1.4198</v>
      </c>
      <c r="U874" s="20">
        <v>1.4724999999999999</v>
      </c>
      <c r="V874" s="20">
        <v>1.5233000000000001</v>
      </c>
      <c r="W874"/>
      <c r="X874"/>
      <c r="Y874"/>
      <c r="Z874"/>
    </row>
    <row r="875" spans="1:26" x14ac:dyDescent="0.2">
      <c r="A875" s="19">
        <v>0.86899999999999999</v>
      </c>
      <c r="B875" s="20">
        <v>0</v>
      </c>
      <c r="C875" s="20">
        <v>0.1128</v>
      </c>
      <c r="D875" s="20">
        <v>0.22009999999999999</v>
      </c>
      <c r="E875" s="20">
        <v>0.32229999999999998</v>
      </c>
      <c r="F875" s="20">
        <v>0.41980000000000001</v>
      </c>
      <c r="G875" s="20">
        <v>0.51280000000000003</v>
      </c>
      <c r="H875" s="20">
        <v>0.60160000000000002</v>
      </c>
      <c r="I875" s="20">
        <v>0.6865</v>
      </c>
      <c r="J875" s="20">
        <v>0.76770000000000005</v>
      </c>
      <c r="K875" s="20">
        <v>0.84550000000000003</v>
      </c>
      <c r="L875" s="20">
        <v>0.92</v>
      </c>
      <c r="M875" s="20">
        <v>0.99139999999999995</v>
      </c>
      <c r="N875" s="20">
        <v>1.06</v>
      </c>
      <c r="O875" s="20">
        <v>1.1258999999999999</v>
      </c>
      <c r="P875" s="20">
        <v>1.1893</v>
      </c>
      <c r="Q875" s="20">
        <v>1.2503</v>
      </c>
      <c r="R875" s="20">
        <v>1.3089999999999999</v>
      </c>
      <c r="S875" s="20">
        <v>1.3655999999999999</v>
      </c>
      <c r="T875" s="20">
        <v>1.4200999999999999</v>
      </c>
      <c r="U875" s="20">
        <v>1.4728000000000001</v>
      </c>
      <c r="V875" s="20">
        <v>1.5237000000000001</v>
      </c>
      <c r="W875"/>
      <c r="X875"/>
      <c r="Y875"/>
      <c r="Z875"/>
    </row>
    <row r="876" spans="1:26" x14ac:dyDescent="0.2">
      <c r="A876" s="19">
        <v>0.87</v>
      </c>
      <c r="B876" s="20">
        <v>0</v>
      </c>
      <c r="C876" s="20">
        <v>0.1128</v>
      </c>
      <c r="D876" s="20">
        <v>0.22009999999999999</v>
      </c>
      <c r="E876" s="20">
        <v>0.32240000000000002</v>
      </c>
      <c r="F876" s="20">
        <v>0.4199</v>
      </c>
      <c r="G876" s="20">
        <v>0.51300000000000001</v>
      </c>
      <c r="H876" s="20">
        <v>0.6018</v>
      </c>
      <c r="I876" s="20">
        <v>0.68669999999999998</v>
      </c>
      <c r="J876" s="20">
        <v>0.76790000000000003</v>
      </c>
      <c r="K876" s="20">
        <v>0.84570000000000001</v>
      </c>
      <c r="L876" s="20">
        <v>0.92020000000000002</v>
      </c>
      <c r="M876" s="20">
        <v>0.99170000000000003</v>
      </c>
      <c r="N876" s="20">
        <v>1.0603</v>
      </c>
      <c r="O876" s="20">
        <v>1.1262000000000001</v>
      </c>
      <c r="P876" s="20">
        <v>1.1896</v>
      </c>
      <c r="Q876" s="20">
        <v>1.2504999999999999</v>
      </c>
      <c r="R876" s="20">
        <v>1.3092999999999999</v>
      </c>
      <c r="S876" s="20">
        <v>1.3658999999999999</v>
      </c>
      <c r="T876" s="20">
        <v>1.4204000000000001</v>
      </c>
      <c r="U876" s="20">
        <v>1.4731000000000001</v>
      </c>
      <c r="V876" s="20">
        <v>1.524</v>
      </c>
      <c r="W876"/>
      <c r="X876"/>
      <c r="Y876"/>
      <c r="Z876"/>
    </row>
    <row r="877" spans="1:26" x14ac:dyDescent="0.2">
      <c r="A877" s="19">
        <v>0.871</v>
      </c>
      <c r="B877" s="20">
        <v>0</v>
      </c>
      <c r="C877" s="20">
        <v>0.1128</v>
      </c>
      <c r="D877" s="20">
        <v>0.22020000000000001</v>
      </c>
      <c r="E877" s="20">
        <v>0.32250000000000001</v>
      </c>
      <c r="F877" s="20">
        <v>0.42</v>
      </c>
      <c r="G877" s="20">
        <v>0.5131</v>
      </c>
      <c r="H877" s="20">
        <v>0.60199999999999998</v>
      </c>
      <c r="I877" s="20">
        <v>0.68689999999999996</v>
      </c>
      <c r="J877" s="20">
        <v>0.76819999999999999</v>
      </c>
      <c r="K877" s="20">
        <v>0.84589999999999999</v>
      </c>
      <c r="L877" s="20">
        <v>0.92049999999999998</v>
      </c>
      <c r="M877" s="20">
        <v>0.9919</v>
      </c>
      <c r="N877" s="20">
        <v>1.0606</v>
      </c>
      <c r="O877" s="20">
        <v>1.1265000000000001</v>
      </c>
      <c r="P877" s="20">
        <v>1.1899</v>
      </c>
      <c r="Q877" s="20">
        <v>1.2507999999999999</v>
      </c>
      <c r="R877" s="20">
        <v>1.3096000000000001</v>
      </c>
      <c r="S877" s="20">
        <v>1.3662000000000001</v>
      </c>
      <c r="T877" s="20">
        <v>1.4208000000000001</v>
      </c>
      <c r="U877" s="20">
        <v>1.4734</v>
      </c>
      <c r="V877" s="20">
        <v>1.5243</v>
      </c>
      <c r="W877"/>
      <c r="X877"/>
      <c r="Y877"/>
      <c r="Z877"/>
    </row>
    <row r="878" spans="1:26" x14ac:dyDescent="0.2">
      <c r="A878" s="19">
        <v>0.872</v>
      </c>
      <c r="B878" s="20">
        <v>0</v>
      </c>
      <c r="C878" s="20">
        <v>0.1128</v>
      </c>
      <c r="D878" s="20">
        <v>0.2203</v>
      </c>
      <c r="E878" s="20">
        <v>0.3226</v>
      </c>
      <c r="F878" s="20">
        <v>0.42020000000000002</v>
      </c>
      <c r="G878" s="20">
        <v>0.51319999999999999</v>
      </c>
      <c r="H878" s="20">
        <v>0.60209999999999997</v>
      </c>
      <c r="I878" s="20">
        <v>0.68710000000000004</v>
      </c>
      <c r="J878" s="20">
        <v>0.76839999999999997</v>
      </c>
      <c r="K878" s="20">
        <v>0.84619999999999995</v>
      </c>
      <c r="L878" s="20">
        <v>0.92069999999999996</v>
      </c>
      <c r="M878" s="20">
        <v>0.99219999999999997</v>
      </c>
      <c r="N878" s="20">
        <v>1.0608</v>
      </c>
      <c r="O878" s="20">
        <v>1.1268</v>
      </c>
      <c r="P878" s="20">
        <v>1.1900999999999999</v>
      </c>
      <c r="Q878" s="20">
        <v>1.2511000000000001</v>
      </c>
      <c r="R878" s="20">
        <v>1.3099000000000001</v>
      </c>
      <c r="S878" s="20">
        <v>1.3665</v>
      </c>
      <c r="T878" s="20">
        <v>1.4211</v>
      </c>
      <c r="U878" s="20">
        <v>1.4737</v>
      </c>
      <c r="V878" s="20">
        <v>1.5246</v>
      </c>
      <c r="W878"/>
      <c r="X878"/>
      <c r="Y878"/>
      <c r="Z878"/>
    </row>
    <row r="879" spans="1:26" x14ac:dyDescent="0.2">
      <c r="A879" s="19">
        <v>0.873</v>
      </c>
      <c r="B879" s="20">
        <v>0</v>
      </c>
      <c r="C879" s="20">
        <v>0.1129</v>
      </c>
      <c r="D879" s="20">
        <v>0.2203</v>
      </c>
      <c r="E879" s="20">
        <v>0.32269999999999999</v>
      </c>
      <c r="F879" s="20">
        <v>0.42030000000000001</v>
      </c>
      <c r="G879" s="20">
        <v>0.51339999999999997</v>
      </c>
      <c r="H879" s="20">
        <v>0.60229999999999995</v>
      </c>
      <c r="I879" s="20">
        <v>0.68730000000000002</v>
      </c>
      <c r="J879" s="20">
        <v>0.76859999999999995</v>
      </c>
      <c r="K879" s="20">
        <v>0.84640000000000004</v>
      </c>
      <c r="L879" s="20">
        <v>0.92090000000000005</v>
      </c>
      <c r="M879" s="20">
        <v>0.99250000000000005</v>
      </c>
      <c r="N879" s="20">
        <v>1.0610999999999999</v>
      </c>
      <c r="O879" s="20">
        <v>1.127</v>
      </c>
      <c r="P879" s="20">
        <v>1.1903999999999999</v>
      </c>
      <c r="Q879" s="20">
        <v>1.2514000000000001</v>
      </c>
      <c r="R879" s="20">
        <v>1.3102</v>
      </c>
      <c r="S879" s="20">
        <v>1.3668</v>
      </c>
      <c r="T879" s="20">
        <v>1.4214</v>
      </c>
      <c r="U879" s="20">
        <v>1.474</v>
      </c>
      <c r="V879" s="20">
        <v>1.5248999999999999</v>
      </c>
      <c r="W879"/>
      <c r="X879"/>
      <c r="Y879"/>
      <c r="Z879"/>
    </row>
    <row r="880" spans="1:26" x14ac:dyDescent="0.2">
      <c r="A880" s="19">
        <v>0.874</v>
      </c>
      <c r="B880" s="20">
        <v>0</v>
      </c>
      <c r="C880" s="20">
        <v>0.1129</v>
      </c>
      <c r="D880" s="20">
        <v>0.22040000000000001</v>
      </c>
      <c r="E880" s="20">
        <v>0.32279999999999998</v>
      </c>
      <c r="F880" s="20">
        <v>0.4204</v>
      </c>
      <c r="G880" s="20">
        <v>0.51349999999999996</v>
      </c>
      <c r="H880" s="20">
        <v>0.60250000000000004</v>
      </c>
      <c r="I880" s="20">
        <v>0.6875</v>
      </c>
      <c r="J880" s="20">
        <v>0.76880000000000004</v>
      </c>
      <c r="K880" s="20">
        <v>0.84660000000000002</v>
      </c>
      <c r="L880" s="20">
        <v>0.92120000000000002</v>
      </c>
      <c r="M880" s="20">
        <v>0.99270000000000003</v>
      </c>
      <c r="N880" s="20">
        <v>1.0613999999999999</v>
      </c>
      <c r="O880" s="20">
        <v>1.1273</v>
      </c>
      <c r="P880" s="20">
        <v>1.1907000000000001</v>
      </c>
      <c r="Q880" s="20">
        <v>1.2517</v>
      </c>
      <c r="R880" s="20">
        <v>1.3105</v>
      </c>
      <c r="S880" s="20">
        <v>1.3671</v>
      </c>
      <c r="T880" s="20">
        <v>1.4217</v>
      </c>
      <c r="U880" s="20">
        <v>1.4743999999999999</v>
      </c>
      <c r="V880" s="20">
        <v>1.5251999999999999</v>
      </c>
      <c r="W880"/>
      <c r="X880"/>
      <c r="Y880"/>
      <c r="Z880"/>
    </row>
    <row r="881" spans="1:26" x14ac:dyDescent="0.2">
      <c r="A881" s="19">
        <v>0.875</v>
      </c>
      <c r="B881" s="20">
        <v>0</v>
      </c>
      <c r="C881" s="20">
        <v>0.1129</v>
      </c>
      <c r="D881" s="20">
        <v>0.2205</v>
      </c>
      <c r="E881" s="20">
        <v>0.32290000000000002</v>
      </c>
      <c r="F881" s="20">
        <v>0.42049999999999998</v>
      </c>
      <c r="G881" s="20">
        <v>0.51370000000000005</v>
      </c>
      <c r="H881" s="20">
        <v>0.60260000000000002</v>
      </c>
      <c r="I881" s="20">
        <v>0.68759999999999999</v>
      </c>
      <c r="J881" s="20">
        <v>0.76900000000000002</v>
      </c>
      <c r="K881" s="20">
        <v>0.8468</v>
      </c>
      <c r="L881" s="20">
        <v>0.9214</v>
      </c>
      <c r="M881" s="20">
        <v>0.99299999999999999</v>
      </c>
      <c r="N881" s="20">
        <v>1.0616000000000001</v>
      </c>
      <c r="O881" s="20">
        <v>1.1275999999999999</v>
      </c>
      <c r="P881" s="20">
        <v>1.1910000000000001</v>
      </c>
      <c r="Q881" s="20">
        <v>1.252</v>
      </c>
      <c r="R881" s="20">
        <v>1.3108</v>
      </c>
      <c r="S881" s="20">
        <v>1.3673999999999999</v>
      </c>
      <c r="T881" s="20">
        <v>1.4219999999999999</v>
      </c>
      <c r="U881" s="20">
        <v>1.4746999999999999</v>
      </c>
      <c r="V881" s="20">
        <v>1.5255000000000001</v>
      </c>
      <c r="W881"/>
      <c r="X881"/>
      <c r="Y881"/>
      <c r="Z881"/>
    </row>
    <row r="882" spans="1:26" x14ac:dyDescent="0.2">
      <c r="A882" s="19">
        <v>0.876</v>
      </c>
      <c r="B882" s="20">
        <v>0</v>
      </c>
      <c r="C882" s="20">
        <v>0.113</v>
      </c>
      <c r="D882" s="20">
        <v>0.2205</v>
      </c>
      <c r="E882" s="20">
        <v>0.32300000000000001</v>
      </c>
      <c r="F882" s="20">
        <v>0.42059999999999997</v>
      </c>
      <c r="G882" s="20">
        <v>0.51380000000000003</v>
      </c>
      <c r="H882" s="20">
        <v>0.6028</v>
      </c>
      <c r="I882" s="20">
        <v>0.68779999999999997</v>
      </c>
      <c r="J882" s="20">
        <v>0.76919999999999999</v>
      </c>
      <c r="K882" s="20">
        <v>0.84699999999999998</v>
      </c>
      <c r="L882" s="20">
        <v>0.92169999999999996</v>
      </c>
      <c r="M882" s="20">
        <v>0.99319999999999997</v>
      </c>
      <c r="N882" s="20">
        <v>1.0619000000000001</v>
      </c>
      <c r="O882" s="20">
        <v>1.1278999999999999</v>
      </c>
      <c r="P882" s="20">
        <v>1.1913</v>
      </c>
      <c r="Q882" s="20">
        <v>1.2523</v>
      </c>
      <c r="R882" s="20">
        <v>1.3110999999999999</v>
      </c>
      <c r="S882" s="20">
        <v>1.3676999999999999</v>
      </c>
      <c r="T882" s="20">
        <v>1.4222999999999999</v>
      </c>
      <c r="U882" s="20">
        <v>1.4750000000000001</v>
      </c>
      <c r="V882" s="20">
        <v>1.5258</v>
      </c>
      <c r="W882"/>
      <c r="X882"/>
      <c r="Y882"/>
      <c r="Z882"/>
    </row>
    <row r="883" spans="1:26" x14ac:dyDescent="0.2">
      <c r="A883" s="19">
        <v>0.877</v>
      </c>
      <c r="B883" s="20">
        <v>0</v>
      </c>
      <c r="C883" s="20">
        <v>0.113</v>
      </c>
      <c r="D883" s="20">
        <v>0.22059999999999999</v>
      </c>
      <c r="E883" s="20">
        <v>0.3231</v>
      </c>
      <c r="F883" s="20">
        <v>0.42070000000000002</v>
      </c>
      <c r="G883" s="20">
        <v>0.51400000000000001</v>
      </c>
      <c r="H883" s="20">
        <v>0.60299999999999998</v>
      </c>
      <c r="I883" s="20">
        <v>0.68799999999999994</v>
      </c>
      <c r="J883" s="20">
        <v>0.76939999999999997</v>
      </c>
      <c r="K883" s="20">
        <v>0.84730000000000005</v>
      </c>
      <c r="L883" s="20">
        <v>0.92190000000000005</v>
      </c>
      <c r="M883" s="20">
        <v>0.99350000000000005</v>
      </c>
      <c r="N883" s="20">
        <v>1.0622</v>
      </c>
      <c r="O883" s="20">
        <v>1.1281000000000001</v>
      </c>
      <c r="P883" s="20">
        <v>1.1916</v>
      </c>
      <c r="Q883" s="20">
        <v>1.2525999999999999</v>
      </c>
      <c r="R883" s="20">
        <v>1.3113999999999999</v>
      </c>
      <c r="S883" s="20">
        <v>1.3680000000000001</v>
      </c>
      <c r="T883" s="20">
        <v>1.4226000000000001</v>
      </c>
      <c r="U883" s="20">
        <v>1.4753000000000001</v>
      </c>
      <c r="V883" s="20">
        <v>1.5261</v>
      </c>
      <c r="W883"/>
      <c r="X883"/>
      <c r="Y883"/>
      <c r="Z883"/>
    </row>
    <row r="884" spans="1:26" x14ac:dyDescent="0.2">
      <c r="A884" s="19">
        <v>0.878</v>
      </c>
      <c r="B884" s="20">
        <v>0</v>
      </c>
      <c r="C884" s="20">
        <v>0.113</v>
      </c>
      <c r="D884" s="20">
        <v>0.22059999999999999</v>
      </c>
      <c r="E884" s="20">
        <v>0.3231</v>
      </c>
      <c r="F884" s="20">
        <v>0.4209</v>
      </c>
      <c r="G884" s="20">
        <v>0.5141</v>
      </c>
      <c r="H884" s="20">
        <v>0.60309999999999997</v>
      </c>
      <c r="I884" s="20">
        <v>0.68820000000000003</v>
      </c>
      <c r="J884" s="20">
        <v>0.76959999999999995</v>
      </c>
      <c r="K884" s="20">
        <v>0.84750000000000003</v>
      </c>
      <c r="L884" s="20">
        <v>0.92210000000000003</v>
      </c>
      <c r="M884" s="20">
        <v>0.99370000000000003</v>
      </c>
      <c r="N884" s="20">
        <v>1.0624</v>
      </c>
      <c r="O884" s="20">
        <v>1.1284000000000001</v>
      </c>
      <c r="P884" s="20">
        <v>1.1919</v>
      </c>
      <c r="Q884" s="20">
        <v>1.2528999999999999</v>
      </c>
      <c r="R884" s="20">
        <v>1.3117000000000001</v>
      </c>
      <c r="S884" s="20">
        <v>1.3683000000000001</v>
      </c>
      <c r="T884" s="20">
        <v>1.4229000000000001</v>
      </c>
      <c r="U884" s="20">
        <v>1.4756</v>
      </c>
      <c r="V884" s="20">
        <v>1.5265</v>
      </c>
      <c r="W884"/>
      <c r="X884"/>
      <c r="Y884"/>
      <c r="Z884"/>
    </row>
    <row r="885" spans="1:26" x14ac:dyDescent="0.2">
      <c r="A885" s="19">
        <v>0.879</v>
      </c>
      <c r="B885" s="20">
        <v>0</v>
      </c>
      <c r="C885" s="20">
        <v>0.11310000000000001</v>
      </c>
      <c r="D885" s="20">
        <v>0.22070000000000001</v>
      </c>
      <c r="E885" s="20">
        <v>0.32319999999999999</v>
      </c>
      <c r="F885" s="20">
        <v>0.42099999999999999</v>
      </c>
      <c r="G885" s="20">
        <v>0.51419999999999999</v>
      </c>
      <c r="H885" s="20">
        <v>0.60329999999999995</v>
      </c>
      <c r="I885" s="20">
        <v>0.68840000000000001</v>
      </c>
      <c r="J885" s="20">
        <v>0.76980000000000004</v>
      </c>
      <c r="K885" s="20">
        <v>0.84770000000000001</v>
      </c>
      <c r="L885" s="20">
        <v>0.9224</v>
      </c>
      <c r="M885" s="20">
        <v>0.99399999999999999</v>
      </c>
      <c r="N885" s="20">
        <v>1.0627</v>
      </c>
      <c r="O885" s="20">
        <v>1.1287</v>
      </c>
      <c r="P885" s="20">
        <v>1.1920999999999999</v>
      </c>
      <c r="Q885" s="20">
        <v>1.2532000000000001</v>
      </c>
      <c r="R885" s="20">
        <v>1.3120000000000001</v>
      </c>
      <c r="S885" s="20">
        <v>1.3686</v>
      </c>
      <c r="T885" s="20">
        <v>1.4232</v>
      </c>
      <c r="U885" s="20">
        <v>1.4759</v>
      </c>
      <c r="V885" s="20">
        <v>1.5267999999999999</v>
      </c>
      <c r="W885"/>
      <c r="X885"/>
      <c r="Y885"/>
      <c r="Z885"/>
    </row>
    <row r="886" spans="1:26" x14ac:dyDescent="0.2">
      <c r="A886" s="19">
        <v>0.88</v>
      </c>
      <c r="B886" s="20">
        <v>0</v>
      </c>
      <c r="C886" s="20">
        <v>0.11310000000000001</v>
      </c>
      <c r="D886" s="20">
        <v>0.2208</v>
      </c>
      <c r="E886" s="20">
        <v>0.32329999999999998</v>
      </c>
      <c r="F886" s="20">
        <v>0.42109999999999997</v>
      </c>
      <c r="G886" s="20">
        <v>0.51439999999999997</v>
      </c>
      <c r="H886" s="20">
        <v>0.60340000000000005</v>
      </c>
      <c r="I886" s="20">
        <v>0.68859999999999999</v>
      </c>
      <c r="J886" s="20">
        <v>0.77</v>
      </c>
      <c r="K886" s="20">
        <v>0.84789999999999999</v>
      </c>
      <c r="L886" s="20">
        <v>0.92259999999999998</v>
      </c>
      <c r="M886" s="20">
        <v>0.99419999999999997</v>
      </c>
      <c r="N886" s="20">
        <v>1.0629</v>
      </c>
      <c r="O886" s="20">
        <v>1.129</v>
      </c>
      <c r="P886" s="20">
        <v>1.1923999999999999</v>
      </c>
      <c r="Q886" s="20">
        <v>1.2535000000000001</v>
      </c>
      <c r="R886" s="20">
        <v>1.3123</v>
      </c>
      <c r="S886" s="20">
        <v>1.3689</v>
      </c>
      <c r="T886" s="20">
        <v>1.4235</v>
      </c>
      <c r="U886" s="20">
        <v>1.4762</v>
      </c>
      <c r="V886" s="20">
        <v>1.5270999999999999</v>
      </c>
      <c r="W886"/>
      <c r="X886"/>
      <c r="Y886"/>
      <c r="Z886"/>
    </row>
    <row r="887" spans="1:26" x14ac:dyDescent="0.2">
      <c r="A887" s="19">
        <v>0.88100000000000001</v>
      </c>
      <c r="B887" s="20">
        <v>0</v>
      </c>
      <c r="C887" s="20">
        <v>0.11310000000000001</v>
      </c>
      <c r="D887" s="20">
        <v>0.2208</v>
      </c>
      <c r="E887" s="20">
        <v>0.32340000000000002</v>
      </c>
      <c r="F887" s="20">
        <v>0.42120000000000002</v>
      </c>
      <c r="G887" s="20">
        <v>0.51449999999999996</v>
      </c>
      <c r="H887" s="20">
        <v>0.60360000000000003</v>
      </c>
      <c r="I887" s="20">
        <v>0.68879999999999997</v>
      </c>
      <c r="J887" s="20">
        <v>0.7702</v>
      </c>
      <c r="K887" s="20">
        <v>0.84819999999999995</v>
      </c>
      <c r="L887" s="20">
        <v>0.92279999999999995</v>
      </c>
      <c r="M887" s="20">
        <v>0.99450000000000005</v>
      </c>
      <c r="N887" s="20">
        <v>1.0631999999999999</v>
      </c>
      <c r="O887" s="20">
        <v>1.1292</v>
      </c>
      <c r="P887" s="20">
        <v>1.1927000000000001</v>
      </c>
      <c r="Q887" s="20">
        <v>1.2538</v>
      </c>
      <c r="R887" s="20">
        <v>1.3126</v>
      </c>
      <c r="S887" s="20">
        <v>1.3692</v>
      </c>
      <c r="T887" s="20">
        <v>1.4238</v>
      </c>
      <c r="U887" s="20">
        <v>1.4764999999999999</v>
      </c>
      <c r="V887" s="20">
        <v>1.5274000000000001</v>
      </c>
      <c r="W887"/>
      <c r="X887"/>
      <c r="Y887"/>
      <c r="Z887"/>
    </row>
    <row r="888" spans="1:26" x14ac:dyDescent="0.2">
      <c r="A888" s="19">
        <v>0.88200000000000001</v>
      </c>
      <c r="B888" s="20">
        <v>0</v>
      </c>
      <c r="C888" s="20">
        <v>0.1132</v>
      </c>
      <c r="D888" s="20">
        <v>0.22090000000000001</v>
      </c>
      <c r="E888" s="20">
        <v>0.32350000000000001</v>
      </c>
      <c r="F888" s="20">
        <v>0.42130000000000001</v>
      </c>
      <c r="G888" s="20">
        <v>0.51470000000000005</v>
      </c>
      <c r="H888" s="20">
        <v>0.6038</v>
      </c>
      <c r="I888" s="20">
        <v>0.68889999999999996</v>
      </c>
      <c r="J888" s="20">
        <v>0.77039999999999997</v>
      </c>
      <c r="K888" s="20">
        <v>0.84840000000000004</v>
      </c>
      <c r="L888" s="20">
        <v>0.92310000000000003</v>
      </c>
      <c r="M888" s="20">
        <v>0.99470000000000003</v>
      </c>
      <c r="N888" s="20">
        <v>1.0634999999999999</v>
      </c>
      <c r="O888" s="20">
        <v>1.1294999999999999</v>
      </c>
      <c r="P888" s="20">
        <v>1.1930000000000001</v>
      </c>
      <c r="Q888" s="20">
        <v>1.2541</v>
      </c>
      <c r="R888" s="20">
        <v>1.3129</v>
      </c>
      <c r="S888" s="20">
        <v>1.3694999999999999</v>
      </c>
      <c r="T888" s="20">
        <v>1.4240999999999999</v>
      </c>
      <c r="U888" s="20">
        <v>1.4767999999999999</v>
      </c>
      <c r="V888" s="20">
        <v>1.5277000000000001</v>
      </c>
      <c r="W888"/>
      <c r="X888"/>
      <c r="Y888"/>
      <c r="Z888"/>
    </row>
    <row r="889" spans="1:26" x14ac:dyDescent="0.2">
      <c r="A889" s="19">
        <v>0.88300000000000001</v>
      </c>
      <c r="B889" s="20">
        <v>0</v>
      </c>
      <c r="C889" s="20">
        <v>0.1132</v>
      </c>
      <c r="D889" s="20">
        <v>0.22090000000000001</v>
      </c>
      <c r="E889" s="20">
        <v>0.3236</v>
      </c>
      <c r="F889" s="20">
        <v>0.4214</v>
      </c>
      <c r="G889" s="20">
        <v>0.51480000000000004</v>
      </c>
      <c r="H889" s="20">
        <v>0.60389999999999999</v>
      </c>
      <c r="I889" s="20">
        <v>0.68910000000000005</v>
      </c>
      <c r="J889" s="20">
        <v>0.77059999999999995</v>
      </c>
      <c r="K889" s="20">
        <v>0.84860000000000002</v>
      </c>
      <c r="L889" s="20">
        <v>0.92330000000000001</v>
      </c>
      <c r="M889" s="20">
        <v>0.995</v>
      </c>
      <c r="N889" s="20">
        <v>1.0637000000000001</v>
      </c>
      <c r="O889" s="20">
        <v>1.1297999999999999</v>
      </c>
      <c r="P889" s="20">
        <v>1.1933</v>
      </c>
      <c r="Q889" s="20">
        <v>1.2543</v>
      </c>
      <c r="R889" s="20">
        <v>1.3130999999999999</v>
      </c>
      <c r="S889" s="20">
        <v>1.3697999999999999</v>
      </c>
      <c r="T889" s="20">
        <v>1.4244000000000001</v>
      </c>
      <c r="U889" s="20">
        <v>1.4771000000000001</v>
      </c>
      <c r="V889" s="20">
        <v>1.528</v>
      </c>
      <c r="W889"/>
      <c r="X889"/>
      <c r="Y889"/>
      <c r="Z889"/>
    </row>
    <row r="890" spans="1:26" x14ac:dyDescent="0.2">
      <c r="A890" s="19">
        <v>0.88400000000000001</v>
      </c>
      <c r="B890" s="20">
        <v>0</v>
      </c>
      <c r="C890" s="20">
        <v>0.1132</v>
      </c>
      <c r="D890" s="20">
        <v>0.221</v>
      </c>
      <c r="E890" s="20">
        <v>0.32369999999999999</v>
      </c>
      <c r="F890" s="20">
        <v>0.42149999999999999</v>
      </c>
      <c r="G890" s="20">
        <v>0.51490000000000002</v>
      </c>
      <c r="H890" s="20">
        <v>0.60409999999999997</v>
      </c>
      <c r="I890" s="20">
        <v>0.68930000000000002</v>
      </c>
      <c r="J890" s="20">
        <v>0.77080000000000004</v>
      </c>
      <c r="K890" s="20">
        <v>0.8488</v>
      </c>
      <c r="L890" s="20">
        <v>0.92349999999999999</v>
      </c>
      <c r="M890" s="20">
        <v>0.99519999999999997</v>
      </c>
      <c r="N890" s="20">
        <v>1.0640000000000001</v>
      </c>
      <c r="O890" s="20">
        <v>1.1299999999999999</v>
      </c>
      <c r="P890" s="20">
        <v>1.1935</v>
      </c>
      <c r="Q890" s="20">
        <v>1.2545999999999999</v>
      </c>
      <c r="R890" s="20">
        <v>1.3133999999999999</v>
      </c>
      <c r="S890" s="20">
        <v>1.3701000000000001</v>
      </c>
      <c r="T890" s="20">
        <v>1.4247000000000001</v>
      </c>
      <c r="U890" s="20">
        <v>1.4774</v>
      </c>
      <c r="V890" s="20">
        <v>1.5283</v>
      </c>
      <c r="W890"/>
      <c r="X890"/>
      <c r="Y890"/>
      <c r="Z890"/>
    </row>
    <row r="891" spans="1:26" x14ac:dyDescent="0.2">
      <c r="A891" s="19">
        <v>0.88500000000000001</v>
      </c>
      <c r="B891" s="20">
        <v>0</v>
      </c>
      <c r="C891" s="20">
        <v>0.1133</v>
      </c>
      <c r="D891" s="20">
        <v>0.22109999999999999</v>
      </c>
      <c r="E891" s="20">
        <v>0.32379999999999998</v>
      </c>
      <c r="F891" s="20">
        <v>0.42170000000000002</v>
      </c>
      <c r="G891" s="20">
        <v>0.5151</v>
      </c>
      <c r="H891" s="20">
        <v>0.60429999999999995</v>
      </c>
      <c r="I891" s="20">
        <v>0.6895</v>
      </c>
      <c r="J891" s="20">
        <v>0.77100000000000002</v>
      </c>
      <c r="K891" s="20">
        <v>0.84899999999999998</v>
      </c>
      <c r="L891" s="20">
        <v>0.92379999999999995</v>
      </c>
      <c r="M891" s="20">
        <v>0.99550000000000005</v>
      </c>
      <c r="N891" s="20">
        <v>1.0643</v>
      </c>
      <c r="O891" s="20">
        <v>1.1303000000000001</v>
      </c>
      <c r="P891" s="20">
        <v>1.1938</v>
      </c>
      <c r="Q891" s="20">
        <v>1.2548999999999999</v>
      </c>
      <c r="R891" s="20">
        <v>1.3137000000000001</v>
      </c>
      <c r="S891" s="20">
        <v>1.3704000000000001</v>
      </c>
      <c r="T891" s="20">
        <v>1.425</v>
      </c>
      <c r="U891" s="20">
        <v>1.4777</v>
      </c>
      <c r="V891" s="20">
        <v>1.5286</v>
      </c>
      <c r="W891"/>
      <c r="X891"/>
      <c r="Y891"/>
      <c r="Z891"/>
    </row>
    <row r="892" spans="1:26" x14ac:dyDescent="0.2">
      <c r="A892" s="19">
        <v>0.88600000000000001</v>
      </c>
      <c r="B892" s="20">
        <v>0</v>
      </c>
      <c r="C892" s="20">
        <v>0.1133</v>
      </c>
      <c r="D892" s="20">
        <v>0.22109999999999999</v>
      </c>
      <c r="E892" s="20">
        <v>0.32390000000000002</v>
      </c>
      <c r="F892" s="20">
        <v>0.42180000000000001</v>
      </c>
      <c r="G892" s="20">
        <v>0.51519999999999999</v>
      </c>
      <c r="H892" s="20">
        <v>0.60440000000000005</v>
      </c>
      <c r="I892" s="20">
        <v>0.68969999999999998</v>
      </c>
      <c r="J892" s="20">
        <v>0.7712</v>
      </c>
      <c r="K892" s="20">
        <v>0.84919999999999995</v>
      </c>
      <c r="L892" s="20">
        <v>0.92400000000000004</v>
      </c>
      <c r="M892" s="20">
        <v>0.99570000000000003</v>
      </c>
      <c r="N892" s="20">
        <v>1.0645</v>
      </c>
      <c r="O892" s="20">
        <v>1.1306</v>
      </c>
      <c r="P892" s="20">
        <v>1.1940999999999999</v>
      </c>
      <c r="Q892" s="20">
        <v>1.2552000000000001</v>
      </c>
      <c r="R892" s="20">
        <v>1.3140000000000001</v>
      </c>
      <c r="S892" s="20">
        <v>1.3707</v>
      </c>
      <c r="T892" s="20">
        <v>1.4253</v>
      </c>
      <c r="U892" s="20">
        <v>1.478</v>
      </c>
      <c r="V892" s="20">
        <v>1.5288999999999999</v>
      </c>
      <c r="W892"/>
      <c r="X892"/>
      <c r="Y892"/>
      <c r="Z892"/>
    </row>
    <row r="893" spans="1:26" x14ac:dyDescent="0.2">
      <c r="A893" s="19">
        <v>0.88700000000000001</v>
      </c>
      <c r="B893" s="20">
        <v>0</v>
      </c>
      <c r="C893" s="20">
        <v>0.1133</v>
      </c>
      <c r="D893" s="20">
        <v>0.22120000000000001</v>
      </c>
      <c r="E893" s="20">
        <v>0.32390000000000002</v>
      </c>
      <c r="F893" s="20">
        <v>0.4219</v>
      </c>
      <c r="G893" s="20">
        <v>0.51529999999999998</v>
      </c>
      <c r="H893" s="20">
        <v>0.60460000000000003</v>
      </c>
      <c r="I893" s="20">
        <v>0.68979999999999997</v>
      </c>
      <c r="J893" s="20">
        <v>0.77139999999999997</v>
      </c>
      <c r="K893" s="20">
        <v>0.84950000000000003</v>
      </c>
      <c r="L893" s="20">
        <v>0.92430000000000001</v>
      </c>
      <c r="M893" s="20">
        <v>0.996</v>
      </c>
      <c r="N893" s="20">
        <v>1.0648</v>
      </c>
      <c r="O893" s="20">
        <v>1.1309</v>
      </c>
      <c r="P893" s="20">
        <v>1.1943999999999999</v>
      </c>
      <c r="Q893" s="20">
        <v>1.2555000000000001</v>
      </c>
      <c r="R893" s="20">
        <v>1.3143</v>
      </c>
      <c r="S893" s="20">
        <v>1.371</v>
      </c>
      <c r="T893" s="20">
        <v>1.4256</v>
      </c>
      <c r="U893" s="20">
        <v>1.4782999999999999</v>
      </c>
      <c r="V893" s="20">
        <v>1.5291999999999999</v>
      </c>
      <c r="W893"/>
      <c r="X893"/>
      <c r="Y893"/>
      <c r="Z893"/>
    </row>
    <row r="894" spans="1:26" x14ac:dyDescent="0.2">
      <c r="A894" s="19">
        <v>0.88800000000000001</v>
      </c>
      <c r="B894" s="20">
        <v>0</v>
      </c>
      <c r="C894" s="20">
        <v>0.1134</v>
      </c>
      <c r="D894" s="20">
        <v>0.22120000000000001</v>
      </c>
      <c r="E894" s="20">
        <v>0.32400000000000001</v>
      </c>
      <c r="F894" s="20">
        <v>0.42199999999999999</v>
      </c>
      <c r="G894" s="20">
        <v>0.51549999999999996</v>
      </c>
      <c r="H894" s="20">
        <v>0.60470000000000002</v>
      </c>
      <c r="I894" s="20">
        <v>0.69</v>
      </c>
      <c r="J894" s="20">
        <v>0.77159999999999995</v>
      </c>
      <c r="K894" s="20">
        <v>0.84970000000000001</v>
      </c>
      <c r="L894" s="20">
        <v>0.92449999999999999</v>
      </c>
      <c r="M894" s="20">
        <v>0.99619999999999997</v>
      </c>
      <c r="N894" s="20">
        <v>1.0649999999999999</v>
      </c>
      <c r="O894" s="20">
        <v>1.1311</v>
      </c>
      <c r="P894" s="20">
        <v>1.1947000000000001</v>
      </c>
      <c r="Q894" s="20">
        <v>1.2558</v>
      </c>
      <c r="R894" s="20">
        <v>1.3146</v>
      </c>
      <c r="S894" s="20">
        <v>1.3713</v>
      </c>
      <c r="T894" s="20">
        <v>1.4258999999999999</v>
      </c>
      <c r="U894" s="20">
        <v>1.4785999999999999</v>
      </c>
      <c r="V894" s="20">
        <v>1.5295000000000001</v>
      </c>
      <c r="W894"/>
      <c r="X894"/>
      <c r="Y894"/>
      <c r="Z894"/>
    </row>
    <row r="895" spans="1:26" x14ac:dyDescent="0.2">
      <c r="A895" s="19">
        <v>0.88900000000000001</v>
      </c>
      <c r="B895" s="20">
        <v>0</v>
      </c>
      <c r="C895" s="20">
        <v>0.1134</v>
      </c>
      <c r="D895" s="20">
        <v>0.2213</v>
      </c>
      <c r="E895" s="20">
        <v>0.3241</v>
      </c>
      <c r="F895" s="20">
        <v>0.42209999999999998</v>
      </c>
      <c r="G895" s="20">
        <v>0.51559999999999995</v>
      </c>
      <c r="H895" s="20">
        <v>0.60489999999999999</v>
      </c>
      <c r="I895" s="20">
        <v>0.69020000000000004</v>
      </c>
      <c r="J895" s="20">
        <v>0.77180000000000004</v>
      </c>
      <c r="K895" s="20">
        <v>0.84989999999999999</v>
      </c>
      <c r="L895" s="20">
        <v>0.92469999999999997</v>
      </c>
      <c r="M895" s="20">
        <v>0.99650000000000005</v>
      </c>
      <c r="N895" s="20">
        <v>1.0652999999999999</v>
      </c>
      <c r="O895" s="20">
        <v>1.1314</v>
      </c>
      <c r="P895" s="20">
        <v>1.1949000000000001</v>
      </c>
      <c r="Q895" s="20">
        <v>1.2561</v>
      </c>
      <c r="R895" s="20">
        <v>1.3149</v>
      </c>
      <c r="S895" s="20">
        <v>1.3715999999999999</v>
      </c>
      <c r="T895" s="20">
        <v>1.4261999999999999</v>
      </c>
      <c r="U895" s="20">
        <v>1.4789000000000001</v>
      </c>
      <c r="V895" s="20">
        <v>1.5298</v>
      </c>
      <c r="W895"/>
      <c r="X895"/>
      <c r="Y895"/>
      <c r="Z895"/>
    </row>
    <row r="896" spans="1:26" x14ac:dyDescent="0.2">
      <c r="A896" s="19">
        <v>0.89</v>
      </c>
      <c r="B896" s="20">
        <v>0</v>
      </c>
      <c r="C896" s="20">
        <v>0.1134</v>
      </c>
      <c r="D896" s="20">
        <v>0.22140000000000001</v>
      </c>
      <c r="E896" s="20">
        <v>0.32419999999999999</v>
      </c>
      <c r="F896" s="20">
        <v>0.42220000000000002</v>
      </c>
      <c r="G896" s="20">
        <v>0.51580000000000004</v>
      </c>
      <c r="H896" s="20">
        <v>0.60509999999999997</v>
      </c>
      <c r="I896" s="20">
        <v>0.69040000000000001</v>
      </c>
      <c r="J896" s="20">
        <v>0.77200000000000002</v>
      </c>
      <c r="K896" s="20">
        <v>0.85009999999999997</v>
      </c>
      <c r="L896" s="20">
        <v>0.92490000000000006</v>
      </c>
      <c r="M896" s="20">
        <v>0.99670000000000003</v>
      </c>
      <c r="N896" s="20">
        <v>1.0654999999999999</v>
      </c>
      <c r="O896" s="20">
        <v>1.1316999999999999</v>
      </c>
      <c r="P896" s="20">
        <v>1.1952</v>
      </c>
      <c r="Q896" s="20">
        <v>1.2564</v>
      </c>
      <c r="R896" s="20">
        <v>1.3151999999999999</v>
      </c>
      <c r="S896" s="20">
        <v>1.3718999999999999</v>
      </c>
      <c r="T896" s="20">
        <v>1.4265000000000001</v>
      </c>
      <c r="U896" s="20">
        <v>1.4792000000000001</v>
      </c>
      <c r="V896" s="20">
        <v>1.5301</v>
      </c>
      <c r="W896"/>
      <c r="X896"/>
      <c r="Y896"/>
      <c r="Z896"/>
    </row>
    <row r="897" spans="1:26" x14ac:dyDescent="0.2">
      <c r="A897" s="19">
        <v>0.89100000000000001</v>
      </c>
      <c r="B897" s="20">
        <v>0</v>
      </c>
      <c r="C897" s="20">
        <v>0.1134</v>
      </c>
      <c r="D897" s="20">
        <v>0.22140000000000001</v>
      </c>
      <c r="E897" s="20">
        <v>0.32429999999999998</v>
      </c>
      <c r="F897" s="20">
        <v>0.42230000000000001</v>
      </c>
      <c r="G897" s="20">
        <v>0.51590000000000003</v>
      </c>
      <c r="H897" s="20">
        <v>0.60519999999999996</v>
      </c>
      <c r="I897" s="20">
        <v>0.69059999999999999</v>
      </c>
      <c r="J897" s="20">
        <v>0.7722</v>
      </c>
      <c r="K897" s="20">
        <v>0.85029999999999994</v>
      </c>
      <c r="L897" s="20">
        <v>0.92520000000000002</v>
      </c>
      <c r="M897" s="20">
        <v>0.99690000000000001</v>
      </c>
      <c r="N897" s="20">
        <v>1.0658000000000001</v>
      </c>
      <c r="O897" s="20">
        <v>1.1318999999999999</v>
      </c>
      <c r="P897" s="20">
        <v>1.1955</v>
      </c>
      <c r="Q897" s="20">
        <v>1.2565999999999999</v>
      </c>
      <c r="R897" s="20">
        <v>1.3154999999999999</v>
      </c>
      <c r="S897" s="20">
        <v>1.3722000000000001</v>
      </c>
      <c r="T897" s="20">
        <v>1.4268000000000001</v>
      </c>
      <c r="U897" s="20">
        <v>1.4795</v>
      </c>
      <c r="V897" s="20">
        <v>1.5304</v>
      </c>
      <c r="W897"/>
      <c r="X897"/>
      <c r="Y897"/>
      <c r="Z897"/>
    </row>
    <row r="898" spans="1:26" x14ac:dyDescent="0.2">
      <c r="A898" s="19">
        <v>0.89200000000000002</v>
      </c>
      <c r="B898" s="20">
        <v>0</v>
      </c>
      <c r="C898" s="20">
        <v>0.1135</v>
      </c>
      <c r="D898" s="20">
        <v>0.2215</v>
      </c>
      <c r="E898" s="20">
        <v>0.32440000000000002</v>
      </c>
      <c r="F898" s="20">
        <v>0.42249999999999999</v>
      </c>
      <c r="G898" s="20">
        <v>0.51600000000000001</v>
      </c>
      <c r="H898" s="20">
        <v>0.60540000000000005</v>
      </c>
      <c r="I898" s="20">
        <v>0.69079999999999997</v>
      </c>
      <c r="J898" s="20">
        <v>0.77239999999999998</v>
      </c>
      <c r="K898" s="20">
        <v>0.85050000000000003</v>
      </c>
      <c r="L898" s="20">
        <v>0.9254</v>
      </c>
      <c r="M898" s="20">
        <v>0.99719999999999998</v>
      </c>
      <c r="N898" s="20">
        <v>1.0661</v>
      </c>
      <c r="O898" s="20">
        <v>1.1322000000000001</v>
      </c>
      <c r="P898" s="20">
        <v>1.1958</v>
      </c>
      <c r="Q898" s="20">
        <v>1.2568999999999999</v>
      </c>
      <c r="R898" s="20">
        <v>1.3158000000000001</v>
      </c>
      <c r="S898" s="20">
        <v>1.3725000000000001</v>
      </c>
      <c r="T898" s="20">
        <v>1.4271</v>
      </c>
      <c r="U898" s="20">
        <v>1.4798</v>
      </c>
      <c r="V898" s="20">
        <v>1.5306999999999999</v>
      </c>
      <c r="W898"/>
      <c r="X898"/>
      <c r="Y898"/>
      <c r="Z898"/>
    </row>
    <row r="899" spans="1:26" x14ac:dyDescent="0.2">
      <c r="A899" s="19">
        <v>0.89300000000000002</v>
      </c>
      <c r="B899" s="20">
        <v>0</v>
      </c>
      <c r="C899" s="20">
        <v>0.1135</v>
      </c>
      <c r="D899" s="20">
        <v>0.2215</v>
      </c>
      <c r="E899" s="20">
        <v>0.32450000000000001</v>
      </c>
      <c r="F899" s="20">
        <v>0.42259999999999998</v>
      </c>
      <c r="G899" s="20">
        <v>0.51619999999999999</v>
      </c>
      <c r="H899" s="20">
        <v>0.60550000000000004</v>
      </c>
      <c r="I899" s="20">
        <v>0.69089999999999996</v>
      </c>
      <c r="J899" s="20">
        <v>0.77259999999999995</v>
      </c>
      <c r="K899" s="20">
        <v>0.8508</v>
      </c>
      <c r="L899" s="20">
        <v>0.92559999999999998</v>
      </c>
      <c r="M899" s="20">
        <v>0.99739999999999995</v>
      </c>
      <c r="N899" s="20">
        <v>1.0663</v>
      </c>
      <c r="O899" s="20">
        <v>1.1325000000000001</v>
      </c>
      <c r="P899" s="20">
        <v>1.1960999999999999</v>
      </c>
      <c r="Q899" s="20">
        <v>1.2572000000000001</v>
      </c>
      <c r="R899" s="20">
        <v>1.3161</v>
      </c>
      <c r="S899" s="20">
        <v>1.3728</v>
      </c>
      <c r="T899" s="20">
        <v>1.4274</v>
      </c>
      <c r="U899" s="20">
        <v>1.4801</v>
      </c>
      <c r="V899" s="20">
        <v>1.5309999999999999</v>
      </c>
      <c r="W899"/>
      <c r="X899"/>
      <c r="Y899"/>
      <c r="Z899"/>
    </row>
    <row r="900" spans="1:26" x14ac:dyDescent="0.2">
      <c r="A900" s="19">
        <v>0.89400000000000002</v>
      </c>
      <c r="B900" s="20">
        <v>0</v>
      </c>
      <c r="C900" s="20">
        <v>0.1135</v>
      </c>
      <c r="D900" s="20">
        <v>0.22159999999999999</v>
      </c>
      <c r="E900" s="20">
        <v>0.32450000000000001</v>
      </c>
      <c r="F900" s="20">
        <v>0.42270000000000002</v>
      </c>
      <c r="G900" s="20">
        <v>0.51629999999999998</v>
      </c>
      <c r="H900" s="20">
        <v>0.60570000000000002</v>
      </c>
      <c r="I900" s="20">
        <v>0.69110000000000005</v>
      </c>
      <c r="J900" s="20">
        <v>0.77280000000000004</v>
      </c>
      <c r="K900" s="20">
        <v>0.85099999999999998</v>
      </c>
      <c r="L900" s="20">
        <v>0.92589999999999995</v>
      </c>
      <c r="M900" s="20">
        <v>0.99770000000000003</v>
      </c>
      <c r="N900" s="20">
        <v>1.0666</v>
      </c>
      <c r="O900" s="20">
        <v>1.1327</v>
      </c>
      <c r="P900" s="20">
        <v>1.1962999999999999</v>
      </c>
      <c r="Q900" s="20">
        <v>1.2575000000000001</v>
      </c>
      <c r="R900" s="20">
        <v>1.3164</v>
      </c>
      <c r="S900" s="20">
        <v>1.3731</v>
      </c>
      <c r="T900" s="20">
        <v>1.4277</v>
      </c>
      <c r="U900" s="20">
        <v>1.4803999999999999</v>
      </c>
      <c r="V900" s="20">
        <v>1.5313000000000001</v>
      </c>
      <c r="W900"/>
      <c r="X900"/>
      <c r="Y900"/>
      <c r="Z900"/>
    </row>
    <row r="901" spans="1:26" x14ac:dyDescent="0.2">
      <c r="A901" s="19">
        <v>0.89500000000000002</v>
      </c>
      <c r="B901" s="20">
        <v>0</v>
      </c>
      <c r="C901" s="20">
        <v>0.11360000000000001</v>
      </c>
      <c r="D901" s="20">
        <v>0.22170000000000001</v>
      </c>
      <c r="E901" s="20">
        <v>0.3246</v>
      </c>
      <c r="F901" s="20">
        <v>0.42280000000000001</v>
      </c>
      <c r="G901" s="20">
        <v>0.51639999999999997</v>
      </c>
      <c r="H901" s="20">
        <v>0.60589999999999999</v>
      </c>
      <c r="I901" s="20">
        <v>0.69130000000000003</v>
      </c>
      <c r="J901" s="20">
        <v>0.77300000000000002</v>
      </c>
      <c r="K901" s="20">
        <v>0.85119999999999996</v>
      </c>
      <c r="L901" s="20">
        <v>0.92610000000000003</v>
      </c>
      <c r="M901" s="20">
        <v>0.99790000000000001</v>
      </c>
      <c r="N901" s="20">
        <v>1.0668</v>
      </c>
      <c r="O901" s="20">
        <v>1.133</v>
      </c>
      <c r="P901" s="20">
        <v>1.1966000000000001</v>
      </c>
      <c r="Q901" s="20">
        <v>1.2578</v>
      </c>
      <c r="R901" s="20">
        <v>1.3167</v>
      </c>
      <c r="S901" s="20">
        <v>1.3734</v>
      </c>
      <c r="T901" s="20">
        <v>1.4279999999999999</v>
      </c>
      <c r="U901" s="20">
        <v>1.4806999999999999</v>
      </c>
      <c r="V901" s="20">
        <v>1.5316000000000001</v>
      </c>
      <c r="W901"/>
      <c r="X901"/>
      <c r="Y901"/>
      <c r="Z901"/>
    </row>
    <row r="902" spans="1:26" x14ac:dyDescent="0.2">
      <c r="A902" s="19">
        <v>0.89600000000000002</v>
      </c>
      <c r="B902" s="20">
        <v>0</v>
      </c>
      <c r="C902" s="20">
        <v>0.11360000000000001</v>
      </c>
      <c r="D902" s="20">
        <v>0.22170000000000001</v>
      </c>
      <c r="E902" s="20">
        <v>0.32469999999999999</v>
      </c>
      <c r="F902" s="20">
        <v>0.4229</v>
      </c>
      <c r="G902" s="20">
        <v>0.51659999999999995</v>
      </c>
      <c r="H902" s="20">
        <v>0.60599999999999998</v>
      </c>
      <c r="I902" s="20">
        <v>0.6915</v>
      </c>
      <c r="J902" s="20">
        <v>0.7732</v>
      </c>
      <c r="K902" s="20">
        <v>0.85140000000000005</v>
      </c>
      <c r="L902" s="20">
        <v>0.92630000000000001</v>
      </c>
      <c r="M902" s="20">
        <v>0.99819999999999998</v>
      </c>
      <c r="N902" s="20">
        <v>1.0670999999999999</v>
      </c>
      <c r="O902" s="20">
        <v>1.1333</v>
      </c>
      <c r="P902" s="20">
        <v>1.1969000000000001</v>
      </c>
      <c r="Q902" s="20">
        <v>1.2581</v>
      </c>
      <c r="R902" s="20">
        <v>1.3169</v>
      </c>
      <c r="S902" s="20">
        <v>1.3736999999999999</v>
      </c>
      <c r="T902" s="20">
        <v>1.4282999999999999</v>
      </c>
      <c r="U902" s="20">
        <v>1.4810000000000001</v>
      </c>
      <c r="V902" s="20">
        <v>1.5319</v>
      </c>
      <c r="W902"/>
      <c r="X902"/>
      <c r="Y902"/>
      <c r="Z902"/>
    </row>
    <row r="903" spans="1:26" x14ac:dyDescent="0.2">
      <c r="A903" s="19">
        <v>0.89700000000000002</v>
      </c>
      <c r="B903" s="20">
        <v>0</v>
      </c>
      <c r="C903" s="20">
        <v>0.11360000000000001</v>
      </c>
      <c r="D903" s="20">
        <v>0.2218</v>
      </c>
      <c r="E903" s="20">
        <v>0.32479999999999998</v>
      </c>
      <c r="F903" s="20">
        <v>0.42299999999999999</v>
      </c>
      <c r="G903" s="20">
        <v>0.51670000000000005</v>
      </c>
      <c r="H903" s="20">
        <v>0.60619999999999996</v>
      </c>
      <c r="I903" s="20">
        <v>0.69159999999999999</v>
      </c>
      <c r="J903" s="20">
        <v>0.77339999999999998</v>
      </c>
      <c r="K903" s="20">
        <v>0.85160000000000002</v>
      </c>
      <c r="L903" s="20">
        <v>0.92659999999999998</v>
      </c>
      <c r="M903" s="20">
        <v>0.99839999999999995</v>
      </c>
      <c r="N903" s="20">
        <v>1.0672999999999999</v>
      </c>
      <c r="O903" s="20">
        <v>1.1335</v>
      </c>
      <c r="P903" s="20">
        <v>1.1972</v>
      </c>
      <c r="Q903" s="20">
        <v>1.2583</v>
      </c>
      <c r="R903" s="20">
        <v>1.3171999999999999</v>
      </c>
      <c r="S903" s="20">
        <v>1.3738999999999999</v>
      </c>
      <c r="T903" s="20">
        <v>1.4286000000000001</v>
      </c>
      <c r="U903" s="20">
        <v>1.4813000000000001</v>
      </c>
      <c r="V903" s="20">
        <v>1.5322</v>
      </c>
      <c r="W903"/>
      <c r="X903"/>
      <c r="Y903"/>
      <c r="Z903"/>
    </row>
    <row r="904" spans="1:26" x14ac:dyDescent="0.2">
      <c r="A904" s="19">
        <v>0.89800000000000002</v>
      </c>
      <c r="B904" s="20">
        <v>0</v>
      </c>
      <c r="C904" s="20">
        <v>0.1137</v>
      </c>
      <c r="D904" s="20">
        <v>0.2218</v>
      </c>
      <c r="E904" s="20">
        <v>0.32490000000000002</v>
      </c>
      <c r="F904" s="20">
        <v>0.42309999999999998</v>
      </c>
      <c r="G904" s="20">
        <v>0.51690000000000003</v>
      </c>
      <c r="H904" s="20">
        <v>0.60629999999999995</v>
      </c>
      <c r="I904" s="20">
        <v>0.69179999999999997</v>
      </c>
      <c r="J904" s="20">
        <v>0.77359999999999995</v>
      </c>
      <c r="K904" s="20">
        <v>0.8518</v>
      </c>
      <c r="L904" s="20">
        <v>0.92679999999999996</v>
      </c>
      <c r="M904" s="20">
        <v>0.99870000000000003</v>
      </c>
      <c r="N904" s="20">
        <v>1.0676000000000001</v>
      </c>
      <c r="O904" s="20">
        <v>1.1337999999999999</v>
      </c>
      <c r="P904" s="20">
        <v>1.1974</v>
      </c>
      <c r="Q904" s="20">
        <v>1.2585999999999999</v>
      </c>
      <c r="R904" s="20">
        <v>1.3174999999999999</v>
      </c>
      <c r="S904" s="20">
        <v>1.3742000000000001</v>
      </c>
      <c r="T904" s="20">
        <v>1.4289000000000001</v>
      </c>
      <c r="U904" s="20">
        <v>1.4816</v>
      </c>
      <c r="V904" s="20">
        <v>1.5325</v>
      </c>
      <c r="W904"/>
      <c r="X904"/>
      <c r="Y904"/>
      <c r="Z904"/>
    </row>
    <row r="905" spans="1:26" x14ac:dyDescent="0.2">
      <c r="A905" s="19">
        <v>0.89900000000000002</v>
      </c>
      <c r="B905" s="20">
        <v>0</v>
      </c>
      <c r="C905" s="20">
        <v>0.1137</v>
      </c>
      <c r="D905" s="20">
        <v>0.22189999999999999</v>
      </c>
      <c r="E905" s="20">
        <v>0.32500000000000001</v>
      </c>
      <c r="F905" s="20">
        <v>0.42320000000000002</v>
      </c>
      <c r="G905" s="20">
        <v>0.51700000000000002</v>
      </c>
      <c r="H905" s="20">
        <v>0.60650000000000004</v>
      </c>
      <c r="I905" s="20">
        <v>0.69199999999999995</v>
      </c>
      <c r="J905" s="20">
        <v>0.77380000000000004</v>
      </c>
      <c r="K905" s="20">
        <v>0.85209999999999997</v>
      </c>
      <c r="L905" s="20">
        <v>0.92700000000000005</v>
      </c>
      <c r="M905" s="20">
        <v>0.99890000000000001</v>
      </c>
      <c r="N905" s="20">
        <v>1.0679000000000001</v>
      </c>
      <c r="O905" s="20">
        <v>1.1341000000000001</v>
      </c>
      <c r="P905" s="20">
        <v>1.1977</v>
      </c>
      <c r="Q905" s="20">
        <v>1.2588999999999999</v>
      </c>
      <c r="R905" s="20">
        <v>1.3178000000000001</v>
      </c>
      <c r="S905" s="20">
        <v>1.3745000000000001</v>
      </c>
      <c r="T905" s="20">
        <v>1.4292</v>
      </c>
      <c r="U905" s="20">
        <v>1.4819</v>
      </c>
      <c r="V905" s="20">
        <v>1.5327999999999999</v>
      </c>
      <c r="W905"/>
      <c r="X905"/>
      <c r="Y905"/>
      <c r="Z905"/>
    </row>
    <row r="906" spans="1:26" x14ac:dyDescent="0.2">
      <c r="A906" s="19">
        <v>0.9</v>
      </c>
      <c r="B906" s="20">
        <v>0</v>
      </c>
      <c r="C906" s="20">
        <v>0.1137</v>
      </c>
      <c r="D906" s="20">
        <v>0.222</v>
      </c>
      <c r="E906" s="20">
        <v>0.3251</v>
      </c>
      <c r="F906" s="20">
        <v>0.4234</v>
      </c>
      <c r="G906" s="20">
        <v>0.5171</v>
      </c>
      <c r="H906" s="20">
        <v>0.60660000000000003</v>
      </c>
      <c r="I906" s="20">
        <v>0.69220000000000004</v>
      </c>
      <c r="J906" s="20">
        <v>0.77400000000000002</v>
      </c>
      <c r="K906" s="20">
        <v>0.85229999999999995</v>
      </c>
      <c r="L906" s="20">
        <v>0.92730000000000001</v>
      </c>
      <c r="M906" s="20">
        <v>0.99909999999999999</v>
      </c>
      <c r="N906" s="20">
        <v>1.0681</v>
      </c>
      <c r="O906" s="20">
        <v>1.1343000000000001</v>
      </c>
      <c r="P906" s="20">
        <v>1.198</v>
      </c>
      <c r="Q906" s="20">
        <v>1.2592000000000001</v>
      </c>
      <c r="R906" s="20">
        <v>1.3181</v>
      </c>
      <c r="S906" s="20">
        <v>1.3748</v>
      </c>
      <c r="T906" s="20">
        <v>1.4295</v>
      </c>
      <c r="U906" s="20">
        <v>1.4822</v>
      </c>
      <c r="V906" s="20">
        <v>1.5330999999999999</v>
      </c>
      <c r="W906"/>
      <c r="X906"/>
      <c r="Y906"/>
      <c r="Z906"/>
    </row>
    <row r="907" spans="1:26" x14ac:dyDescent="0.2">
      <c r="A907" s="19">
        <v>0.90100000000000002</v>
      </c>
      <c r="B907" s="20">
        <v>0</v>
      </c>
      <c r="C907" s="20">
        <v>0.1137</v>
      </c>
      <c r="D907" s="20">
        <v>0.222</v>
      </c>
      <c r="E907" s="20">
        <v>0.32519999999999999</v>
      </c>
      <c r="F907" s="20">
        <v>0.42349999999999999</v>
      </c>
      <c r="G907" s="20">
        <v>0.51729999999999998</v>
      </c>
      <c r="H907" s="20">
        <v>0.60680000000000001</v>
      </c>
      <c r="I907" s="20">
        <v>0.69240000000000002</v>
      </c>
      <c r="J907" s="20">
        <v>0.7742</v>
      </c>
      <c r="K907" s="20">
        <v>0.85250000000000004</v>
      </c>
      <c r="L907" s="20">
        <v>0.92749999999999999</v>
      </c>
      <c r="M907" s="20">
        <v>0.99939999999999996</v>
      </c>
      <c r="N907" s="20">
        <v>1.0684</v>
      </c>
      <c r="O907" s="20">
        <v>1.1346000000000001</v>
      </c>
      <c r="P907" s="20">
        <v>1.1982999999999999</v>
      </c>
      <c r="Q907" s="20">
        <v>1.2595000000000001</v>
      </c>
      <c r="R907" s="20">
        <v>1.3184</v>
      </c>
      <c r="S907" s="20">
        <v>1.3751</v>
      </c>
      <c r="T907" s="20">
        <v>1.4298</v>
      </c>
      <c r="U907" s="20">
        <v>1.4824999999999999</v>
      </c>
      <c r="V907" s="20">
        <v>1.5334000000000001</v>
      </c>
      <c r="W907"/>
      <c r="X907"/>
      <c r="Y907"/>
      <c r="Z907"/>
    </row>
    <row r="908" spans="1:26" x14ac:dyDescent="0.2">
      <c r="A908" s="19">
        <v>0.90200000000000002</v>
      </c>
      <c r="B908" s="20">
        <v>0</v>
      </c>
      <c r="C908" s="20">
        <v>0.1138</v>
      </c>
      <c r="D908" s="20">
        <v>0.22209999999999999</v>
      </c>
      <c r="E908" s="20">
        <v>0.32519999999999999</v>
      </c>
      <c r="F908" s="20">
        <v>0.42359999999999998</v>
      </c>
      <c r="G908" s="20">
        <v>0.51739999999999997</v>
      </c>
      <c r="H908" s="20">
        <v>0.60699999999999998</v>
      </c>
      <c r="I908" s="20">
        <v>0.6925</v>
      </c>
      <c r="J908" s="20">
        <v>0.77439999999999998</v>
      </c>
      <c r="K908" s="20">
        <v>0.85270000000000001</v>
      </c>
      <c r="L908" s="20">
        <v>0.92769999999999997</v>
      </c>
      <c r="M908" s="20">
        <v>0.99960000000000004</v>
      </c>
      <c r="N908" s="20">
        <v>1.0686</v>
      </c>
      <c r="O908" s="20">
        <v>1.1349</v>
      </c>
      <c r="P908" s="20">
        <v>1.1984999999999999</v>
      </c>
      <c r="Q908" s="20">
        <v>1.2597</v>
      </c>
      <c r="R908" s="20">
        <v>1.3187</v>
      </c>
      <c r="S908" s="20">
        <v>1.3754</v>
      </c>
      <c r="T908" s="20">
        <v>1.4300999999999999</v>
      </c>
      <c r="U908" s="20">
        <v>1.4827999999999999</v>
      </c>
      <c r="V908" s="20">
        <v>1.5337000000000001</v>
      </c>
      <c r="W908"/>
      <c r="X908"/>
      <c r="Y908"/>
      <c r="Z908"/>
    </row>
    <row r="909" spans="1:26" x14ac:dyDescent="0.2">
      <c r="A909" s="19">
        <v>0.90300000000000002</v>
      </c>
      <c r="B909" s="20">
        <v>0</v>
      </c>
      <c r="C909" s="20">
        <v>0.1138</v>
      </c>
      <c r="D909" s="20">
        <v>0.22209999999999999</v>
      </c>
      <c r="E909" s="20">
        <v>0.32529999999999998</v>
      </c>
      <c r="F909" s="20">
        <v>0.42370000000000002</v>
      </c>
      <c r="G909" s="20">
        <v>0.51749999999999996</v>
      </c>
      <c r="H909" s="20">
        <v>0.60709999999999997</v>
      </c>
      <c r="I909" s="20">
        <v>0.69269999999999998</v>
      </c>
      <c r="J909" s="20">
        <v>0.77459999999999996</v>
      </c>
      <c r="K909" s="20">
        <v>0.85289999999999999</v>
      </c>
      <c r="L909" s="20">
        <v>0.92789999999999995</v>
      </c>
      <c r="M909" s="20">
        <v>0.99990000000000001</v>
      </c>
      <c r="N909" s="20">
        <v>1.0689</v>
      </c>
      <c r="O909" s="20">
        <v>1.1351</v>
      </c>
      <c r="P909" s="20">
        <v>1.1988000000000001</v>
      </c>
      <c r="Q909" s="20">
        <v>1.26</v>
      </c>
      <c r="R909" s="20">
        <v>1.319</v>
      </c>
      <c r="S909" s="20">
        <v>1.3756999999999999</v>
      </c>
      <c r="T909" s="20">
        <v>1.4303999999999999</v>
      </c>
      <c r="U909" s="20">
        <v>1.4831000000000001</v>
      </c>
      <c r="V909" s="20">
        <v>1.534</v>
      </c>
      <c r="W909"/>
      <c r="X909"/>
      <c r="Y909"/>
      <c r="Z909"/>
    </row>
    <row r="910" spans="1:26" x14ac:dyDescent="0.2">
      <c r="A910" s="19">
        <v>0.90400000000000003</v>
      </c>
      <c r="B910" s="20">
        <v>0</v>
      </c>
      <c r="C910" s="20">
        <v>0.1138</v>
      </c>
      <c r="D910" s="20">
        <v>0.22220000000000001</v>
      </c>
      <c r="E910" s="20">
        <v>0.32540000000000002</v>
      </c>
      <c r="F910" s="20">
        <v>0.42380000000000001</v>
      </c>
      <c r="G910" s="20">
        <v>0.51770000000000005</v>
      </c>
      <c r="H910" s="20">
        <v>0.60729999999999995</v>
      </c>
      <c r="I910" s="20">
        <v>0.69289999999999996</v>
      </c>
      <c r="J910" s="20">
        <v>0.77480000000000004</v>
      </c>
      <c r="K910" s="20">
        <v>0.85309999999999997</v>
      </c>
      <c r="L910" s="20">
        <v>0.92820000000000003</v>
      </c>
      <c r="M910" s="20">
        <v>1.0001</v>
      </c>
      <c r="N910" s="20">
        <v>1.0690999999999999</v>
      </c>
      <c r="O910" s="20">
        <v>1.1354</v>
      </c>
      <c r="P910" s="20">
        <v>1.1991000000000001</v>
      </c>
      <c r="Q910" s="20">
        <v>1.2603</v>
      </c>
      <c r="R910" s="20">
        <v>1.3191999999999999</v>
      </c>
      <c r="S910" s="20">
        <v>1.3759999999999999</v>
      </c>
      <c r="T910" s="20">
        <v>1.4307000000000001</v>
      </c>
      <c r="U910" s="20">
        <v>1.4834000000000001</v>
      </c>
      <c r="V910" s="20">
        <v>1.5343</v>
      </c>
      <c r="W910"/>
      <c r="X910"/>
      <c r="Y910"/>
      <c r="Z910"/>
    </row>
    <row r="911" spans="1:26" x14ac:dyDescent="0.2">
      <c r="A911" s="19">
        <v>0.90500000000000003</v>
      </c>
      <c r="B911" s="20">
        <v>0</v>
      </c>
      <c r="C911" s="20">
        <v>0.1139</v>
      </c>
      <c r="D911" s="20">
        <v>0.2223</v>
      </c>
      <c r="E911" s="20">
        <v>0.32550000000000001</v>
      </c>
      <c r="F911" s="20">
        <v>0.4239</v>
      </c>
      <c r="G911" s="20">
        <v>0.51780000000000004</v>
      </c>
      <c r="H911" s="20">
        <v>0.60740000000000005</v>
      </c>
      <c r="I911" s="20">
        <v>0.69310000000000005</v>
      </c>
      <c r="J911" s="20">
        <v>0.77500000000000002</v>
      </c>
      <c r="K911" s="20">
        <v>0.85329999999999995</v>
      </c>
      <c r="L911" s="20">
        <v>0.9284</v>
      </c>
      <c r="M911" s="20">
        <v>1.0003</v>
      </c>
      <c r="N911" s="20">
        <v>1.0693999999999999</v>
      </c>
      <c r="O911" s="20">
        <v>1.1356999999999999</v>
      </c>
      <c r="P911" s="20">
        <v>1.1993</v>
      </c>
      <c r="Q911" s="20">
        <v>1.2605999999999999</v>
      </c>
      <c r="R911" s="20">
        <v>1.3194999999999999</v>
      </c>
      <c r="S911" s="20">
        <v>1.3763000000000001</v>
      </c>
      <c r="T911" s="20">
        <v>1.431</v>
      </c>
      <c r="U911" s="20">
        <v>1.4837</v>
      </c>
      <c r="V911" s="20">
        <v>1.5346</v>
      </c>
      <c r="W911"/>
      <c r="X911"/>
      <c r="Y911"/>
      <c r="Z911"/>
    </row>
    <row r="912" spans="1:26" x14ac:dyDescent="0.2">
      <c r="A912" s="19">
        <v>0.90600000000000003</v>
      </c>
      <c r="B912" s="20">
        <v>0</v>
      </c>
      <c r="C912" s="20">
        <v>0.1139</v>
      </c>
      <c r="D912" s="20">
        <v>0.2223</v>
      </c>
      <c r="E912" s="20">
        <v>0.3256</v>
      </c>
      <c r="F912" s="20">
        <v>0.42399999999999999</v>
      </c>
      <c r="G912" s="20">
        <v>0.51790000000000003</v>
      </c>
      <c r="H912" s="20">
        <v>0.60760000000000003</v>
      </c>
      <c r="I912" s="20">
        <v>0.69320000000000004</v>
      </c>
      <c r="J912" s="20">
        <v>0.7752</v>
      </c>
      <c r="K912" s="20">
        <v>0.85350000000000004</v>
      </c>
      <c r="L912" s="20">
        <v>0.92859999999999998</v>
      </c>
      <c r="M912" s="20">
        <v>1.0005999999999999</v>
      </c>
      <c r="N912" s="20">
        <v>1.0696000000000001</v>
      </c>
      <c r="O912" s="20">
        <v>1.1358999999999999</v>
      </c>
      <c r="P912" s="20">
        <v>1.1996</v>
      </c>
      <c r="Q912" s="20">
        <v>1.2608999999999999</v>
      </c>
      <c r="R912" s="20">
        <v>1.3198000000000001</v>
      </c>
      <c r="S912" s="20">
        <v>1.3766</v>
      </c>
      <c r="T912" s="20">
        <v>1.4313</v>
      </c>
      <c r="U912" s="20">
        <v>1.484</v>
      </c>
      <c r="V912" s="20">
        <v>1.5348999999999999</v>
      </c>
      <c r="W912"/>
      <c r="X912"/>
      <c r="Y912"/>
      <c r="Z912"/>
    </row>
    <row r="913" spans="1:26" x14ac:dyDescent="0.2">
      <c r="A913" s="19">
        <v>0.90700000000000003</v>
      </c>
      <c r="B913" s="20">
        <v>0</v>
      </c>
      <c r="C913" s="20">
        <v>0.1139</v>
      </c>
      <c r="D913" s="20">
        <v>0.22239999999999999</v>
      </c>
      <c r="E913" s="20">
        <v>0.32569999999999999</v>
      </c>
      <c r="F913" s="20">
        <v>0.42409999999999998</v>
      </c>
      <c r="G913" s="20">
        <v>0.5181</v>
      </c>
      <c r="H913" s="20">
        <v>0.60770000000000002</v>
      </c>
      <c r="I913" s="20">
        <v>0.69340000000000002</v>
      </c>
      <c r="J913" s="20">
        <v>0.77529999999999999</v>
      </c>
      <c r="K913" s="20">
        <v>0.85370000000000001</v>
      </c>
      <c r="L913" s="20">
        <v>0.92879999999999996</v>
      </c>
      <c r="M913" s="20">
        <v>1.0007999999999999</v>
      </c>
      <c r="N913" s="20">
        <v>1.0699000000000001</v>
      </c>
      <c r="O913" s="20">
        <v>1.1362000000000001</v>
      </c>
      <c r="P913" s="20">
        <v>1.1999</v>
      </c>
      <c r="Q913" s="20">
        <v>1.2611000000000001</v>
      </c>
      <c r="R913" s="20">
        <v>1.3201000000000001</v>
      </c>
      <c r="S913" s="20">
        <v>1.3769</v>
      </c>
      <c r="T913" s="20">
        <v>1.4316</v>
      </c>
      <c r="U913" s="20">
        <v>1.4843</v>
      </c>
      <c r="V913" s="20">
        <v>1.5351999999999999</v>
      </c>
      <c r="W913"/>
      <c r="X913"/>
      <c r="Y913"/>
      <c r="Z913"/>
    </row>
    <row r="914" spans="1:26" x14ac:dyDescent="0.2">
      <c r="A914" s="19">
        <v>0.90800000000000003</v>
      </c>
      <c r="B914" s="20">
        <v>0</v>
      </c>
      <c r="C914" s="20">
        <v>0.114</v>
      </c>
      <c r="D914" s="20">
        <v>0.22239999999999999</v>
      </c>
      <c r="E914" s="20">
        <v>0.32579999999999998</v>
      </c>
      <c r="F914" s="20">
        <v>0.42420000000000002</v>
      </c>
      <c r="G914" s="20">
        <v>0.51819999999999999</v>
      </c>
      <c r="H914" s="20">
        <v>0.6079</v>
      </c>
      <c r="I914" s="20">
        <v>0.69359999999999999</v>
      </c>
      <c r="J914" s="20">
        <v>0.77549999999999997</v>
      </c>
      <c r="K914" s="20">
        <v>0.85399999999999998</v>
      </c>
      <c r="L914" s="20">
        <v>0.92910000000000004</v>
      </c>
      <c r="M914" s="20">
        <v>1.0011000000000001</v>
      </c>
      <c r="N914" s="20">
        <v>1.0701000000000001</v>
      </c>
      <c r="O914" s="20">
        <v>1.1364000000000001</v>
      </c>
      <c r="P914" s="20">
        <v>1.2001999999999999</v>
      </c>
      <c r="Q914" s="20">
        <v>1.2614000000000001</v>
      </c>
      <c r="R914" s="20">
        <v>1.3204</v>
      </c>
      <c r="S914" s="20">
        <v>1.3771</v>
      </c>
      <c r="T914" s="20">
        <v>1.4318</v>
      </c>
      <c r="U914" s="20">
        <v>1.4845999999999999</v>
      </c>
      <c r="V914" s="20">
        <v>1.5355000000000001</v>
      </c>
      <c r="W914"/>
      <c r="X914"/>
      <c r="Y914"/>
      <c r="Z914"/>
    </row>
    <row r="915" spans="1:26" x14ac:dyDescent="0.2">
      <c r="A915" s="19">
        <v>0.90900000000000003</v>
      </c>
      <c r="B915" s="20">
        <v>0</v>
      </c>
      <c r="C915" s="20">
        <v>0.114</v>
      </c>
      <c r="D915" s="20">
        <v>0.2225</v>
      </c>
      <c r="E915" s="20">
        <v>0.32579999999999998</v>
      </c>
      <c r="F915" s="20">
        <v>0.4244</v>
      </c>
      <c r="G915" s="20">
        <v>0.51829999999999998</v>
      </c>
      <c r="H915" s="20">
        <v>0.60799999999999998</v>
      </c>
      <c r="I915" s="20">
        <v>0.69379999999999997</v>
      </c>
      <c r="J915" s="20">
        <v>0.77569999999999995</v>
      </c>
      <c r="K915" s="20">
        <v>0.85419999999999996</v>
      </c>
      <c r="L915" s="20">
        <v>0.92930000000000001</v>
      </c>
      <c r="M915" s="20">
        <v>1.0013000000000001</v>
      </c>
      <c r="N915" s="20">
        <v>1.0704</v>
      </c>
      <c r="O915" s="20">
        <v>1.1367</v>
      </c>
      <c r="P915" s="20">
        <v>1.2003999999999999</v>
      </c>
      <c r="Q915" s="20">
        <v>1.2617</v>
      </c>
      <c r="R915" s="20">
        <v>1.3207</v>
      </c>
      <c r="S915" s="20">
        <v>1.3774</v>
      </c>
      <c r="T915" s="20">
        <v>1.4320999999999999</v>
      </c>
      <c r="U915" s="20">
        <v>1.4849000000000001</v>
      </c>
      <c r="V915" s="20">
        <v>1.5358000000000001</v>
      </c>
      <c r="W915"/>
      <c r="X915"/>
      <c r="Y915"/>
      <c r="Z915"/>
    </row>
    <row r="916" spans="1:26" x14ac:dyDescent="0.2">
      <c r="A916" s="19">
        <v>0.91</v>
      </c>
      <c r="B916" s="20">
        <v>0</v>
      </c>
      <c r="C916" s="20">
        <v>0.114</v>
      </c>
      <c r="D916" s="20">
        <v>0.2225</v>
      </c>
      <c r="E916" s="20">
        <v>0.32590000000000002</v>
      </c>
      <c r="F916" s="20">
        <v>0.42449999999999999</v>
      </c>
      <c r="G916" s="20">
        <v>0.51849999999999996</v>
      </c>
      <c r="H916" s="20">
        <v>0.60819999999999996</v>
      </c>
      <c r="I916" s="20">
        <v>0.69389999999999996</v>
      </c>
      <c r="J916" s="20">
        <v>0.77590000000000003</v>
      </c>
      <c r="K916" s="20">
        <v>0.85440000000000005</v>
      </c>
      <c r="L916" s="20">
        <v>0.92949999999999999</v>
      </c>
      <c r="M916" s="20">
        <v>1.0015000000000001</v>
      </c>
      <c r="N916" s="20">
        <v>1.0706</v>
      </c>
      <c r="O916" s="20">
        <v>1.137</v>
      </c>
      <c r="P916" s="20">
        <v>1.2007000000000001</v>
      </c>
      <c r="Q916" s="20">
        <v>1.262</v>
      </c>
      <c r="R916" s="20">
        <v>1.3209</v>
      </c>
      <c r="S916" s="20">
        <v>1.3776999999999999</v>
      </c>
      <c r="T916" s="20">
        <v>1.4323999999999999</v>
      </c>
      <c r="U916" s="20">
        <v>1.4852000000000001</v>
      </c>
      <c r="V916" s="20">
        <v>1.5361</v>
      </c>
      <c r="W916"/>
      <c r="X916"/>
      <c r="Y916"/>
      <c r="Z916"/>
    </row>
    <row r="917" spans="1:26" x14ac:dyDescent="0.2">
      <c r="A917" s="19">
        <v>0.91100000000000003</v>
      </c>
      <c r="B917" s="20">
        <v>0</v>
      </c>
      <c r="C917" s="20">
        <v>0.114</v>
      </c>
      <c r="D917" s="20">
        <v>0.22259999999999999</v>
      </c>
      <c r="E917" s="20">
        <v>0.32600000000000001</v>
      </c>
      <c r="F917" s="20">
        <v>0.42459999999999998</v>
      </c>
      <c r="G917" s="20">
        <v>0.51859999999999995</v>
      </c>
      <c r="H917" s="20">
        <v>0.60840000000000005</v>
      </c>
      <c r="I917" s="20">
        <v>0.69410000000000005</v>
      </c>
      <c r="J917" s="20">
        <v>0.77610000000000001</v>
      </c>
      <c r="K917" s="20">
        <v>0.85460000000000003</v>
      </c>
      <c r="L917" s="20">
        <v>0.92969999999999997</v>
      </c>
      <c r="M917" s="20">
        <v>1.0018</v>
      </c>
      <c r="N917" s="20">
        <v>1.0709</v>
      </c>
      <c r="O917" s="20">
        <v>1.1372</v>
      </c>
      <c r="P917" s="20">
        <v>1.2010000000000001</v>
      </c>
      <c r="Q917" s="20">
        <v>1.2623</v>
      </c>
      <c r="R917" s="20">
        <v>1.3211999999999999</v>
      </c>
      <c r="S917" s="20">
        <v>1.3779999999999999</v>
      </c>
      <c r="T917" s="20">
        <v>1.4327000000000001</v>
      </c>
      <c r="U917" s="20">
        <v>1.4855</v>
      </c>
      <c r="V917" s="20">
        <v>1.5363</v>
      </c>
      <c r="W917"/>
      <c r="X917"/>
      <c r="Y917"/>
      <c r="Z917"/>
    </row>
    <row r="918" spans="1:26" x14ac:dyDescent="0.2">
      <c r="A918" s="19">
        <v>0.91200000000000003</v>
      </c>
      <c r="B918" s="20">
        <v>0</v>
      </c>
      <c r="C918" s="20">
        <v>0.11409999999999999</v>
      </c>
      <c r="D918" s="20">
        <v>0.22270000000000001</v>
      </c>
      <c r="E918" s="20">
        <v>0.3261</v>
      </c>
      <c r="F918" s="20">
        <v>0.42470000000000002</v>
      </c>
      <c r="G918" s="20">
        <v>0.51870000000000005</v>
      </c>
      <c r="H918" s="20">
        <v>0.60850000000000004</v>
      </c>
      <c r="I918" s="20">
        <v>0.69430000000000003</v>
      </c>
      <c r="J918" s="20">
        <v>0.77629999999999999</v>
      </c>
      <c r="K918" s="20">
        <v>0.8548</v>
      </c>
      <c r="L918" s="20">
        <v>0.93</v>
      </c>
      <c r="M918" s="20">
        <v>1.002</v>
      </c>
      <c r="N918" s="20">
        <v>1.0710999999999999</v>
      </c>
      <c r="O918" s="20">
        <v>1.1375</v>
      </c>
      <c r="P918" s="20">
        <v>1.2012</v>
      </c>
      <c r="Q918" s="20">
        <v>1.2625</v>
      </c>
      <c r="R918" s="20">
        <v>1.3214999999999999</v>
      </c>
      <c r="S918" s="20">
        <v>1.3783000000000001</v>
      </c>
      <c r="T918" s="20">
        <v>1.4330000000000001</v>
      </c>
      <c r="U918" s="20">
        <v>1.4858</v>
      </c>
      <c r="V918" s="20">
        <v>1.5366</v>
      </c>
      <c r="W918"/>
      <c r="X918"/>
      <c r="Y918"/>
      <c r="Z918"/>
    </row>
    <row r="919" spans="1:26" x14ac:dyDescent="0.2">
      <c r="A919" s="19">
        <v>0.91300000000000003</v>
      </c>
      <c r="B919" s="20">
        <v>0</v>
      </c>
      <c r="C919" s="20">
        <v>0.11409999999999999</v>
      </c>
      <c r="D919" s="20">
        <v>0.22270000000000001</v>
      </c>
      <c r="E919" s="20">
        <v>0.32619999999999999</v>
      </c>
      <c r="F919" s="20">
        <v>0.42480000000000001</v>
      </c>
      <c r="G919" s="20">
        <v>0.51890000000000003</v>
      </c>
      <c r="H919" s="20">
        <v>0.60870000000000002</v>
      </c>
      <c r="I919" s="20">
        <v>0.69450000000000001</v>
      </c>
      <c r="J919" s="20">
        <v>0.77649999999999997</v>
      </c>
      <c r="K919" s="20">
        <v>0.85499999999999998</v>
      </c>
      <c r="L919" s="20">
        <v>0.93020000000000003</v>
      </c>
      <c r="M919" s="20">
        <v>1.0023</v>
      </c>
      <c r="N919" s="20">
        <v>1.0713999999999999</v>
      </c>
      <c r="O919" s="20">
        <v>1.1376999999999999</v>
      </c>
      <c r="P919" s="20">
        <v>1.2015</v>
      </c>
      <c r="Q919" s="20">
        <v>1.2627999999999999</v>
      </c>
      <c r="R919" s="20">
        <v>1.3218000000000001</v>
      </c>
      <c r="S919" s="20">
        <v>1.3786</v>
      </c>
      <c r="T919" s="20">
        <v>1.4333</v>
      </c>
      <c r="U919" s="20">
        <v>1.486</v>
      </c>
      <c r="V919" s="20">
        <v>1.5368999999999999</v>
      </c>
      <c r="W919"/>
      <c r="X919"/>
      <c r="Y919"/>
      <c r="Z919"/>
    </row>
    <row r="920" spans="1:26" x14ac:dyDescent="0.2">
      <c r="A920" s="19">
        <v>0.91400000000000003</v>
      </c>
      <c r="B920" s="20">
        <v>0</v>
      </c>
      <c r="C920" s="20">
        <v>0.11409999999999999</v>
      </c>
      <c r="D920" s="20">
        <v>0.2228</v>
      </c>
      <c r="E920" s="20">
        <v>0.32629999999999998</v>
      </c>
      <c r="F920" s="20">
        <v>0.4249</v>
      </c>
      <c r="G920" s="20">
        <v>0.51900000000000002</v>
      </c>
      <c r="H920" s="20">
        <v>0.60880000000000001</v>
      </c>
      <c r="I920" s="20">
        <v>0.6946</v>
      </c>
      <c r="J920" s="20">
        <v>0.77669999999999995</v>
      </c>
      <c r="K920" s="20">
        <v>0.85519999999999996</v>
      </c>
      <c r="L920" s="20">
        <v>0.9304</v>
      </c>
      <c r="M920" s="20">
        <v>1.0024999999999999</v>
      </c>
      <c r="N920" s="20">
        <v>1.0716000000000001</v>
      </c>
      <c r="O920" s="20">
        <v>1.1379999999999999</v>
      </c>
      <c r="P920" s="20">
        <v>1.2018</v>
      </c>
      <c r="Q920" s="20">
        <v>1.2630999999999999</v>
      </c>
      <c r="R920" s="20">
        <v>1.3221000000000001</v>
      </c>
      <c r="S920" s="20">
        <v>1.3789</v>
      </c>
      <c r="T920" s="20">
        <v>1.4336</v>
      </c>
      <c r="U920" s="20">
        <v>1.4863</v>
      </c>
      <c r="V920" s="20">
        <v>1.5371999999999999</v>
      </c>
      <c r="W920"/>
      <c r="X920"/>
      <c r="Y920"/>
      <c r="Z920"/>
    </row>
    <row r="921" spans="1:26" x14ac:dyDescent="0.2">
      <c r="A921" s="19">
        <v>0.91500000000000004</v>
      </c>
      <c r="B921" s="20">
        <v>0</v>
      </c>
      <c r="C921" s="20">
        <v>0.1142</v>
      </c>
      <c r="D921" s="20">
        <v>0.2228</v>
      </c>
      <c r="E921" s="20">
        <v>0.32629999999999998</v>
      </c>
      <c r="F921" s="20">
        <v>0.42499999999999999</v>
      </c>
      <c r="G921" s="20">
        <v>0.51910000000000001</v>
      </c>
      <c r="H921" s="20">
        <v>0.60899999999999999</v>
      </c>
      <c r="I921" s="20">
        <v>0.69479999999999997</v>
      </c>
      <c r="J921" s="20">
        <v>0.77690000000000003</v>
      </c>
      <c r="K921" s="20">
        <v>0.85540000000000005</v>
      </c>
      <c r="L921" s="20">
        <v>0.93059999999999998</v>
      </c>
      <c r="M921" s="20">
        <v>1.0026999999999999</v>
      </c>
      <c r="N921" s="20">
        <v>1.0719000000000001</v>
      </c>
      <c r="O921" s="20">
        <v>1.1383000000000001</v>
      </c>
      <c r="P921" s="20">
        <v>1.202</v>
      </c>
      <c r="Q921" s="20">
        <v>1.2634000000000001</v>
      </c>
      <c r="R921" s="20">
        <v>1.3223</v>
      </c>
      <c r="S921" s="20">
        <v>1.3791</v>
      </c>
      <c r="T921" s="20">
        <v>1.4339</v>
      </c>
      <c r="U921" s="20">
        <v>1.4865999999999999</v>
      </c>
      <c r="V921" s="20">
        <v>1.5375000000000001</v>
      </c>
      <c r="W921"/>
      <c r="X921"/>
      <c r="Y921"/>
      <c r="Z921"/>
    </row>
    <row r="922" spans="1:26" x14ac:dyDescent="0.2">
      <c r="A922" s="19">
        <v>0.91600000000000004</v>
      </c>
      <c r="B922" s="20">
        <v>0</v>
      </c>
      <c r="C922" s="20">
        <v>0.1142</v>
      </c>
      <c r="D922" s="20">
        <v>0.22289999999999999</v>
      </c>
      <c r="E922" s="20">
        <v>0.32640000000000002</v>
      </c>
      <c r="F922" s="20">
        <v>0.42509999999999998</v>
      </c>
      <c r="G922" s="20">
        <v>0.51929999999999998</v>
      </c>
      <c r="H922" s="20">
        <v>0.60909999999999997</v>
      </c>
      <c r="I922" s="20">
        <v>0.69499999999999995</v>
      </c>
      <c r="J922" s="20">
        <v>0.77710000000000001</v>
      </c>
      <c r="K922" s="20">
        <v>0.85560000000000003</v>
      </c>
      <c r="L922" s="20">
        <v>0.93089999999999995</v>
      </c>
      <c r="M922" s="20">
        <v>1.0029999999999999</v>
      </c>
      <c r="N922" s="20">
        <v>1.0721000000000001</v>
      </c>
      <c r="O922" s="20">
        <v>1.1385000000000001</v>
      </c>
      <c r="P922" s="20">
        <v>1.2022999999999999</v>
      </c>
      <c r="Q922" s="20">
        <v>1.2636000000000001</v>
      </c>
      <c r="R922" s="20">
        <v>1.3226</v>
      </c>
      <c r="S922" s="20">
        <v>1.3794</v>
      </c>
      <c r="T922" s="20">
        <v>1.4341999999999999</v>
      </c>
      <c r="U922" s="20">
        <v>1.4869000000000001</v>
      </c>
      <c r="V922" s="20">
        <v>1.5378000000000001</v>
      </c>
      <c r="W922"/>
      <c r="X922"/>
      <c r="Y922"/>
      <c r="Z922"/>
    </row>
    <row r="923" spans="1:26" x14ac:dyDescent="0.2">
      <c r="A923" s="19">
        <v>0.91700000000000004</v>
      </c>
      <c r="B923" s="20">
        <v>0</v>
      </c>
      <c r="C923" s="20">
        <v>0.1142</v>
      </c>
      <c r="D923" s="20">
        <v>0.223</v>
      </c>
      <c r="E923" s="20">
        <v>0.32650000000000001</v>
      </c>
      <c r="F923" s="20">
        <v>0.42520000000000002</v>
      </c>
      <c r="G923" s="20">
        <v>0.51939999999999997</v>
      </c>
      <c r="H923" s="20">
        <v>0.60929999999999995</v>
      </c>
      <c r="I923" s="20">
        <v>0.69520000000000004</v>
      </c>
      <c r="J923" s="20">
        <v>0.77729999999999999</v>
      </c>
      <c r="K923" s="20">
        <v>0.85580000000000001</v>
      </c>
      <c r="L923" s="20">
        <v>0.93110000000000004</v>
      </c>
      <c r="M923" s="20">
        <v>1.0032000000000001</v>
      </c>
      <c r="N923" s="20">
        <v>1.0724</v>
      </c>
      <c r="O923" s="20">
        <v>1.1388</v>
      </c>
      <c r="P923" s="20">
        <v>1.2025999999999999</v>
      </c>
      <c r="Q923" s="20">
        <v>1.2639</v>
      </c>
      <c r="R923" s="20">
        <v>1.3229</v>
      </c>
      <c r="S923" s="20">
        <v>1.3796999999999999</v>
      </c>
      <c r="T923" s="20">
        <v>1.4343999999999999</v>
      </c>
      <c r="U923" s="20">
        <v>1.4872000000000001</v>
      </c>
      <c r="V923" s="20">
        <v>1.5381</v>
      </c>
      <c r="W923"/>
      <c r="X923"/>
      <c r="Y923"/>
      <c r="Z923"/>
    </row>
    <row r="924" spans="1:26" x14ac:dyDescent="0.2">
      <c r="A924" s="19">
        <v>0.91800000000000004</v>
      </c>
      <c r="B924" s="20">
        <v>0</v>
      </c>
      <c r="C924" s="20">
        <v>0.1143</v>
      </c>
      <c r="D924" s="20">
        <v>0.223</v>
      </c>
      <c r="E924" s="20">
        <v>0.3266</v>
      </c>
      <c r="F924" s="20">
        <v>0.42530000000000001</v>
      </c>
      <c r="G924" s="20">
        <v>0.51949999999999996</v>
      </c>
      <c r="H924" s="20">
        <v>0.60940000000000005</v>
      </c>
      <c r="I924" s="20">
        <v>0.69530000000000003</v>
      </c>
      <c r="J924" s="20">
        <v>0.77749999999999997</v>
      </c>
      <c r="K924" s="20">
        <v>0.85599999999999998</v>
      </c>
      <c r="L924" s="20">
        <v>0.93130000000000002</v>
      </c>
      <c r="M924" s="20">
        <v>1.0034000000000001</v>
      </c>
      <c r="N924" s="20">
        <v>1.0726</v>
      </c>
      <c r="O924" s="20">
        <v>1.139</v>
      </c>
      <c r="P924" s="20">
        <v>1.2028000000000001</v>
      </c>
      <c r="Q924" s="20">
        <v>1.2642</v>
      </c>
      <c r="R924" s="20">
        <v>1.3231999999999999</v>
      </c>
      <c r="S924" s="20">
        <v>1.38</v>
      </c>
      <c r="T924" s="20">
        <v>1.4347000000000001</v>
      </c>
      <c r="U924" s="20">
        <v>1.4875</v>
      </c>
      <c r="V924" s="20">
        <v>1.5384</v>
      </c>
      <c r="W924"/>
      <c r="X924"/>
      <c r="Y924"/>
      <c r="Z924"/>
    </row>
    <row r="925" spans="1:26" x14ac:dyDescent="0.2">
      <c r="A925" s="19">
        <v>0.91900000000000004</v>
      </c>
      <c r="B925" s="20">
        <v>0</v>
      </c>
      <c r="C925" s="20">
        <v>0.1143</v>
      </c>
      <c r="D925" s="20">
        <v>0.22309999999999999</v>
      </c>
      <c r="E925" s="20">
        <v>0.32669999999999999</v>
      </c>
      <c r="F925" s="20">
        <v>0.4254</v>
      </c>
      <c r="G925" s="20">
        <v>0.51970000000000005</v>
      </c>
      <c r="H925" s="20">
        <v>0.60960000000000003</v>
      </c>
      <c r="I925" s="20">
        <v>0.69550000000000001</v>
      </c>
      <c r="J925" s="20">
        <v>0.77769999999999995</v>
      </c>
      <c r="K925" s="20">
        <v>0.85629999999999995</v>
      </c>
      <c r="L925" s="20">
        <v>0.93149999999999999</v>
      </c>
      <c r="M925" s="20">
        <v>1.0037</v>
      </c>
      <c r="N925" s="20">
        <v>1.0729</v>
      </c>
      <c r="O925" s="20">
        <v>1.1393</v>
      </c>
      <c r="P925" s="20">
        <v>1.2031000000000001</v>
      </c>
      <c r="Q925" s="20">
        <v>1.2644</v>
      </c>
      <c r="R925" s="20">
        <v>1.3234999999999999</v>
      </c>
      <c r="S925" s="20">
        <v>1.3803000000000001</v>
      </c>
      <c r="T925" s="20">
        <v>1.4350000000000001</v>
      </c>
      <c r="U925" s="20">
        <v>1.4878</v>
      </c>
      <c r="V925" s="20">
        <v>1.5387</v>
      </c>
      <c r="W925"/>
      <c r="X925"/>
      <c r="Y925"/>
      <c r="Z925"/>
    </row>
    <row r="926" spans="1:26" x14ac:dyDescent="0.2">
      <c r="A926" s="19">
        <v>0.92</v>
      </c>
      <c r="B926" s="20">
        <v>0</v>
      </c>
      <c r="C926" s="20">
        <v>0.1143</v>
      </c>
      <c r="D926" s="20">
        <v>0.22309999999999999</v>
      </c>
      <c r="E926" s="20">
        <v>0.32679999999999998</v>
      </c>
      <c r="F926" s="20">
        <v>0.42559999999999998</v>
      </c>
      <c r="G926" s="20">
        <v>0.51980000000000004</v>
      </c>
      <c r="H926" s="20">
        <v>0.60970000000000002</v>
      </c>
      <c r="I926" s="20">
        <v>0.69569999999999999</v>
      </c>
      <c r="J926" s="20">
        <v>0.77780000000000005</v>
      </c>
      <c r="K926" s="20">
        <v>0.85650000000000004</v>
      </c>
      <c r="L926" s="20">
        <v>0.93179999999999996</v>
      </c>
      <c r="M926" s="20">
        <v>1.0039</v>
      </c>
      <c r="N926" s="20">
        <v>1.0730999999999999</v>
      </c>
      <c r="O926" s="20">
        <v>1.1395999999999999</v>
      </c>
      <c r="P926" s="20">
        <v>1.2034</v>
      </c>
      <c r="Q926" s="20">
        <v>1.2646999999999999</v>
      </c>
      <c r="R926" s="20">
        <v>1.3237000000000001</v>
      </c>
      <c r="S926" s="20">
        <v>1.3806</v>
      </c>
      <c r="T926" s="20">
        <v>1.4353</v>
      </c>
      <c r="U926" s="20">
        <v>1.4881</v>
      </c>
      <c r="V926" s="20">
        <v>1.5389999999999999</v>
      </c>
      <c r="W926"/>
      <c r="X926"/>
      <c r="Y926"/>
      <c r="Z926"/>
    </row>
    <row r="927" spans="1:26" x14ac:dyDescent="0.2">
      <c r="A927" s="19">
        <v>0.92100000000000004</v>
      </c>
      <c r="B927" s="20">
        <v>0</v>
      </c>
      <c r="C927" s="20">
        <v>0.1143</v>
      </c>
      <c r="D927" s="20">
        <v>0.22320000000000001</v>
      </c>
      <c r="E927" s="20">
        <v>0.32679999999999998</v>
      </c>
      <c r="F927" s="20">
        <v>0.42570000000000002</v>
      </c>
      <c r="G927" s="20">
        <v>0.51990000000000003</v>
      </c>
      <c r="H927" s="20">
        <v>0.6099</v>
      </c>
      <c r="I927" s="20">
        <v>0.69579999999999997</v>
      </c>
      <c r="J927" s="20">
        <v>0.77800000000000002</v>
      </c>
      <c r="K927" s="20">
        <v>0.85670000000000002</v>
      </c>
      <c r="L927" s="20">
        <v>0.93200000000000005</v>
      </c>
      <c r="M927" s="20">
        <v>1.0041</v>
      </c>
      <c r="N927" s="20">
        <v>1.0733999999999999</v>
      </c>
      <c r="O927" s="20">
        <v>1.1397999999999999</v>
      </c>
      <c r="P927" s="20">
        <v>1.2036</v>
      </c>
      <c r="Q927" s="20">
        <v>1.2649999999999999</v>
      </c>
      <c r="R927" s="20">
        <v>1.3240000000000001</v>
      </c>
      <c r="S927" s="20">
        <v>1.3808</v>
      </c>
      <c r="T927" s="20">
        <v>1.4356</v>
      </c>
      <c r="U927" s="20">
        <v>1.4883999999999999</v>
      </c>
      <c r="V927" s="20">
        <v>1.5391999999999999</v>
      </c>
      <c r="W927"/>
      <c r="X927"/>
      <c r="Y927"/>
      <c r="Z927"/>
    </row>
    <row r="928" spans="1:26" x14ac:dyDescent="0.2">
      <c r="A928" s="19">
        <v>0.92200000000000004</v>
      </c>
      <c r="B928" s="20">
        <v>0</v>
      </c>
      <c r="C928" s="20">
        <v>0.1144</v>
      </c>
      <c r="D928" s="20">
        <v>0.22320000000000001</v>
      </c>
      <c r="E928" s="20">
        <v>0.32690000000000002</v>
      </c>
      <c r="F928" s="20">
        <v>0.42580000000000001</v>
      </c>
      <c r="G928" s="20">
        <v>0.52</v>
      </c>
      <c r="H928" s="20">
        <v>0.61</v>
      </c>
      <c r="I928" s="20">
        <v>0.69599999999999995</v>
      </c>
      <c r="J928" s="20">
        <v>0.7782</v>
      </c>
      <c r="K928" s="20">
        <v>0.8569</v>
      </c>
      <c r="L928" s="20">
        <v>0.93220000000000003</v>
      </c>
      <c r="M928" s="20">
        <v>1.0044</v>
      </c>
      <c r="N928" s="20">
        <v>1.0736000000000001</v>
      </c>
      <c r="O928" s="20">
        <v>1.1400999999999999</v>
      </c>
      <c r="P928" s="20">
        <v>1.2039</v>
      </c>
      <c r="Q928" s="20">
        <v>1.2653000000000001</v>
      </c>
      <c r="R928" s="20">
        <v>1.3243</v>
      </c>
      <c r="S928" s="20">
        <v>1.3811</v>
      </c>
      <c r="T928" s="20">
        <v>1.4359</v>
      </c>
      <c r="U928" s="20">
        <v>1.4885999999999999</v>
      </c>
      <c r="V928" s="20">
        <v>1.5395000000000001</v>
      </c>
      <c r="W928"/>
      <c r="X928"/>
      <c r="Y928"/>
      <c r="Z928"/>
    </row>
    <row r="929" spans="1:26" x14ac:dyDescent="0.2">
      <c r="A929" s="19">
        <v>0.92300000000000004</v>
      </c>
      <c r="B929" s="20">
        <v>0</v>
      </c>
      <c r="C929" s="20">
        <v>0.1144</v>
      </c>
      <c r="D929" s="20">
        <v>0.2233</v>
      </c>
      <c r="E929" s="20">
        <v>0.32700000000000001</v>
      </c>
      <c r="F929" s="20">
        <v>0.4259</v>
      </c>
      <c r="G929" s="20">
        <v>0.5202</v>
      </c>
      <c r="H929" s="20">
        <v>0.61019999999999996</v>
      </c>
      <c r="I929" s="20">
        <v>0.69620000000000004</v>
      </c>
      <c r="J929" s="20">
        <v>0.77839999999999998</v>
      </c>
      <c r="K929" s="20">
        <v>0.85709999999999997</v>
      </c>
      <c r="L929" s="20">
        <v>0.93240000000000001</v>
      </c>
      <c r="M929" s="20">
        <v>1.0045999999999999</v>
      </c>
      <c r="N929" s="20">
        <v>1.0739000000000001</v>
      </c>
      <c r="O929" s="20">
        <v>1.1403000000000001</v>
      </c>
      <c r="P929" s="20">
        <v>1.2041999999999999</v>
      </c>
      <c r="Q929" s="20">
        <v>1.2655000000000001</v>
      </c>
      <c r="R929" s="20">
        <v>1.3246</v>
      </c>
      <c r="S929" s="20">
        <v>1.3814</v>
      </c>
      <c r="T929" s="20">
        <v>1.4361999999999999</v>
      </c>
      <c r="U929" s="20">
        <v>1.4888999999999999</v>
      </c>
      <c r="V929" s="20">
        <v>1.5398000000000001</v>
      </c>
      <c r="W929"/>
      <c r="X929"/>
      <c r="Y929"/>
      <c r="Z929"/>
    </row>
    <row r="930" spans="1:26" x14ac:dyDescent="0.2">
      <c r="A930" s="19">
        <v>0.92400000000000004</v>
      </c>
      <c r="B930" s="20">
        <v>0</v>
      </c>
      <c r="C930" s="20">
        <v>0.1144</v>
      </c>
      <c r="D930" s="20">
        <v>0.2233</v>
      </c>
      <c r="E930" s="20">
        <v>0.3271</v>
      </c>
      <c r="F930" s="20">
        <v>0.42599999999999999</v>
      </c>
      <c r="G930" s="20">
        <v>0.52029999999999998</v>
      </c>
      <c r="H930" s="20">
        <v>0.61029999999999995</v>
      </c>
      <c r="I930" s="20">
        <v>0.69640000000000002</v>
      </c>
      <c r="J930" s="20">
        <v>0.77859999999999996</v>
      </c>
      <c r="K930" s="20">
        <v>0.85729999999999995</v>
      </c>
      <c r="L930" s="20">
        <v>0.93259999999999998</v>
      </c>
      <c r="M930" s="20">
        <v>1.0047999999999999</v>
      </c>
      <c r="N930" s="20">
        <v>1.0741000000000001</v>
      </c>
      <c r="O930" s="20">
        <v>1.1406000000000001</v>
      </c>
      <c r="P930" s="20">
        <v>1.2043999999999999</v>
      </c>
      <c r="Q930" s="20">
        <v>1.2658</v>
      </c>
      <c r="R930" s="20">
        <v>1.3248</v>
      </c>
      <c r="S930" s="20">
        <v>1.3816999999999999</v>
      </c>
      <c r="T930" s="20">
        <v>1.4363999999999999</v>
      </c>
      <c r="U930" s="20">
        <v>1.4892000000000001</v>
      </c>
      <c r="V930" s="20">
        <v>1.5401</v>
      </c>
      <c r="W930"/>
      <c r="X930"/>
      <c r="Y930"/>
      <c r="Z930"/>
    </row>
    <row r="931" spans="1:26" x14ac:dyDescent="0.2">
      <c r="A931" s="19">
        <v>0.92500000000000004</v>
      </c>
      <c r="B931" s="20">
        <v>0</v>
      </c>
      <c r="C931" s="20">
        <v>0.1145</v>
      </c>
      <c r="D931" s="20">
        <v>0.22339999999999999</v>
      </c>
      <c r="E931" s="20">
        <v>0.32719999999999999</v>
      </c>
      <c r="F931" s="20">
        <v>0.42609999999999998</v>
      </c>
      <c r="G931" s="20">
        <v>0.52039999999999997</v>
      </c>
      <c r="H931" s="20">
        <v>0.61050000000000004</v>
      </c>
      <c r="I931" s="20">
        <v>0.69650000000000001</v>
      </c>
      <c r="J931" s="20">
        <v>0.77880000000000005</v>
      </c>
      <c r="K931" s="20">
        <v>0.85750000000000004</v>
      </c>
      <c r="L931" s="20">
        <v>0.93289999999999995</v>
      </c>
      <c r="M931" s="20">
        <v>1.0051000000000001</v>
      </c>
      <c r="N931" s="20">
        <v>1.0743</v>
      </c>
      <c r="O931" s="20">
        <v>1.1408</v>
      </c>
      <c r="P931" s="20">
        <v>1.2047000000000001</v>
      </c>
      <c r="Q931" s="20">
        <v>1.2661</v>
      </c>
      <c r="R931" s="20">
        <v>1.3250999999999999</v>
      </c>
      <c r="S931" s="20">
        <v>1.3819999999999999</v>
      </c>
      <c r="T931" s="20">
        <v>1.4367000000000001</v>
      </c>
      <c r="U931" s="20">
        <v>1.4895</v>
      </c>
      <c r="V931" s="20">
        <v>1.5404</v>
      </c>
      <c r="W931"/>
      <c r="X931"/>
      <c r="Y931"/>
      <c r="Z931"/>
    </row>
    <row r="932" spans="1:26" x14ac:dyDescent="0.2">
      <c r="A932" s="19">
        <v>0.92600000000000005</v>
      </c>
      <c r="B932" s="20">
        <v>0</v>
      </c>
      <c r="C932" s="20">
        <v>0.1145</v>
      </c>
      <c r="D932" s="20">
        <v>0.2235</v>
      </c>
      <c r="E932" s="20">
        <v>0.32729999999999998</v>
      </c>
      <c r="F932" s="20">
        <v>0.42620000000000002</v>
      </c>
      <c r="G932" s="20">
        <v>0.52059999999999995</v>
      </c>
      <c r="H932" s="20">
        <v>0.61060000000000003</v>
      </c>
      <c r="I932" s="20">
        <v>0.69669999999999999</v>
      </c>
      <c r="J932" s="20">
        <v>0.77900000000000003</v>
      </c>
      <c r="K932" s="20">
        <v>0.85770000000000002</v>
      </c>
      <c r="L932" s="20">
        <v>0.93310000000000004</v>
      </c>
      <c r="M932" s="20">
        <v>1.0053000000000001</v>
      </c>
      <c r="N932" s="20">
        <v>1.0746</v>
      </c>
      <c r="O932" s="20">
        <v>1.1411</v>
      </c>
      <c r="P932" s="20">
        <v>1.2050000000000001</v>
      </c>
      <c r="Q932" s="20">
        <v>1.2663</v>
      </c>
      <c r="R932" s="20">
        <v>1.3253999999999999</v>
      </c>
      <c r="S932" s="20">
        <v>1.3822000000000001</v>
      </c>
      <c r="T932" s="20">
        <v>1.4370000000000001</v>
      </c>
      <c r="U932" s="20">
        <v>1.4898</v>
      </c>
      <c r="V932" s="20">
        <v>1.5407</v>
      </c>
      <c r="W932"/>
      <c r="X932"/>
      <c r="Y932"/>
      <c r="Z932"/>
    </row>
    <row r="933" spans="1:26" x14ac:dyDescent="0.2">
      <c r="A933" s="19">
        <v>0.92700000000000005</v>
      </c>
      <c r="B933" s="20">
        <v>0</v>
      </c>
      <c r="C933" s="20">
        <v>0.1145</v>
      </c>
      <c r="D933" s="20">
        <v>0.2235</v>
      </c>
      <c r="E933" s="20">
        <v>0.32729999999999998</v>
      </c>
      <c r="F933" s="20">
        <v>0.42630000000000001</v>
      </c>
      <c r="G933" s="20">
        <v>0.52070000000000005</v>
      </c>
      <c r="H933" s="20">
        <v>0.61080000000000001</v>
      </c>
      <c r="I933" s="20">
        <v>0.69689999999999996</v>
      </c>
      <c r="J933" s="20">
        <v>0.7792</v>
      </c>
      <c r="K933" s="20">
        <v>0.8579</v>
      </c>
      <c r="L933" s="20">
        <v>0.93330000000000002</v>
      </c>
      <c r="M933" s="20">
        <v>1.0055000000000001</v>
      </c>
      <c r="N933" s="20">
        <v>1.0748</v>
      </c>
      <c r="O933" s="20">
        <v>1.1413</v>
      </c>
      <c r="P933" s="20">
        <v>1.2052</v>
      </c>
      <c r="Q933" s="20">
        <v>1.2665999999999999</v>
      </c>
      <c r="R933" s="20">
        <v>1.3257000000000001</v>
      </c>
      <c r="S933" s="20">
        <v>1.3825000000000001</v>
      </c>
      <c r="T933" s="20">
        <v>1.4373</v>
      </c>
      <c r="U933" s="20">
        <v>1.4901</v>
      </c>
      <c r="V933" s="20">
        <v>1.5409999999999999</v>
      </c>
      <c r="W933"/>
      <c r="X933"/>
      <c r="Y933"/>
      <c r="Z933"/>
    </row>
    <row r="934" spans="1:26" x14ac:dyDescent="0.2">
      <c r="A934" s="19">
        <v>0.92800000000000005</v>
      </c>
      <c r="B934" s="20">
        <v>0</v>
      </c>
      <c r="C934" s="20">
        <v>0.1145</v>
      </c>
      <c r="D934" s="20">
        <v>0.22359999999999999</v>
      </c>
      <c r="E934" s="20">
        <v>0.32740000000000002</v>
      </c>
      <c r="F934" s="20">
        <v>0.4264</v>
      </c>
      <c r="G934" s="20">
        <v>0.52080000000000004</v>
      </c>
      <c r="H934" s="20">
        <v>0.6109</v>
      </c>
      <c r="I934" s="20">
        <v>0.69699999999999995</v>
      </c>
      <c r="J934" s="20">
        <v>0.77939999999999998</v>
      </c>
      <c r="K934" s="20">
        <v>0.85809999999999997</v>
      </c>
      <c r="L934" s="20">
        <v>0.9335</v>
      </c>
      <c r="M934" s="20">
        <v>1.0058</v>
      </c>
      <c r="N934" s="20">
        <v>1.0750999999999999</v>
      </c>
      <c r="O934" s="20">
        <v>1.1415999999999999</v>
      </c>
      <c r="P934" s="20">
        <v>1.2055</v>
      </c>
      <c r="Q934" s="20">
        <v>1.2668999999999999</v>
      </c>
      <c r="R934" s="20">
        <v>1.3260000000000001</v>
      </c>
      <c r="S934" s="20">
        <v>1.3828</v>
      </c>
      <c r="T934" s="20">
        <v>1.4376</v>
      </c>
      <c r="U934" s="20">
        <v>1.4903</v>
      </c>
      <c r="V934" s="20">
        <v>1.5411999999999999</v>
      </c>
      <c r="W934"/>
      <c r="X934"/>
      <c r="Y934"/>
      <c r="Z934"/>
    </row>
    <row r="935" spans="1:26" x14ac:dyDescent="0.2">
      <c r="A935" s="19">
        <v>0.92900000000000005</v>
      </c>
      <c r="B935" s="20">
        <v>0</v>
      </c>
      <c r="C935" s="20">
        <v>0.11459999999999999</v>
      </c>
      <c r="D935" s="20">
        <v>0.22359999999999999</v>
      </c>
      <c r="E935" s="20">
        <v>0.32750000000000001</v>
      </c>
      <c r="F935" s="20">
        <v>0.42649999999999999</v>
      </c>
      <c r="G935" s="20">
        <v>0.52100000000000002</v>
      </c>
      <c r="H935" s="20">
        <v>0.61109999999999998</v>
      </c>
      <c r="I935" s="20">
        <v>0.69720000000000004</v>
      </c>
      <c r="J935" s="20">
        <v>0.77949999999999997</v>
      </c>
      <c r="K935" s="20">
        <v>0.85829999999999995</v>
      </c>
      <c r="L935" s="20">
        <v>0.93369999999999997</v>
      </c>
      <c r="M935" s="20">
        <v>1.006</v>
      </c>
      <c r="N935" s="20">
        <v>1.0752999999999999</v>
      </c>
      <c r="O935" s="20">
        <v>1.1417999999999999</v>
      </c>
      <c r="P935" s="20">
        <v>1.2057</v>
      </c>
      <c r="Q935" s="20">
        <v>1.2672000000000001</v>
      </c>
      <c r="R935" s="20">
        <v>1.3262</v>
      </c>
      <c r="S935" s="20">
        <v>1.3831</v>
      </c>
      <c r="T935" s="20">
        <v>1.4379</v>
      </c>
      <c r="U935" s="20">
        <v>1.4905999999999999</v>
      </c>
      <c r="V935" s="20">
        <v>1.5415000000000001</v>
      </c>
      <c r="W935"/>
      <c r="X935"/>
      <c r="Y935"/>
      <c r="Z935"/>
    </row>
    <row r="936" spans="1:26" x14ac:dyDescent="0.2">
      <c r="A936" s="19">
        <v>0.93</v>
      </c>
      <c r="B936" s="20">
        <v>0</v>
      </c>
      <c r="C936" s="20">
        <v>0.11459999999999999</v>
      </c>
      <c r="D936" s="20">
        <v>0.22370000000000001</v>
      </c>
      <c r="E936" s="20">
        <v>0.3276</v>
      </c>
      <c r="F936" s="20">
        <v>0.42659999999999998</v>
      </c>
      <c r="G936" s="20">
        <v>0.52110000000000001</v>
      </c>
      <c r="H936" s="20">
        <v>0.61119999999999997</v>
      </c>
      <c r="I936" s="20">
        <v>0.69740000000000002</v>
      </c>
      <c r="J936" s="20">
        <v>0.77969999999999995</v>
      </c>
      <c r="K936" s="20">
        <v>0.85850000000000004</v>
      </c>
      <c r="L936" s="20">
        <v>0.93389999999999995</v>
      </c>
      <c r="M936" s="20">
        <v>1.0062</v>
      </c>
      <c r="N936" s="20">
        <v>1.0755999999999999</v>
      </c>
      <c r="O936" s="20">
        <v>1.1420999999999999</v>
      </c>
      <c r="P936" s="20">
        <v>1.206</v>
      </c>
      <c r="Q936" s="20">
        <v>1.2674000000000001</v>
      </c>
      <c r="R936" s="20">
        <v>1.3265</v>
      </c>
      <c r="S936" s="20">
        <v>1.3834</v>
      </c>
      <c r="T936" s="20">
        <v>1.4380999999999999</v>
      </c>
      <c r="U936" s="20">
        <v>1.4908999999999999</v>
      </c>
      <c r="V936" s="20">
        <v>1.5418000000000001</v>
      </c>
      <c r="W936"/>
      <c r="X936"/>
      <c r="Y936"/>
      <c r="Z936"/>
    </row>
    <row r="937" spans="1:26" x14ac:dyDescent="0.2">
      <c r="A937" s="19">
        <v>0.93100000000000005</v>
      </c>
      <c r="B937" s="20">
        <v>0</v>
      </c>
      <c r="C937" s="20">
        <v>0.11459999999999999</v>
      </c>
      <c r="D937" s="20">
        <v>0.22370000000000001</v>
      </c>
      <c r="E937" s="20">
        <v>0.32769999999999999</v>
      </c>
      <c r="F937" s="20">
        <v>0.42670000000000002</v>
      </c>
      <c r="G937" s="20">
        <v>0.5212</v>
      </c>
      <c r="H937" s="20">
        <v>0.61140000000000005</v>
      </c>
      <c r="I937" s="20">
        <v>0.6976</v>
      </c>
      <c r="J937" s="20">
        <v>0.77990000000000004</v>
      </c>
      <c r="K937" s="20">
        <v>0.85870000000000002</v>
      </c>
      <c r="L937" s="20">
        <v>0.93420000000000003</v>
      </c>
      <c r="M937" s="20">
        <v>1.0065</v>
      </c>
      <c r="N937" s="20">
        <v>1.0758000000000001</v>
      </c>
      <c r="O937" s="20">
        <v>1.1423000000000001</v>
      </c>
      <c r="P937" s="20">
        <v>1.2062999999999999</v>
      </c>
      <c r="Q937" s="20">
        <v>1.2677</v>
      </c>
      <c r="R937" s="20">
        <v>1.3268</v>
      </c>
      <c r="S937" s="20">
        <v>1.3835999999999999</v>
      </c>
      <c r="T937" s="20">
        <v>1.4383999999999999</v>
      </c>
      <c r="U937" s="20">
        <v>1.4912000000000001</v>
      </c>
      <c r="V937" s="20">
        <v>1.5421</v>
      </c>
      <c r="W937"/>
      <c r="X937"/>
      <c r="Y937"/>
      <c r="Z937"/>
    </row>
    <row r="938" spans="1:26" x14ac:dyDescent="0.2">
      <c r="A938" s="19">
        <v>0.93200000000000005</v>
      </c>
      <c r="B938" s="20">
        <v>0</v>
      </c>
      <c r="C938" s="20">
        <v>0.1147</v>
      </c>
      <c r="D938" s="20">
        <v>0.2238</v>
      </c>
      <c r="E938" s="20">
        <v>0.32779999999999998</v>
      </c>
      <c r="F938" s="20">
        <v>0.42680000000000001</v>
      </c>
      <c r="G938" s="20">
        <v>0.52129999999999999</v>
      </c>
      <c r="H938" s="20">
        <v>0.61150000000000004</v>
      </c>
      <c r="I938" s="20">
        <v>0.69769999999999999</v>
      </c>
      <c r="J938" s="20">
        <v>0.78010000000000002</v>
      </c>
      <c r="K938" s="20">
        <v>0.8589</v>
      </c>
      <c r="L938" s="20">
        <v>0.93440000000000001</v>
      </c>
      <c r="M938" s="20">
        <v>1.0066999999999999</v>
      </c>
      <c r="N938" s="20">
        <v>1.0760000000000001</v>
      </c>
      <c r="O938" s="20">
        <v>1.1426000000000001</v>
      </c>
      <c r="P938" s="20">
        <v>1.2064999999999999</v>
      </c>
      <c r="Q938" s="20">
        <v>1.268</v>
      </c>
      <c r="R938" s="20">
        <v>1.327</v>
      </c>
      <c r="S938" s="20">
        <v>1.3838999999999999</v>
      </c>
      <c r="T938" s="20">
        <v>1.4387000000000001</v>
      </c>
      <c r="U938" s="20">
        <v>1.4915</v>
      </c>
      <c r="V938" s="20">
        <v>1.5424</v>
      </c>
      <c r="W938"/>
      <c r="X938"/>
      <c r="Y938"/>
      <c r="Z938"/>
    </row>
    <row r="939" spans="1:26" x14ac:dyDescent="0.2">
      <c r="A939" s="19">
        <v>0.93300000000000005</v>
      </c>
      <c r="B939" s="20">
        <v>0</v>
      </c>
      <c r="C939" s="20">
        <v>0.1147</v>
      </c>
      <c r="D939" s="20">
        <v>0.22389999999999999</v>
      </c>
      <c r="E939" s="20">
        <v>0.32779999999999998</v>
      </c>
      <c r="F939" s="20">
        <v>0.4269</v>
      </c>
      <c r="G939" s="20">
        <v>0.52149999999999996</v>
      </c>
      <c r="H939" s="20">
        <v>0.61170000000000002</v>
      </c>
      <c r="I939" s="20">
        <v>0.69789999999999996</v>
      </c>
      <c r="J939" s="20">
        <v>0.78029999999999999</v>
      </c>
      <c r="K939" s="20">
        <v>0.85909999999999997</v>
      </c>
      <c r="L939" s="20">
        <v>0.93459999999999999</v>
      </c>
      <c r="M939" s="20">
        <v>1.0068999999999999</v>
      </c>
      <c r="N939" s="20">
        <v>1.0763</v>
      </c>
      <c r="O939" s="20">
        <v>1.1428</v>
      </c>
      <c r="P939" s="20">
        <v>1.2068000000000001</v>
      </c>
      <c r="Q939" s="20">
        <v>1.2682</v>
      </c>
      <c r="R939" s="20">
        <v>1.3272999999999999</v>
      </c>
      <c r="S939" s="20">
        <v>1.3842000000000001</v>
      </c>
      <c r="T939" s="20">
        <v>1.4390000000000001</v>
      </c>
      <c r="U939" s="20">
        <v>1.4918</v>
      </c>
      <c r="V939" s="20">
        <v>1.5427</v>
      </c>
      <c r="W939"/>
      <c r="X939"/>
      <c r="Y939"/>
      <c r="Z939"/>
    </row>
    <row r="940" spans="1:26" x14ac:dyDescent="0.2">
      <c r="A940" s="19">
        <v>0.93400000000000005</v>
      </c>
      <c r="B940" s="20">
        <v>0</v>
      </c>
      <c r="C940" s="20">
        <v>0.1147</v>
      </c>
      <c r="D940" s="20">
        <v>0.22389999999999999</v>
      </c>
      <c r="E940" s="20">
        <v>0.32790000000000002</v>
      </c>
      <c r="F940" s="20">
        <v>0.42699999999999999</v>
      </c>
      <c r="G940" s="20">
        <v>0.52159999999999995</v>
      </c>
      <c r="H940" s="20">
        <v>0.61180000000000001</v>
      </c>
      <c r="I940" s="20">
        <v>0.69810000000000005</v>
      </c>
      <c r="J940" s="20">
        <v>0.78049999999999997</v>
      </c>
      <c r="K940" s="20">
        <v>0.85929999999999995</v>
      </c>
      <c r="L940" s="20">
        <v>0.93479999999999996</v>
      </c>
      <c r="M940" s="20">
        <v>1.0072000000000001</v>
      </c>
      <c r="N940" s="20">
        <v>1.0765</v>
      </c>
      <c r="O940" s="20">
        <v>1.1431</v>
      </c>
      <c r="P940" s="20">
        <v>1.2070000000000001</v>
      </c>
      <c r="Q940" s="20">
        <v>1.2685</v>
      </c>
      <c r="R940" s="20">
        <v>1.3275999999999999</v>
      </c>
      <c r="S940" s="20">
        <v>1.3845000000000001</v>
      </c>
      <c r="T940" s="20">
        <v>1.4393</v>
      </c>
      <c r="U940" s="20">
        <v>1.492</v>
      </c>
      <c r="V940" s="20">
        <v>1.5428999999999999</v>
      </c>
      <c r="W940"/>
      <c r="X940"/>
      <c r="Y940"/>
      <c r="Z940"/>
    </row>
    <row r="941" spans="1:26" x14ac:dyDescent="0.2">
      <c r="A941" s="19">
        <v>0.93500000000000005</v>
      </c>
      <c r="B941" s="20">
        <v>0</v>
      </c>
      <c r="C941" s="20">
        <v>0.1147</v>
      </c>
      <c r="D941" s="20">
        <v>0.224</v>
      </c>
      <c r="E941" s="20">
        <v>0.32800000000000001</v>
      </c>
      <c r="F941" s="20">
        <v>0.42709999999999998</v>
      </c>
      <c r="G941" s="20">
        <v>0.52170000000000005</v>
      </c>
      <c r="H941" s="20">
        <v>0.61199999999999999</v>
      </c>
      <c r="I941" s="20">
        <v>0.69820000000000004</v>
      </c>
      <c r="J941" s="20">
        <v>0.78069999999999995</v>
      </c>
      <c r="K941" s="20">
        <v>0.85950000000000004</v>
      </c>
      <c r="L941" s="20">
        <v>0.93500000000000005</v>
      </c>
      <c r="M941" s="20">
        <v>1.0074000000000001</v>
      </c>
      <c r="N941" s="20">
        <v>1.0768</v>
      </c>
      <c r="O941" s="20">
        <v>1.1433</v>
      </c>
      <c r="P941" s="20">
        <v>1.2073</v>
      </c>
      <c r="Q941" s="20">
        <v>1.2687999999999999</v>
      </c>
      <c r="R941" s="20">
        <v>1.3279000000000001</v>
      </c>
      <c r="S941" s="20">
        <v>1.3847</v>
      </c>
      <c r="T941" s="20">
        <v>1.4395</v>
      </c>
      <c r="U941" s="20">
        <v>1.4923</v>
      </c>
      <c r="V941" s="20">
        <v>1.5431999999999999</v>
      </c>
      <c r="W941"/>
      <c r="X941"/>
      <c r="Y941"/>
      <c r="Z941"/>
    </row>
    <row r="942" spans="1:26" x14ac:dyDescent="0.2">
      <c r="A942" s="19">
        <v>0.93600000000000005</v>
      </c>
      <c r="B942" s="20">
        <v>0</v>
      </c>
      <c r="C942" s="20">
        <v>0.1148</v>
      </c>
      <c r="D942" s="20">
        <v>0.224</v>
      </c>
      <c r="E942" s="20">
        <v>0.3281</v>
      </c>
      <c r="F942" s="20">
        <v>0.42730000000000001</v>
      </c>
      <c r="G942" s="20">
        <v>0.52190000000000003</v>
      </c>
      <c r="H942" s="20">
        <v>0.61209999999999998</v>
      </c>
      <c r="I942" s="20">
        <v>0.69840000000000002</v>
      </c>
      <c r="J942" s="20">
        <v>0.78080000000000005</v>
      </c>
      <c r="K942" s="20">
        <v>0.85970000000000002</v>
      </c>
      <c r="L942" s="20">
        <v>0.93520000000000003</v>
      </c>
      <c r="M942" s="20">
        <v>1.0076000000000001</v>
      </c>
      <c r="N942" s="20">
        <v>1.077</v>
      </c>
      <c r="O942" s="20">
        <v>1.1435999999999999</v>
      </c>
      <c r="P942" s="20">
        <v>1.2076</v>
      </c>
      <c r="Q942" s="20">
        <v>1.2689999999999999</v>
      </c>
      <c r="R942" s="20">
        <v>1.3281000000000001</v>
      </c>
      <c r="S942" s="20">
        <v>1.385</v>
      </c>
      <c r="T942" s="20">
        <v>1.4398</v>
      </c>
      <c r="U942" s="20">
        <v>1.4925999999999999</v>
      </c>
      <c r="V942" s="20">
        <v>1.5435000000000001</v>
      </c>
      <c r="W942"/>
      <c r="X942"/>
      <c r="Y942"/>
      <c r="Z942"/>
    </row>
    <row r="943" spans="1:26" x14ac:dyDescent="0.2">
      <c r="A943" s="19">
        <v>0.93700000000000006</v>
      </c>
      <c r="B943" s="20">
        <v>0</v>
      </c>
      <c r="C943" s="20">
        <v>0.1148</v>
      </c>
      <c r="D943" s="20">
        <v>0.22409999999999999</v>
      </c>
      <c r="E943" s="20">
        <v>0.32819999999999999</v>
      </c>
      <c r="F943" s="20">
        <v>0.4274</v>
      </c>
      <c r="G943" s="20">
        <v>0.52200000000000002</v>
      </c>
      <c r="H943" s="20">
        <v>0.61229999999999996</v>
      </c>
      <c r="I943" s="20">
        <v>0.6986</v>
      </c>
      <c r="J943" s="20">
        <v>0.78100000000000003</v>
      </c>
      <c r="K943" s="20">
        <v>0.8599</v>
      </c>
      <c r="L943" s="20">
        <v>0.9355</v>
      </c>
      <c r="M943" s="20">
        <v>1.0078</v>
      </c>
      <c r="N943" s="20">
        <v>1.0771999999999999</v>
      </c>
      <c r="O943" s="20">
        <v>1.1437999999999999</v>
      </c>
      <c r="P943" s="20">
        <v>1.2078</v>
      </c>
      <c r="Q943" s="20">
        <v>1.2693000000000001</v>
      </c>
      <c r="R943" s="20">
        <v>1.3284</v>
      </c>
      <c r="S943" s="20">
        <v>1.3853</v>
      </c>
      <c r="T943" s="20">
        <v>1.4400999999999999</v>
      </c>
      <c r="U943" s="20">
        <v>1.4928999999999999</v>
      </c>
      <c r="V943" s="20">
        <v>1.5438000000000001</v>
      </c>
      <c r="W943"/>
      <c r="X943"/>
      <c r="Y943"/>
      <c r="Z943"/>
    </row>
    <row r="944" spans="1:26" x14ac:dyDescent="0.2">
      <c r="A944" s="19">
        <v>0.93799999999999994</v>
      </c>
      <c r="B944" s="20">
        <v>0</v>
      </c>
      <c r="C944" s="20">
        <v>0.1148</v>
      </c>
      <c r="D944" s="20">
        <v>0.22409999999999999</v>
      </c>
      <c r="E944" s="20">
        <v>0.32819999999999999</v>
      </c>
      <c r="F944" s="20">
        <v>0.42749999999999999</v>
      </c>
      <c r="G944" s="20">
        <v>0.52210000000000001</v>
      </c>
      <c r="H944" s="20">
        <v>0.61240000000000006</v>
      </c>
      <c r="I944" s="20">
        <v>0.69869999999999999</v>
      </c>
      <c r="J944" s="20">
        <v>0.78120000000000001</v>
      </c>
      <c r="K944" s="20">
        <v>0.86009999999999998</v>
      </c>
      <c r="L944" s="20">
        <v>0.93569999999999998</v>
      </c>
      <c r="M944" s="20">
        <v>1.0081</v>
      </c>
      <c r="N944" s="20">
        <v>1.0774999999999999</v>
      </c>
      <c r="O944" s="20">
        <v>1.1440999999999999</v>
      </c>
      <c r="P944" s="20">
        <v>1.2081</v>
      </c>
      <c r="Q944" s="20">
        <v>1.2695000000000001</v>
      </c>
      <c r="R944" s="20">
        <v>1.3287</v>
      </c>
      <c r="S944" s="20">
        <v>1.3855999999999999</v>
      </c>
      <c r="T944" s="20">
        <v>1.4403999999999999</v>
      </c>
      <c r="U944" s="20">
        <v>1.4932000000000001</v>
      </c>
      <c r="V944" s="20">
        <v>1.5441</v>
      </c>
      <c r="W944"/>
      <c r="X944"/>
      <c r="Y944"/>
      <c r="Z944"/>
    </row>
    <row r="945" spans="1:26" x14ac:dyDescent="0.2">
      <c r="A945" s="19">
        <v>0.93899999999999995</v>
      </c>
      <c r="B945" s="20">
        <v>0</v>
      </c>
      <c r="C945" s="20">
        <v>0.1149</v>
      </c>
      <c r="D945" s="20">
        <v>0.22420000000000001</v>
      </c>
      <c r="E945" s="20">
        <v>0.32829999999999998</v>
      </c>
      <c r="F945" s="20">
        <v>0.42759999999999998</v>
      </c>
      <c r="G945" s="20">
        <v>0.5222</v>
      </c>
      <c r="H945" s="20">
        <v>0.61260000000000003</v>
      </c>
      <c r="I945" s="20">
        <v>0.69889999999999997</v>
      </c>
      <c r="J945" s="20">
        <v>0.78139999999999998</v>
      </c>
      <c r="K945" s="20">
        <v>0.86029999999999995</v>
      </c>
      <c r="L945" s="20">
        <v>0.93589999999999995</v>
      </c>
      <c r="M945" s="20">
        <v>1.0083</v>
      </c>
      <c r="N945" s="20">
        <v>1.0777000000000001</v>
      </c>
      <c r="O945" s="20">
        <v>1.1443000000000001</v>
      </c>
      <c r="P945" s="20">
        <v>1.2082999999999999</v>
      </c>
      <c r="Q945" s="20">
        <v>1.2698</v>
      </c>
      <c r="R945" s="20">
        <v>1.3289</v>
      </c>
      <c r="S945" s="20">
        <v>1.3857999999999999</v>
      </c>
      <c r="T945" s="20">
        <v>1.4406000000000001</v>
      </c>
      <c r="U945" s="20">
        <v>1.4934000000000001</v>
      </c>
      <c r="V945" s="20">
        <v>1.5443</v>
      </c>
      <c r="W945"/>
      <c r="X945"/>
      <c r="Y945"/>
      <c r="Z945"/>
    </row>
    <row r="946" spans="1:26" x14ac:dyDescent="0.2">
      <c r="A946" s="19">
        <v>0.94</v>
      </c>
      <c r="B946" s="20">
        <v>0</v>
      </c>
      <c r="C946" s="20">
        <v>0.1149</v>
      </c>
      <c r="D946" s="20">
        <v>0.22420000000000001</v>
      </c>
      <c r="E946" s="20">
        <v>0.32840000000000003</v>
      </c>
      <c r="F946" s="20">
        <v>0.42770000000000002</v>
      </c>
      <c r="G946" s="20">
        <v>0.52239999999999998</v>
      </c>
      <c r="H946" s="20">
        <v>0.61270000000000002</v>
      </c>
      <c r="I946" s="20">
        <v>0.69910000000000005</v>
      </c>
      <c r="J946" s="20">
        <v>0.78159999999999996</v>
      </c>
      <c r="K946" s="20">
        <v>0.86050000000000004</v>
      </c>
      <c r="L946" s="20">
        <v>0.93610000000000004</v>
      </c>
      <c r="M946" s="20">
        <v>1.0085</v>
      </c>
      <c r="N946" s="20">
        <v>1.0780000000000001</v>
      </c>
      <c r="O946" s="20">
        <v>1.1446000000000001</v>
      </c>
      <c r="P946" s="20">
        <v>1.2085999999999999</v>
      </c>
      <c r="Q946" s="20">
        <v>1.2701</v>
      </c>
      <c r="R946" s="20">
        <v>1.3291999999999999</v>
      </c>
      <c r="S946" s="20">
        <v>1.3861000000000001</v>
      </c>
      <c r="T946" s="20">
        <v>1.4409000000000001</v>
      </c>
      <c r="U946" s="20">
        <v>1.4937</v>
      </c>
      <c r="V946" s="20">
        <v>1.5446</v>
      </c>
      <c r="W946"/>
      <c r="X946"/>
      <c r="Y946"/>
      <c r="Z946"/>
    </row>
    <row r="947" spans="1:26" x14ac:dyDescent="0.2">
      <c r="A947" s="19">
        <v>0.94099999999999995</v>
      </c>
      <c r="B947" s="20">
        <v>0</v>
      </c>
      <c r="C947" s="20">
        <v>0.1149</v>
      </c>
      <c r="D947" s="20">
        <v>0.2243</v>
      </c>
      <c r="E947" s="20">
        <v>0.32850000000000001</v>
      </c>
      <c r="F947" s="20">
        <v>0.42780000000000001</v>
      </c>
      <c r="G947" s="20">
        <v>0.52249999999999996</v>
      </c>
      <c r="H947" s="20">
        <v>0.6129</v>
      </c>
      <c r="I947" s="20">
        <v>0.69920000000000004</v>
      </c>
      <c r="J947" s="20">
        <v>0.78180000000000005</v>
      </c>
      <c r="K947" s="20">
        <v>0.86070000000000002</v>
      </c>
      <c r="L947" s="20">
        <v>0.93630000000000002</v>
      </c>
      <c r="M947" s="20">
        <v>1.0087999999999999</v>
      </c>
      <c r="N947" s="20">
        <v>1.0782</v>
      </c>
      <c r="O947" s="20">
        <v>1.1448</v>
      </c>
      <c r="P947" s="20">
        <v>1.2088000000000001</v>
      </c>
      <c r="Q947" s="20">
        <v>1.2703</v>
      </c>
      <c r="R947" s="20">
        <v>1.3294999999999999</v>
      </c>
      <c r="S947" s="20">
        <v>1.3864000000000001</v>
      </c>
      <c r="T947" s="20">
        <v>1.4412</v>
      </c>
      <c r="U947" s="20">
        <v>1.494</v>
      </c>
      <c r="V947" s="20">
        <v>1.5448999999999999</v>
      </c>
      <c r="W947"/>
      <c r="X947"/>
      <c r="Y947"/>
      <c r="Z947"/>
    </row>
    <row r="948" spans="1:26" x14ac:dyDescent="0.2">
      <c r="A948" s="19">
        <v>0.94199999999999995</v>
      </c>
      <c r="B948" s="20">
        <v>0</v>
      </c>
      <c r="C948" s="20">
        <v>0.1149</v>
      </c>
      <c r="D948" s="20">
        <v>0.22439999999999999</v>
      </c>
      <c r="E948" s="20">
        <v>0.3286</v>
      </c>
      <c r="F948" s="20">
        <v>0.4279</v>
      </c>
      <c r="G948" s="20">
        <v>0.52259999999999995</v>
      </c>
      <c r="H948" s="20">
        <v>0.61299999999999999</v>
      </c>
      <c r="I948" s="20">
        <v>0.69940000000000002</v>
      </c>
      <c r="J948" s="20">
        <v>0.78190000000000004</v>
      </c>
      <c r="K948" s="20">
        <v>0.8609</v>
      </c>
      <c r="L948" s="20">
        <v>0.9365</v>
      </c>
      <c r="M948" s="20">
        <v>1.0089999999999999</v>
      </c>
      <c r="N948" s="20">
        <v>1.0784</v>
      </c>
      <c r="O948" s="20">
        <v>1.1451</v>
      </c>
      <c r="P948" s="20">
        <v>1.2091000000000001</v>
      </c>
      <c r="Q948" s="20">
        <v>1.2706</v>
      </c>
      <c r="R948" s="20">
        <v>1.3297000000000001</v>
      </c>
      <c r="S948" s="20">
        <v>1.3867</v>
      </c>
      <c r="T948" s="20">
        <v>1.4415</v>
      </c>
      <c r="U948" s="20">
        <v>1.4943</v>
      </c>
      <c r="V948" s="20">
        <v>1.5451999999999999</v>
      </c>
      <c r="W948"/>
      <c r="X948"/>
      <c r="Y948"/>
      <c r="Z948"/>
    </row>
    <row r="949" spans="1:26" x14ac:dyDescent="0.2">
      <c r="A949" s="19">
        <v>0.94299999999999995</v>
      </c>
      <c r="B949" s="20">
        <v>0</v>
      </c>
      <c r="C949" s="20">
        <v>0.115</v>
      </c>
      <c r="D949" s="20">
        <v>0.22439999999999999</v>
      </c>
      <c r="E949" s="20">
        <v>0.3286</v>
      </c>
      <c r="F949" s="20">
        <v>0.42799999999999999</v>
      </c>
      <c r="G949" s="20">
        <v>0.52270000000000005</v>
      </c>
      <c r="H949" s="20">
        <v>0.61319999999999997</v>
      </c>
      <c r="I949" s="20">
        <v>0.6996</v>
      </c>
      <c r="J949" s="20">
        <v>0.78210000000000002</v>
      </c>
      <c r="K949" s="20">
        <v>0.86109999999999998</v>
      </c>
      <c r="L949" s="20">
        <v>0.93669999999999998</v>
      </c>
      <c r="M949" s="20">
        <v>1.0092000000000001</v>
      </c>
      <c r="N949" s="20">
        <v>1.0787</v>
      </c>
      <c r="O949" s="20">
        <v>1.1453</v>
      </c>
      <c r="P949" s="20">
        <v>1.2094</v>
      </c>
      <c r="Q949" s="20">
        <v>1.2708999999999999</v>
      </c>
      <c r="R949" s="20">
        <v>1.33</v>
      </c>
      <c r="S949" s="20">
        <v>1.3869</v>
      </c>
      <c r="T949" s="20">
        <v>1.4417</v>
      </c>
      <c r="U949" s="20">
        <v>1.4944999999999999</v>
      </c>
      <c r="V949" s="20">
        <v>1.5455000000000001</v>
      </c>
      <c r="W949"/>
      <c r="X949"/>
      <c r="Y949"/>
      <c r="Z949"/>
    </row>
    <row r="950" spans="1:26" x14ac:dyDescent="0.2">
      <c r="A950" s="19">
        <v>0.94399999999999995</v>
      </c>
      <c r="B950" s="20">
        <v>0</v>
      </c>
      <c r="C950" s="20">
        <v>0.115</v>
      </c>
      <c r="D950" s="20">
        <v>0.22450000000000001</v>
      </c>
      <c r="E950" s="20">
        <v>0.32869999999999999</v>
      </c>
      <c r="F950" s="20">
        <v>0.42809999999999998</v>
      </c>
      <c r="G950" s="20">
        <v>0.52290000000000003</v>
      </c>
      <c r="H950" s="20">
        <v>0.61329999999999996</v>
      </c>
      <c r="I950" s="20">
        <v>0.69969999999999999</v>
      </c>
      <c r="J950" s="20">
        <v>0.7823</v>
      </c>
      <c r="K950" s="20">
        <v>0.86129999999999995</v>
      </c>
      <c r="L950" s="20">
        <v>0.93700000000000006</v>
      </c>
      <c r="M950" s="20">
        <v>1.0094000000000001</v>
      </c>
      <c r="N950" s="20">
        <v>1.0789</v>
      </c>
      <c r="O950" s="20">
        <v>1.1456</v>
      </c>
      <c r="P950" s="20">
        <v>1.2096</v>
      </c>
      <c r="Q950" s="20">
        <v>1.2710999999999999</v>
      </c>
      <c r="R950" s="20">
        <v>1.3303</v>
      </c>
      <c r="S950" s="20">
        <v>1.3872</v>
      </c>
      <c r="T950" s="20">
        <v>1.4419999999999999</v>
      </c>
      <c r="U950" s="20">
        <v>1.4947999999999999</v>
      </c>
      <c r="V950" s="20">
        <v>1.5457000000000001</v>
      </c>
      <c r="W950"/>
      <c r="X950"/>
      <c r="Y950"/>
      <c r="Z950"/>
    </row>
    <row r="951" spans="1:26" x14ac:dyDescent="0.2">
      <c r="A951" s="19">
        <v>0.94499999999999995</v>
      </c>
      <c r="B951" s="20">
        <v>0</v>
      </c>
      <c r="C951" s="20">
        <v>0.115</v>
      </c>
      <c r="D951" s="20">
        <v>0.22450000000000001</v>
      </c>
      <c r="E951" s="20">
        <v>0.32879999999999998</v>
      </c>
      <c r="F951" s="20">
        <v>0.42820000000000003</v>
      </c>
      <c r="G951" s="20">
        <v>0.52300000000000002</v>
      </c>
      <c r="H951" s="20">
        <v>0.61350000000000005</v>
      </c>
      <c r="I951" s="20">
        <v>0.69989999999999997</v>
      </c>
      <c r="J951" s="20">
        <v>0.78249999999999997</v>
      </c>
      <c r="K951" s="20">
        <v>0.86150000000000004</v>
      </c>
      <c r="L951" s="20">
        <v>0.93720000000000003</v>
      </c>
      <c r="M951" s="20">
        <v>1.0097</v>
      </c>
      <c r="N951" s="20">
        <v>1.0791999999999999</v>
      </c>
      <c r="O951" s="20">
        <v>1.1457999999999999</v>
      </c>
      <c r="P951" s="20">
        <v>1.2099</v>
      </c>
      <c r="Q951" s="20">
        <v>1.2714000000000001</v>
      </c>
      <c r="R951" s="20">
        <v>1.3306</v>
      </c>
      <c r="S951" s="20">
        <v>1.3875</v>
      </c>
      <c r="T951" s="20">
        <v>1.4422999999999999</v>
      </c>
      <c r="U951" s="20">
        <v>1.4951000000000001</v>
      </c>
      <c r="V951" s="20">
        <v>1.546</v>
      </c>
      <c r="W951"/>
      <c r="X951"/>
      <c r="Y951"/>
      <c r="Z951"/>
    </row>
    <row r="952" spans="1:26" x14ac:dyDescent="0.2">
      <c r="A952" s="19">
        <v>0.94599999999999995</v>
      </c>
      <c r="B952" s="20">
        <v>0</v>
      </c>
      <c r="C952" s="20">
        <v>0.11509999999999999</v>
      </c>
      <c r="D952" s="20">
        <v>0.22459999999999999</v>
      </c>
      <c r="E952" s="20">
        <v>0.32890000000000003</v>
      </c>
      <c r="F952" s="20">
        <v>0.42830000000000001</v>
      </c>
      <c r="G952" s="20">
        <v>0.52310000000000001</v>
      </c>
      <c r="H952" s="20">
        <v>0.61360000000000003</v>
      </c>
      <c r="I952" s="20">
        <v>0.70009999999999994</v>
      </c>
      <c r="J952" s="20">
        <v>0.78269999999999995</v>
      </c>
      <c r="K952" s="20">
        <v>0.86170000000000002</v>
      </c>
      <c r="L952" s="20">
        <v>0.93740000000000001</v>
      </c>
      <c r="M952" s="20">
        <v>1.0099</v>
      </c>
      <c r="N952" s="20">
        <v>1.0793999999999999</v>
      </c>
      <c r="O952" s="20">
        <v>1.1460999999999999</v>
      </c>
      <c r="P952" s="20">
        <v>1.2101</v>
      </c>
      <c r="Q952" s="20">
        <v>1.2716000000000001</v>
      </c>
      <c r="R952" s="20">
        <v>1.3308</v>
      </c>
      <c r="S952" s="20">
        <v>1.3877999999999999</v>
      </c>
      <c r="T952" s="20">
        <v>1.4426000000000001</v>
      </c>
      <c r="U952" s="20">
        <v>1.4954000000000001</v>
      </c>
      <c r="V952" s="20">
        <v>1.5463</v>
      </c>
      <c r="W952"/>
      <c r="X952"/>
      <c r="Y952"/>
      <c r="Z952"/>
    </row>
    <row r="953" spans="1:26" x14ac:dyDescent="0.2">
      <c r="A953" s="19">
        <v>0.94699999999999995</v>
      </c>
      <c r="B953" s="20">
        <v>0</v>
      </c>
      <c r="C953" s="20">
        <v>0.11509999999999999</v>
      </c>
      <c r="D953" s="20">
        <v>0.22459999999999999</v>
      </c>
      <c r="E953" s="20">
        <v>0.32900000000000001</v>
      </c>
      <c r="F953" s="20">
        <v>0.4284</v>
      </c>
      <c r="G953" s="20">
        <v>0.5232</v>
      </c>
      <c r="H953" s="20">
        <v>0.61380000000000001</v>
      </c>
      <c r="I953" s="20">
        <v>0.70020000000000004</v>
      </c>
      <c r="J953" s="20">
        <v>0.78290000000000004</v>
      </c>
      <c r="K953" s="20">
        <v>0.8619</v>
      </c>
      <c r="L953" s="20">
        <v>0.93759999999999999</v>
      </c>
      <c r="M953" s="20">
        <v>1.0101</v>
      </c>
      <c r="N953" s="20">
        <v>1.0795999999999999</v>
      </c>
      <c r="O953" s="20">
        <v>1.1463000000000001</v>
      </c>
      <c r="P953" s="20">
        <v>1.2103999999999999</v>
      </c>
      <c r="Q953" s="20">
        <v>1.2719</v>
      </c>
      <c r="R953" s="20">
        <v>1.3310999999999999</v>
      </c>
      <c r="S953" s="20">
        <v>1.3879999999999999</v>
      </c>
      <c r="T953" s="20">
        <v>1.4428000000000001</v>
      </c>
      <c r="U953" s="20">
        <v>1.4957</v>
      </c>
      <c r="V953" s="20">
        <v>1.5466</v>
      </c>
      <c r="W953"/>
      <c r="X953"/>
      <c r="Y953"/>
      <c r="Z953"/>
    </row>
    <row r="954" spans="1:26" x14ac:dyDescent="0.2">
      <c r="A954" s="19">
        <v>0.94799999999999995</v>
      </c>
      <c r="B954" s="20">
        <v>0</v>
      </c>
      <c r="C954" s="20">
        <v>0.11509999999999999</v>
      </c>
      <c r="D954" s="20">
        <v>0.22470000000000001</v>
      </c>
      <c r="E954" s="20">
        <v>0.32900000000000001</v>
      </c>
      <c r="F954" s="20">
        <v>0.42849999999999999</v>
      </c>
      <c r="G954" s="20">
        <v>0.52339999999999998</v>
      </c>
      <c r="H954" s="20">
        <v>0.6139</v>
      </c>
      <c r="I954" s="20">
        <v>0.70040000000000002</v>
      </c>
      <c r="J954" s="20">
        <v>0.78300000000000003</v>
      </c>
      <c r="K954" s="20">
        <v>0.86209999999999998</v>
      </c>
      <c r="L954" s="20">
        <v>0.93779999999999997</v>
      </c>
      <c r="M954" s="20">
        <v>1.0103</v>
      </c>
      <c r="N954" s="20">
        <v>1.0799000000000001</v>
      </c>
      <c r="O954" s="20">
        <v>1.1466000000000001</v>
      </c>
      <c r="P954" s="20">
        <v>1.2105999999999999</v>
      </c>
      <c r="Q954" s="20">
        <v>1.2722</v>
      </c>
      <c r="R954" s="20">
        <v>1.3313999999999999</v>
      </c>
      <c r="S954" s="20">
        <v>1.3883000000000001</v>
      </c>
      <c r="T954" s="20">
        <v>1.4431</v>
      </c>
      <c r="U954" s="20">
        <v>1.4959</v>
      </c>
      <c r="V954" s="20">
        <v>1.5468</v>
      </c>
      <c r="W954"/>
      <c r="X954"/>
      <c r="Y954"/>
      <c r="Z954"/>
    </row>
    <row r="955" spans="1:26" x14ac:dyDescent="0.2">
      <c r="A955" s="19">
        <v>0.94899999999999995</v>
      </c>
      <c r="B955" s="20">
        <v>0</v>
      </c>
      <c r="C955" s="20">
        <v>0.11509999999999999</v>
      </c>
      <c r="D955" s="20">
        <v>0.22470000000000001</v>
      </c>
      <c r="E955" s="20">
        <v>0.3291</v>
      </c>
      <c r="F955" s="20">
        <v>0.42859999999999998</v>
      </c>
      <c r="G955" s="20">
        <v>0.52349999999999997</v>
      </c>
      <c r="H955" s="20">
        <v>0.61409999999999998</v>
      </c>
      <c r="I955" s="20">
        <v>0.70050000000000001</v>
      </c>
      <c r="J955" s="20">
        <v>0.78320000000000001</v>
      </c>
      <c r="K955" s="20">
        <v>0.86229999999999996</v>
      </c>
      <c r="L955" s="20">
        <v>0.93799999999999994</v>
      </c>
      <c r="M955" s="20">
        <v>1.0105999999999999</v>
      </c>
      <c r="N955" s="20">
        <v>1.0801000000000001</v>
      </c>
      <c r="O955" s="20">
        <v>1.1468</v>
      </c>
      <c r="P955" s="20">
        <v>1.2109000000000001</v>
      </c>
      <c r="Q955" s="20">
        <v>1.2724</v>
      </c>
      <c r="R955" s="20">
        <v>1.3315999999999999</v>
      </c>
      <c r="S955" s="20">
        <v>1.3886000000000001</v>
      </c>
      <c r="T955" s="20">
        <v>1.4434</v>
      </c>
      <c r="U955" s="20">
        <v>1.4962</v>
      </c>
      <c r="V955" s="20">
        <v>1.5470999999999999</v>
      </c>
      <c r="W955"/>
      <c r="X955"/>
      <c r="Y955"/>
      <c r="Z955"/>
    </row>
    <row r="956" spans="1:26" x14ac:dyDescent="0.2">
      <c r="A956" s="19">
        <v>0.95</v>
      </c>
      <c r="B956" s="20">
        <v>0</v>
      </c>
      <c r="C956" s="20">
        <v>0.1152</v>
      </c>
      <c r="D956" s="20">
        <v>0.2248</v>
      </c>
      <c r="E956" s="20">
        <v>0.32919999999999999</v>
      </c>
      <c r="F956" s="20">
        <v>0.42870000000000003</v>
      </c>
      <c r="G956" s="20">
        <v>0.52359999999999995</v>
      </c>
      <c r="H956" s="20">
        <v>0.61419999999999997</v>
      </c>
      <c r="I956" s="20">
        <v>0.70069999999999999</v>
      </c>
      <c r="J956" s="20">
        <v>0.78339999999999999</v>
      </c>
      <c r="K956" s="20">
        <v>0.86250000000000004</v>
      </c>
      <c r="L956" s="20">
        <v>0.93820000000000003</v>
      </c>
      <c r="M956" s="20">
        <v>1.0107999999999999</v>
      </c>
      <c r="N956" s="20">
        <v>1.0803</v>
      </c>
      <c r="O956" s="20">
        <v>1.1471</v>
      </c>
      <c r="P956" s="20">
        <v>1.2111000000000001</v>
      </c>
      <c r="Q956" s="20">
        <v>1.2726999999999999</v>
      </c>
      <c r="R956" s="20">
        <v>1.3319000000000001</v>
      </c>
      <c r="S956" s="20">
        <v>1.3888</v>
      </c>
      <c r="T956" s="20">
        <v>1.4437</v>
      </c>
      <c r="U956" s="20">
        <v>1.4964999999999999</v>
      </c>
      <c r="V956" s="20">
        <v>1.5474000000000001</v>
      </c>
      <c r="W956"/>
      <c r="X956"/>
      <c r="Y956"/>
      <c r="Z956"/>
    </row>
    <row r="957" spans="1:26" x14ac:dyDescent="0.2">
      <c r="A957" s="19">
        <v>0.95099999999999996</v>
      </c>
      <c r="B957" s="20">
        <v>0</v>
      </c>
      <c r="C957" s="20">
        <v>0.1152</v>
      </c>
      <c r="D957" s="20">
        <v>0.2248</v>
      </c>
      <c r="E957" s="20">
        <v>0.32929999999999998</v>
      </c>
      <c r="F957" s="20">
        <v>0.42880000000000001</v>
      </c>
      <c r="G957" s="20">
        <v>0.52370000000000005</v>
      </c>
      <c r="H957" s="20">
        <v>0.61429999999999996</v>
      </c>
      <c r="I957" s="20">
        <v>0.70089999999999997</v>
      </c>
      <c r="J957" s="20">
        <v>0.78359999999999996</v>
      </c>
      <c r="K957" s="20">
        <v>0.86270000000000002</v>
      </c>
      <c r="L957" s="20">
        <v>0.93840000000000001</v>
      </c>
      <c r="M957" s="20">
        <v>1.0109999999999999</v>
      </c>
      <c r="N957" s="20">
        <v>1.0806</v>
      </c>
      <c r="O957" s="20">
        <v>1.1473</v>
      </c>
      <c r="P957" s="20">
        <v>1.2114</v>
      </c>
      <c r="Q957" s="20">
        <v>1.2728999999999999</v>
      </c>
      <c r="R957" s="20">
        <v>1.3321000000000001</v>
      </c>
      <c r="S957" s="20">
        <v>1.3891</v>
      </c>
      <c r="T957" s="20">
        <v>1.4439</v>
      </c>
      <c r="U957" s="20">
        <v>1.4966999999999999</v>
      </c>
      <c r="V957" s="20">
        <v>1.5477000000000001</v>
      </c>
      <c r="W957"/>
      <c r="X957"/>
      <c r="Y957"/>
      <c r="Z957"/>
    </row>
    <row r="958" spans="1:26" x14ac:dyDescent="0.2">
      <c r="A958" s="19">
        <v>0.95199999999999996</v>
      </c>
      <c r="B958" s="20">
        <v>0</v>
      </c>
      <c r="C958" s="20">
        <v>0.1152</v>
      </c>
      <c r="D958" s="20">
        <v>0.22489999999999999</v>
      </c>
      <c r="E958" s="20">
        <v>0.32940000000000003</v>
      </c>
      <c r="F958" s="20">
        <v>0.4289</v>
      </c>
      <c r="G958" s="20">
        <v>0.52390000000000003</v>
      </c>
      <c r="H958" s="20">
        <v>0.61450000000000005</v>
      </c>
      <c r="I958" s="20">
        <v>0.70099999999999996</v>
      </c>
      <c r="J958" s="20">
        <v>0.78380000000000005</v>
      </c>
      <c r="K958" s="20">
        <v>0.8629</v>
      </c>
      <c r="L958" s="20">
        <v>0.93869999999999998</v>
      </c>
      <c r="M958" s="20">
        <v>1.0112000000000001</v>
      </c>
      <c r="N958" s="20">
        <v>1.0808</v>
      </c>
      <c r="O958" s="20">
        <v>1.1475</v>
      </c>
      <c r="P958" s="20">
        <v>1.2116</v>
      </c>
      <c r="Q958" s="20">
        <v>1.2732000000000001</v>
      </c>
      <c r="R958" s="20">
        <v>1.3324</v>
      </c>
      <c r="S958" s="20">
        <v>1.3894</v>
      </c>
      <c r="T958" s="20">
        <v>1.4441999999999999</v>
      </c>
      <c r="U958" s="20">
        <v>1.4970000000000001</v>
      </c>
      <c r="V958" s="20">
        <v>1.5479000000000001</v>
      </c>
      <c r="W958"/>
      <c r="X958"/>
      <c r="Y958"/>
      <c r="Z958"/>
    </row>
    <row r="959" spans="1:26" x14ac:dyDescent="0.2">
      <c r="A959" s="19">
        <v>0.95299999999999996</v>
      </c>
      <c r="B959" s="20">
        <v>0</v>
      </c>
      <c r="C959" s="20">
        <v>0.1153</v>
      </c>
      <c r="D959" s="20">
        <v>0.22500000000000001</v>
      </c>
      <c r="E959" s="20">
        <v>0.32940000000000003</v>
      </c>
      <c r="F959" s="20">
        <v>0.42899999999999999</v>
      </c>
      <c r="G959" s="20">
        <v>0.52400000000000002</v>
      </c>
      <c r="H959" s="20">
        <v>0.61460000000000004</v>
      </c>
      <c r="I959" s="20">
        <v>0.70120000000000005</v>
      </c>
      <c r="J959" s="20">
        <v>0.78390000000000004</v>
      </c>
      <c r="K959" s="20">
        <v>0.86309999999999998</v>
      </c>
      <c r="L959" s="20">
        <v>0.93889999999999996</v>
      </c>
      <c r="M959" s="20">
        <v>1.0114000000000001</v>
      </c>
      <c r="N959" s="20">
        <v>1.081</v>
      </c>
      <c r="O959" s="20">
        <v>1.1477999999999999</v>
      </c>
      <c r="P959" s="20">
        <v>1.2119</v>
      </c>
      <c r="Q959" s="20">
        <v>1.2735000000000001</v>
      </c>
      <c r="R959" s="20">
        <v>1.3327</v>
      </c>
      <c r="S959" s="20">
        <v>1.3895999999999999</v>
      </c>
      <c r="T959" s="20">
        <v>1.4444999999999999</v>
      </c>
      <c r="U959" s="20">
        <v>1.4973000000000001</v>
      </c>
      <c r="V959" s="20">
        <v>1.5482</v>
      </c>
      <c r="W959"/>
      <c r="X959"/>
      <c r="Y959"/>
      <c r="Z959"/>
    </row>
    <row r="960" spans="1:26" x14ac:dyDescent="0.2">
      <c r="A960" s="19">
        <v>0.95399999999999996</v>
      </c>
      <c r="B960" s="20">
        <v>0</v>
      </c>
      <c r="C960" s="20">
        <v>0.1153</v>
      </c>
      <c r="D960" s="20">
        <v>0.22500000000000001</v>
      </c>
      <c r="E960" s="20">
        <v>0.32950000000000002</v>
      </c>
      <c r="F960" s="20">
        <v>0.42909999999999998</v>
      </c>
      <c r="G960" s="20">
        <v>0.52410000000000001</v>
      </c>
      <c r="H960" s="20">
        <v>0.61480000000000001</v>
      </c>
      <c r="I960" s="20">
        <v>0.70140000000000002</v>
      </c>
      <c r="J960" s="20">
        <v>0.78410000000000002</v>
      </c>
      <c r="K960" s="20">
        <v>0.86329999999999996</v>
      </c>
      <c r="L960" s="20">
        <v>0.93910000000000005</v>
      </c>
      <c r="M960" s="20">
        <v>1.0117</v>
      </c>
      <c r="N960" s="20">
        <v>1.0812999999999999</v>
      </c>
      <c r="O960" s="20">
        <v>1.1479999999999999</v>
      </c>
      <c r="P960" s="20">
        <v>1.2121</v>
      </c>
      <c r="Q960" s="20">
        <v>1.2737000000000001</v>
      </c>
      <c r="R960" s="20">
        <v>1.3329</v>
      </c>
      <c r="S960" s="20">
        <v>1.3898999999999999</v>
      </c>
      <c r="T960" s="20">
        <v>1.4447000000000001</v>
      </c>
      <c r="U960" s="20">
        <v>1.4976</v>
      </c>
      <c r="V960" s="20">
        <v>1.5485</v>
      </c>
      <c r="W960"/>
      <c r="X960"/>
      <c r="Y960"/>
      <c r="Z960"/>
    </row>
    <row r="961" spans="1:26" x14ac:dyDescent="0.2">
      <c r="A961" s="19">
        <v>0.95499999999999996</v>
      </c>
      <c r="B961" s="20">
        <v>0</v>
      </c>
      <c r="C961" s="20">
        <v>0.1153</v>
      </c>
      <c r="D961" s="20">
        <v>0.22509999999999999</v>
      </c>
      <c r="E961" s="20">
        <v>0.3296</v>
      </c>
      <c r="F961" s="20">
        <v>0.42920000000000003</v>
      </c>
      <c r="G961" s="20">
        <v>0.5242</v>
      </c>
      <c r="H961" s="20">
        <v>0.6149</v>
      </c>
      <c r="I961" s="20">
        <v>0.70150000000000001</v>
      </c>
      <c r="J961" s="20">
        <v>0.7843</v>
      </c>
      <c r="K961" s="20">
        <v>0.86350000000000005</v>
      </c>
      <c r="L961" s="20">
        <v>0.93930000000000002</v>
      </c>
      <c r="M961" s="20">
        <v>1.0119</v>
      </c>
      <c r="N961" s="20">
        <v>1.0814999999999999</v>
      </c>
      <c r="O961" s="20">
        <v>1.1483000000000001</v>
      </c>
      <c r="P961" s="20">
        <v>1.2123999999999999</v>
      </c>
      <c r="Q961" s="20">
        <v>1.274</v>
      </c>
      <c r="R961" s="20">
        <v>1.3331999999999999</v>
      </c>
      <c r="S961" s="20">
        <v>1.3902000000000001</v>
      </c>
      <c r="T961" s="20">
        <v>1.4450000000000001</v>
      </c>
      <c r="U961" s="20">
        <v>1.4978</v>
      </c>
      <c r="V961" s="20">
        <v>1.5487</v>
      </c>
      <c r="W961"/>
      <c r="X961"/>
      <c r="Y961"/>
      <c r="Z961"/>
    </row>
    <row r="962" spans="1:26" x14ac:dyDescent="0.2">
      <c r="A962" s="19">
        <v>0.95599999999999996</v>
      </c>
      <c r="B962" s="20">
        <v>0</v>
      </c>
      <c r="C962" s="20">
        <v>0.1153</v>
      </c>
      <c r="D962" s="20">
        <v>0.22509999999999999</v>
      </c>
      <c r="E962" s="20">
        <v>0.32969999999999999</v>
      </c>
      <c r="F962" s="20">
        <v>0.42930000000000001</v>
      </c>
      <c r="G962" s="20">
        <v>0.52439999999999998</v>
      </c>
      <c r="H962" s="20">
        <v>0.61509999999999998</v>
      </c>
      <c r="I962" s="20">
        <v>0.70169999999999999</v>
      </c>
      <c r="J962" s="20">
        <v>0.78449999999999998</v>
      </c>
      <c r="K962" s="20">
        <v>0.86370000000000002</v>
      </c>
      <c r="L962" s="20">
        <v>0.9395</v>
      </c>
      <c r="M962" s="20">
        <v>1.0121</v>
      </c>
      <c r="N962" s="20">
        <v>1.0817000000000001</v>
      </c>
      <c r="O962" s="20">
        <v>1.1485000000000001</v>
      </c>
      <c r="P962" s="20">
        <v>1.2125999999999999</v>
      </c>
      <c r="Q962" s="20">
        <v>1.2742</v>
      </c>
      <c r="R962" s="20">
        <v>1.3334999999999999</v>
      </c>
      <c r="S962" s="20">
        <v>1.3904000000000001</v>
      </c>
      <c r="T962" s="20">
        <v>1.4453</v>
      </c>
      <c r="U962" s="20">
        <v>1.4981</v>
      </c>
      <c r="V962" s="20">
        <v>1.5489999999999999</v>
      </c>
      <c r="W962"/>
      <c r="X962"/>
      <c r="Y962"/>
      <c r="Z962"/>
    </row>
    <row r="963" spans="1:26" x14ac:dyDescent="0.2">
      <c r="A963" s="19">
        <v>0.95699999999999996</v>
      </c>
      <c r="B963" s="20">
        <v>0</v>
      </c>
      <c r="C963" s="20">
        <v>0.1154</v>
      </c>
      <c r="D963" s="20">
        <v>0.22520000000000001</v>
      </c>
      <c r="E963" s="20">
        <v>0.32979999999999998</v>
      </c>
      <c r="F963" s="20">
        <v>0.4294</v>
      </c>
      <c r="G963" s="20">
        <v>0.52449999999999997</v>
      </c>
      <c r="H963" s="20">
        <v>0.61519999999999997</v>
      </c>
      <c r="I963" s="20">
        <v>0.70189999999999997</v>
      </c>
      <c r="J963" s="20">
        <v>0.78469999999999995</v>
      </c>
      <c r="K963" s="20">
        <v>0.8639</v>
      </c>
      <c r="L963" s="20">
        <v>0.93969999999999998</v>
      </c>
      <c r="M963" s="20">
        <v>1.0123</v>
      </c>
      <c r="N963" s="20">
        <v>1.0820000000000001</v>
      </c>
      <c r="O963" s="20">
        <v>1.1488</v>
      </c>
      <c r="P963" s="20">
        <v>1.2129000000000001</v>
      </c>
      <c r="Q963" s="20">
        <v>1.2745</v>
      </c>
      <c r="R963" s="20">
        <v>1.3337000000000001</v>
      </c>
      <c r="S963" s="20">
        <v>1.3907</v>
      </c>
      <c r="T963" s="20">
        <v>1.4456</v>
      </c>
      <c r="U963" s="20">
        <v>1.4984</v>
      </c>
      <c r="V963" s="20">
        <v>1.5492999999999999</v>
      </c>
      <c r="W963"/>
      <c r="X963"/>
      <c r="Y963"/>
      <c r="Z963"/>
    </row>
    <row r="964" spans="1:26" x14ac:dyDescent="0.2">
      <c r="A964" s="19">
        <v>0.95799999999999996</v>
      </c>
      <c r="B964" s="20">
        <v>0</v>
      </c>
      <c r="C964" s="20">
        <v>0.1154</v>
      </c>
      <c r="D964" s="20">
        <v>0.22520000000000001</v>
      </c>
      <c r="E964" s="20">
        <v>0.32979999999999998</v>
      </c>
      <c r="F964" s="20">
        <v>0.42949999999999999</v>
      </c>
      <c r="G964" s="20">
        <v>0.52459999999999996</v>
      </c>
      <c r="H964" s="20">
        <v>0.61539999999999995</v>
      </c>
      <c r="I964" s="20">
        <v>0.70199999999999996</v>
      </c>
      <c r="J964" s="20">
        <v>0.78480000000000005</v>
      </c>
      <c r="K964" s="20">
        <v>0.86409999999999998</v>
      </c>
      <c r="L964" s="20">
        <v>0.93989999999999996</v>
      </c>
      <c r="M964" s="20">
        <v>1.0125999999999999</v>
      </c>
      <c r="N964" s="20">
        <v>1.0822000000000001</v>
      </c>
      <c r="O964" s="20">
        <v>1.149</v>
      </c>
      <c r="P964" s="20">
        <v>1.2131000000000001</v>
      </c>
      <c r="Q964" s="20">
        <v>1.2747999999999999</v>
      </c>
      <c r="R964" s="20">
        <v>1.3340000000000001</v>
      </c>
      <c r="S964" s="20">
        <v>1.391</v>
      </c>
      <c r="T964" s="20">
        <v>1.4458</v>
      </c>
      <c r="U964" s="20">
        <v>1.4985999999999999</v>
      </c>
      <c r="V964" s="20">
        <v>1.5496000000000001</v>
      </c>
      <c r="W964"/>
      <c r="X964"/>
      <c r="Y964"/>
      <c r="Z964"/>
    </row>
    <row r="965" spans="1:26" x14ac:dyDescent="0.2">
      <c r="A965" s="19">
        <v>0.95899999999999996</v>
      </c>
      <c r="B965" s="20">
        <v>0</v>
      </c>
      <c r="C965" s="20">
        <v>0.1154</v>
      </c>
      <c r="D965" s="20">
        <v>0.2253</v>
      </c>
      <c r="E965" s="20">
        <v>0.32990000000000003</v>
      </c>
      <c r="F965" s="20">
        <v>0.42959999999999998</v>
      </c>
      <c r="G965" s="20">
        <v>0.52470000000000006</v>
      </c>
      <c r="H965" s="20">
        <v>0.61550000000000005</v>
      </c>
      <c r="I965" s="20">
        <v>0.70220000000000005</v>
      </c>
      <c r="J965" s="20">
        <v>0.78500000000000003</v>
      </c>
      <c r="K965" s="20">
        <v>0.86429999999999996</v>
      </c>
      <c r="L965" s="20">
        <v>0.94010000000000005</v>
      </c>
      <c r="M965" s="20">
        <v>1.0127999999999999</v>
      </c>
      <c r="N965" s="20">
        <v>1.0824</v>
      </c>
      <c r="O965" s="20">
        <v>1.1492</v>
      </c>
      <c r="P965" s="20">
        <v>1.2134</v>
      </c>
      <c r="Q965" s="20">
        <v>1.2749999999999999</v>
      </c>
      <c r="R965" s="20">
        <v>1.3342000000000001</v>
      </c>
      <c r="S965" s="20">
        <v>1.3912</v>
      </c>
      <c r="T965" s="20">
        <v>1.4460999999999999</v>
      </c>
      <c r="U965" s="20">
        <v>1.4988999999999999</v>
      </c>
      <c r="V965" s="20">
        <v>1.5498000000000001</v>
      </c>
      <c r="W965"/>
      <c r="X965"/>
      <c r="Y965"/>
      <c r="Z965"/>
    </row>
    <row r="966" spans="1:26" x14ac:dyDescent="0.2">
      <c r="A966" s="19">
        <v>0.96</v>
      </c>
      <c r="B966" s="20">
        <v>0</v>
      </c>
      <c r="C966" s="20">
        <v>0.1154</v>
      </c>
      <c r="D966" s="20">
        <v>0.2253</v>
      </c>
      <c r="E966" s="20">
        <v>0.33</v>
      </c>
      <c r="F966" s="20">
        <v>0.42970000000000003</v>
      </c>
      <c r="G966" s="20">
        <v>0.52490000000000003</v>
      </c>
      <c r="H966" s="20">
        <v>0.61560000000000004</v>
      </c>
      <c r="I966" s="20">
        <v>0.70230000000000004</v>
      </c>
      <c r="J966" s="20">
        <v>0.78520000000000001</v>
      </c>
      <c r="K966" s="20">
        <v>0.86450000000000005</v>
      </c>
      <c r="L966" s="20">
        <v>0.94030000000000002</v>
      </c>
      <c r="M966" s="20">
        <v>1.0129999999999999</v>
      </c>
      <c r="N966" s="20">
        <v>1.0827</v>
      </c>
      <c r="O966" s="20">
        <v>1.1495</v>
      </c>
      <c r="P966" s="20">
        <v>1.2136</v>
      </c>
      <c r="Q966" s="20">
        <v>1.2753000000000001</v>
      </c>
      <c r="R966" s="20">
        <v>1.3345</v>
      </c>
      <c r="S966" s="20">
        <v>1.3915</v>
      </c>
      <c r="T966" s="20">
        <v>1.4463999999999999</v>
      </c>
      <c r="U966" s="20">
        <v>1.4992000000000001</v>
      </c>
      <c r="V966" s="20">
        <v>1.5501</v>
      </c>
      <c r="W966"/>
      <c r="X966"/>
      <c r="Y966"/>
      <c r="Z966"/>
    </row>
    <row r="967" spans="1:26" x14ac:dyDescent="0.2">
      <c r="A967" s="19">
        <v>0.96099999999999997</v>
      </c>
      <c r="B967" s="20">
        <v>0</v>
      </c>
      <c r="C967" s="20">
        <v>0.11550000000000001</v>
      </c>
      <c r="D967" s="20">
        <v>0.22539999999999999</v>
      </c>
      <c r="E967" s="20">
        <v>0.3301</v>
      </c>
      <c r="F967" s="20">
        <v>0.42980000000000002</v>
      </c>
      <c r="G967" s="20">
        <v>0.52500000000000002</v>
      </c>
      <c r="H967" s="20">
        <v>0.61580000000000001</v>
      </c>
      <c r="I967" s="20">
        <v>0.70250000000000001</v>
      </c>
      <c r="J967" s="20">
        <v>0.78539999999999999</v>
      </c>
      <c r="K967" s="20">
        <v>0.86470000000000002</v>
      </c>
      <c r="L967" s="20">
        <v>0.9405</v>
      </c>
      <c r="M967" s="20">
        <v>1.0132000000000001</v>
      </c>
      <c r="N967" s="20">
        <v>1.0829</v>
      </c>
      <c r="O967" s="20">
        <v>1.1496999999999999</v>
      </c>
      <c r="P967" s="20">
        <v>1.2139</v>
      </c>
      <c r="Q967" s="20">
        <v>1.2755000000000001</v>
      </c>
      <c r="R967" s="20">
        <v>1.3348</v>
      </c>
      <c r="S967" s="20">
        <v>1.3917999999999999</v>
      </c>
      <c r="T967" s="20">
        <v>1.4466000000000001</v>
      </c>
      <c r="U967" s="20">
        <v>1.4995000000000001</v>
      </c>
      <c r="V967" s="20">
        <v>1.5504</v>
      </c>
      <c r="W967"/>
      <c r="X967"/>
      <c r="Y967"/>
      <c r="Z967"/>
    </row>
    <row r="968" spans="1:26" x14ac:dyDescent="0.2">
      <c r="A968" s="19">
        <v>0.96199999999999997</v>
      </c>
      <c r="B968" s="20">
        <v>0</v>
      </c>
      <c r="C968" s="20">
        <v>0.11550000000000001</v>
      </c>
      <c r="D968" s="20">
        <v>0.22539999999999999</v>
      </c>
      <c r="E968" s="20">
        <v>0.3301</v>
      </c>
      <c r="F968" s="20">
        <v>0.4299</v>
      </c>
      <c r="G968" s="20">
        <v>0.52510000000000001</v>
      </c>
      <c r="H968" s="20">
        <v>0.6159</v>
      </c>
      <c r="I968" s="20">
        <v>0.70269999999999999</v>
      </c>
      <c r="J968" s="20">
        <v>0.78559999999999997</v>
      </c>
      <c r="K968" s="20">
        <v>0.86480000000000001</v>
      </c>
      <c r="L968" s="20">
        <v>0.94069999999999998</v>
      </c>
      <c r="M968" s="20">
        <v>1.0134000000000001</v>
      </c>
      <c r="N968" s="20">
        <v>1.0831</v>
      </c>
      <c r="O968" s="20">
        <v>1.1499999999999999</v>
      </c>
      <c r="P968" s="20">
        <v>1.2141</v>
      </c>
      <c r="Q968" s="20">
        <v>1.2758</v>
      </c>
      <c r="R968" s="20">
        <v>1.335</v>
      </c>
      <c r="S968" s="20">
        <v>1.3919999999999999</v>
      </c>
      <c r="T968" s="20">
        <v>1.4469000000000001</v>
      </c>
      <c r="U968" s="20">
        <v>1.4997</v>
      </c>
      <c r="V968" s="20">
        <v>1.5506</v>
      </c>
      <c r="W968"/>
      <c r="X968"/>
      <c r="Y968"/>
      <c r="Z968"/>
    </row>
    <row r="969" spans="1:26" x14ac:dyDescent="0.2">
      <c r="A969" s="19">
        <v>0.96299999999999997</v>
      </c>
      <c r="B969" s="20">
        <v>0</v>
      </c>
      <c r="C969" s="20">
        <v>0.11550000000000001</v>
      </c>
      <c r="D969" s="20">
        <v>0.22550000000000001</v>
      </c>
      <c r="E969" s="20">
        <v>0.33019999999999999</v>
      </c>
      <c r="F969" s="20">
        <v>0.43</v>
      </c>
      <c r="G969" s="20">
        <v>0.5252</v>
      </c>
      <c r="H969" s="20">
        <v>0.61609999999999998</v>
      </c>
      <c r="I969" s="20">
        <v>0.70279999999999998</v>
      </c>
      <c r="J969" s="20">
        <v>0.78569999999999995</v>
      </c>
      <c r="K969" s="20">
        <v>0.86499999999999999</v>
      </c>
      <c r="L969" s="20">
        <v>0.94089999999999996</v>
      </c>
      <c r="M969" s="20">
        <v>1.0137</v>
      </c>
      <c r="N969" s="20">
        <v>1.0832999999999999</v>
      </c>
      <c r="O969" s="20">
        <v>1.1501999999999999</v>
      </c>
      <c r="P969" s="20">
        <v>1.2143999999999999</v>
      </c>
      <c r="Q969" s="20">
        <v>1.276</v>
      </c>
      <c r="R969" s="20">
        <v>1.3352999999999999</v>
      </c>
      <c r="S969" s="20">
        <v>1.3923000000000001</v>
      </c>
      <c r="T969" s="20">
        <v>1.4472</v>
      </c>
      <c r="U969" s="20">
        <v>1.5</v>
      </c>
      <c r="V969" s="20">
        <v>1.5508999999999999</v>
      </c>
      <c r="W969"/>
      <c r="X969"/>
      <c r="Y969"/>
      <c r="Z969"/>
    </row>
    <row r="970" spans="1:26" x14ac:dyDescent="0.2">
      <c r="A970" s="19">
        <v>0.96399999999999997</v>
      </c>
      <c r="B970" s="20">
        <v>0</v>
      </c>
      <c r="C970" s="20">
        <v>0.11559999999999999</v>
      </c>
      <c r="D970" s="20">
        <v>0.22550000000000001</v>
      </c>
      <c r="E970" s="20">
        <v>0.33029999999999998</v>
      </c>
      <c r="F970" s="20">
        <v>0.43009999999999998</v>
      </c>
      <c r="G970" s="20">
        <v>0.52529999999999999</v>
      </c>
      <c r="H970" s="20">
        <v>0.61619999999999997</v>
      </c>
      <c r="I970" s="20">
        <v>0.70299999999999996</v>
      </c>
      <c r="J970" s="20">
        <v>0.78590000000000004</v>
      </c>
      <c r="K970" s="20">
        <v>0.86519999999999997</v>
      </c>
      <c r="L970" s="20">
        <v>0.94120000000000004</v>
      </c>
      <c r="M970" s="20">
        <v>1.0139</v>
      </c>
      <c r="N970" s="20">
        <v>1.0835999999999999</v>
      </c>
      <c r="O970" s="20">
        <v>1.1504000000000001</v>
      </c>
      <c r="P970" s="20">
        <v>1.2145999999999999</v>
      </c>
      <c r="Q970" s="20">
        <v>1.2763</v>
      </c>
      <c r="R970" s="20">
        <v>1.3354999999999999</v>
      </c>
      <c r="S970" s="20">
        <v>1.3926000000000001</v>
      </c>
      <c r="T970" s="20">
        <v>1.4474</v>
      </c>
      <c r="U970" s="20">
        <v>1.5003</v>
      </c>
      <c r="V970" s="20">
        <v>1.5511999999999999</v>
      </c>
      <c r="W970"/>
      <c r="X970"/>
      <c r="Y970"/>
      <c r="Z970"/>
    </row>
    <row r="971" spans="1:26" x14ac:dyDescent="0.2">
      <c r="A971" s="19">
        <v>0.96499999999999997</v>
      </c>
      <c r="B971" s="20">
        <v>0</v>
      </c>
      <c r="C971" s="20">
        <v>0.11559999999999999</v>
      </c>
      <c r="D971" s="20">
        <v>0.22559999999999999</v>
      </c>
      <c r="E971" s="20">
        <v>0.33040000000000003</v>
      </c>
      <c r="F971" s="20">
        <v>0.43020000000000003</v>
      </c>
      <c r="G971" s="20">
        <v>0.52549999999999997</v>
      </c>
      <c r="H971" s="20">
        <v>0.61629999999999996</v>
      </c>
      <c r="I971" s="20">
        <v>0.70309999999999995</v>
      </c>
      <c r="J971" s="20">
        <v>0.78610000000000002</v>
      </c>
      <c r="K971" s="20">
        <v>0.86539999999999995</v>
      </c>
      <c r="L971" s="20">
        <v>0.94140000000000001</v>
      </c>
      <c r="M971" s="20">
        <v>1.0141</v>
      </c>
      <c r="N971" s="20">
        <v>1.0838000000000001</v>
      </c>
      <c r="O971" s="20">
        <v>1.1507000000000001</v>
      </c>
      <c r="P971" s="20">
        <v>1.2149000000000001</v>
      </c>
      <c r="Q971" s="20">
        <v>1.2765</v>
      </c>
      <c r="R971" s="20">
        <v>1.3358000000000001</v>
      </c>
      <c r="S971" s="20">
        <v>1.3928</v>
      </c>
      <c r="T971" s="20">
        <v>1.4477</v>
      </c>
      <c r="U971" s="20">
        <v>1.5004999999999999</v>
      </c>
      <c r="V971" s="20">
        <v>1.5513999999999999</v>
      </c>
      <c r="W971"/>
      <c r="X971"/>
      <c r="Y971"/>
      <c r="Z971"/>
    </row>
    <row r="972" spans="1:26" x14ac:dyDescent="0.2">
      <c r="A972" s="19">
        <v>0.96599999999999997</v>
      </c>
      <c r="B972" s="20">
        <v>0</v>
      </c>
      <c r="C972" s="20">
        <v>0.11559999999999999</v>
      </c>
      <c r="D972" s="20">
        <v>0.22570000000000001</v>
      </c>
      <c r="E972" s="20">
        <v>0.33050000000000002</v>
      </c>
      <c r="F972" s="20">
        <v>0.43030000000000002</v>
      </c>
      <c r="G972" s="20">
        <v>0.52559999999999996</v>
      </c>
      <c r="H972" s="20">
        <v>0.61650000000000005</v>
      </c>
      <c r="I972" s="20">
        <v>0.70330000000000004</v>
      </c>
      <c r="J972" s="20">
        <v>0.7863</v>
      </c>
      <c r="K972" s="20">
        <v>0.86560000000000004</v>
      </c>
      <c r="L972" s="20">
        <v>0.94159999999999999</v>
      </c>
      <c r="M972" s="20">
        <v>1.0143</v>
      </c>
      <c r="N972" s="20">
        <v>1.0840000000000001</v>
      </c>
      <c r="O972" s="20">
        <v>1.1509</v>
      </c>
      <c r="P972" s="20">
        <v>1.2151000000000001</v>
      </c>
      <c r="Q972" s="20">
        <v>1.2767999999999999</v>
      </c>
      <c r="R972" s="20">
        <v>1.3361000000000001</v>
      </c>
      <c r="S972" s="20">
        <v>1.3931</v>
      </c>
      <c r="T972" s="20">
        <v>1.448</v>
      </c>
      <c r="U972" s="20">
        <v>1.5007999999999999</v>
      </c>
      <c r="V972" s="20">
        <v>1.5517000000000001</v>
      </c>
      <c r="W972"/>
      <c r="X972"/>
      <c r="Y972"/>
      <c r="Z972"/>
    </row>
    <row r="973" spans="1:26" x14ac:dyDescent="0.2">
      <c r="A973" s="19">
        <v>0.96699999999999997</v>
      </c>
      <c r="B973" s="20">
        <v>0</v>
      </c>
      <c r="C973" s="20">
        <v>0.11559999999999999</v>
      </c>
      <c r="D973" s="20">
        <v>0.22570000000000001</v>
      </c>
      <c r="E973" s="20">
        <v>0.33050000000000002</v>
      </c>
      <c r="F973" s="20">
        <v>0.4304</v>
      </c>
      <c r="G973" s="20">
        <v>0.52569999999999995</v>
      </c>
      <c r="H973" s="20">
        <v>0.61660000000000004</v>
      </c>
      <c r="I973" s="20">
        <v>0.70350000000000001</v>
      </c>
      <c r="J973" s="20">
        <v>0.78639999999999999</v>
      </c>
      <c r="K973" s="20">
        <v>0.86580000000000001</v>
      </c>
      <c r="L973" s="20">
        <v>0.94179999999999997</v>
      </c>
      <c r="M973" s="20">
        <v>1.0145</v>
      </c>
      <c r="N973" s="20">
        <v>1.0843</v>
      </c>
      <c r="O973" s="20">
        <v>1.1512</v>
      </c>
      <c r="P973" s="20">
        <v>1.2154</v>
      </c>
      <c r="Q973" s="20">
        <v>1.2769999999999999</v>
      </c>
      <c r="R973" s="20">
        <v>1.3363</v>
      </c>
      <c r="S973" s="20">
        <v>1.3933</v>
      </c>
      <c r="T973" s="20">
        <v>1.4481999999999999</v>
      </c>
      <c r="U973" s="20">
        <v>1.5011000000000001</v>
      </c>
      <c r="V973" s="20">
        <v>1.552</v>
      </c>
      <c r="W973"/>
      <c r="X973"/>
      <c r="Y973"/>
      <c r="Z973"/>
    </row>
    <row r="974" spans="1:26" x14ac:dyDescent="0.2">
      <c r="A974" s="19">
        <v>0.96799999999999997</v>
      </c>
      <c r="B974" s="20">
        <v>0</v>
      </c>
      <c r="C974" s="20">
        <v>0.1157</v>
      </c>
      <c r="D974" s="20">
        <v>0.2258</v>
      </c>
      <c r="E974" s="20">
        <v>0.3306</v>
      </c>
      <c r="F974" s="20">
        <v>0.43049999999999999</v>
      </c>
      <c r="G974" s="20">
        <v>0.52580000000000005</v>
      </c>
      <c r="H974" s="20">
        <v>0.61680000000000001</v>
      </c>
      <c r="I974" s="20">
        <v>0.7036</v>
      </c>
      <c r="J974" s="20">
        <v>0.78659999999999997</v>
      </c>
      <c r="K974" s="20">
        <v>0.86599999999999999</v>
      </c>
      <c r="L974" s="20">
        <v>0.94199999999999995</v>
      </c>
      <c r="M974" s="20">
        <v>1.0146999999999999</v>
      </c>
      <c r="N974" s="20">
        <v>1.0845</v>
      </c>
      <c r="O974" s="20">
        <v>1.1514</v>
      </c>
      <c r="P974" s="20">
        <v>1.2156</v>
      </c>
      <c r="Q974" s="20">
        <v>1.2773000000000001</v>
      </c>
      <c r="R974" s="20">
        <v>1.3366</v>
      </c>
      <c r="S974" s="20">
        <v>1.3935999999999999</v>
      </c>
      <c r="T974" s="20">
        <v>1.4484999999999999</v>
      </c>
      <c r="U974" s="20">
        <v>1.5013000000000001</v>
      </c>
      <c r="V974" s="20">
        <v>1.5522</v>
      </c>
      <c r="W974"/>
      <c r="X974"/>
      <c r="Y974"/>
      <c r="Z974"/>
    </row>
    <row r="975" spans="1:26" x14ac:dyDescent="0.2">
      <c r="A975" s="19">
        <v>0.96899999999999997</v>
      </c>
      <c r="B975" s="20">
        <v>0</v>
      </c>
      <c r="C975" s="20">
        <v>0.1157</v>
      </c>
      <c r="D975" s="20">
        <v>0.2258</v>
      </c>
      <c r="E975" s="20">
        <v>0.33069999999999999</v>
      </c>
      <c r="F975" s="20">
        <v>0.43059999999999998</v>
      </c>
      <c r="G975" s="20">
        <v>0.52600000000000002</v>
      </c>
      <c r="H975" s="20">
        <v>0.6169</v>
      </c>
      <c r="I975" s="20">
        <v>0.70379999999999998</v>
      </c>
      <c r="J975" s="20">
        <v>0.78680000000000005</v>
      </c>
      <c r="K975" s="20">
        <v>0.86619999999999997</v>
      </c>
      <c r="L975" s="20">
        <v>0.94220000000000004</v>
      </c>
      <c r="M975" s="20">
        <v>1.0149999999999999</v>
      </c>
      <c r="N975" s="20">
        <v>1.0847</v>
      </c>
      <c r="O975" s="20">
        <v>1.1516</v>
      </c>
      <c r="P975" s="20">
        <v>1.2159</v>
      </c>
      <c r="Q975" s="20">
        <v>1.2775000000000001</v>
      </c>
      <c r="R975" s="20">
        <v>1.3368</v>
      </c>
      <c r="S975" s="20">
        <v>1.3938999999999999</v>
      </c>
      <c r="T975" s="20">
        <v>1.4487000000000001</v>
      </c>
      <c r="U975" s="20">
        <v>1.5016</v>
      </c>
      <c r="V975" s="20">
        <v>1.5525</v>
      </c>
      <c r="W975"/>
      <c r="X975"/>
      <c r="Y975"/>
      <c r="Z975"/>
    </row>
    <row r="976" spans="1:26" x14ac:dyDescent="0.2">
      <c r="A976" s="19">
        <v>0.97</v>
      </c>
      <c r="B976" s="20">
        <v>0</v>
      </c>
      <c r="C976" s="20">
        <v>0.1157</v>
      </c>
      <c r="D976" s="20">
        <v>0.22589999999999999</v>
      </c>
      <c r="E976" s="20">
        <v>0.33079999999999998</v>
      </c>
      <c r="F976" s="20">
        <v>0.43070000000000003</v>
      </c>
      <c r="G976" s="20">
        <v>0.52610000000000001</v>
      </c>
      <c r="H976" s="20">
        <v>0.61709999999999998</v>
      </c>
      <c r="I976" s="20">
        <v>0.70389999999999997</v>
      </c>
      <c r="J976" s="20">
        <v>0.78700000000000003</v>
      </c>
      <c r="K976" s="20">
        <v>0.86639999999999995</v>
      </c>
      <c r="L976" s="20">
        <v>0.94240000000000002</v>
      </c>
      <c r="M976" s="20">
        <v>1.0152000000000001</v>
      </c>
      <c r="N976" s="20">
        <v>1.0849</v>
      </c>
      <c r="O976" s="20">
        <v>1.1518999999999999</v>
      </c>
      <c r="P976" s="20">
        <v>1.2161</v>
      </c>
      <c r="Q976" s="20">
        <v>1.2778</v>
      </c>
      <c r="R976" s="20">
        <v>1.3371</v>
      </c>
      <c r="S976" s="20">
        <v>1.3940999999999999</v>
      </c>
      <c r="T976" s="20">
        <v>1.4490000000000001</v>
      </c>
      <c r="U976" s="20">
        <v>1.5019</v>
      </c>
      <c r="V976" s="20">
        <v>1.5528</v>
      </c>
      <c r="W976"/>
      <c r="X976"/>
      <c r="Y976"/>
      <c r="Z976"/>
    </row>
    <row r="977" spans="1:26" x14ac:dyDescent="0.2">
      <c r="A977" s="19">
        <v>0.97099999999999997</v>
      </c>
      <c r="B977" s="20">
        <v>0</v>
      </c>
      <c r="C977" s="20">
        <v>0.1157</v>
      </c>
      <c r="D977" s="20">
        <v>0.22589999999999999</v>
      </c>
      <c r="E977" s="20">
        <v>0.33079999999999998</v>
      </c>
      <c r="F977" s="20">
        <v>0.43080000000000002</v>
      </c>
      <c r="G977" s="20">
        <v>0.5262</v>
      </c>
      <c r="H977" s="20">
        <v>0.61719999999999997</v>
      </c>
      <c r="I977" s="20">
        <v>0.70409999999999995</v>
      </c>
      <c r="J977" s="20">
        <v>0.78710000000000002</v>
      </c>
      <c r="K977" s="20">
        <v>0.86660000000000004</v>
      </c>
      <c r="L977" s="20">
        <v>0.94259999999999999</v>
      </c>
      <c r="M977" s="20">
        <v>1.0154000000000001</v>
      </c>
      <c r="N977" s="20">
        <v>1.0851999999999999</v>
      </c>
      <c r="O977" s="20">
        <v>1.1520999999999999</v>
      </c>
      <c r="P977" s="20">
        <v>1.2162999999999999</v>
      </c>
      <c r="Q977" s="20">
        <v>1.278</v>
      </c>
      <c r="R977" s="20">
        <v>1.3372999999999999</v>
      </c>
      <c r="S977" s="20">
        <v>1.3944000000000001</v>
      </c>
      <c r="T977" s="20">
        <v>1.4493</v>
      </c>
      <c r="U977" s="20">
        <v>1.5021</v>
      </c>
      <c r="V977" s="20">
        <v>1.5529999999999999</v>
      </c>
      <c r="W977"/>
      <c r="X977"/>
      <c r="Y977"/>
      <c r="Z977"/>
    </row>
    <row r="978" spans="1:26" x14ac:dyDescent="0.2">
      <c r="A978" s="19">
        <v>0.97199999999999998</v>
      </c>
      <c r="B978" s="20">
        <v>0</v>
      </c>
      <c r="C978" s="20">
        <v>0.1158</v>
      </c>
      <c r="D978" s="20">
        <v>0.22600000000000001</v>
      </c>
      <c r="E978" s="20">
        <v>0.33090000000000003</v>
      </c>
      <c r="F978" s="20">
        <v>0.43090000000000001</v>
      </c>
      <c r="G978" s="20">
        <v>0.52629999999999999</v>
      </c>
      <c r="H978" s="20">
        <v>0.61729999999999996</v>
      </c>
      <c r="I978" s="20">
        <v>0.70430000000000004</v>
      </c>
      <c r="J978" s="20">
        <v>0.7873</v>
      </c>
      <c r="K978" s="20">
        <v>0.86680000000000001</v>
      </c>
      <c r="L978" s="20">
        <v>0.94279999999999997</v>
      </c>
      <c r="M978" s="20">
        <v>1.0156000000000001</v>
      </c>
      <c r="N978" s="20">
        <v>1.0853999999999999</v>
      </c>
      <c r="O978" s="20">
        <v>1.1523000000000001</v>
      </c>
      <c r="P978" s="20">
        <v>1.2165999999999999</v>
      </c>
      <c r="Q978" s="20">
        <v>1.2783</v>
      </c>
      <c r="R978" s="20">
        <v>1.3375999999999999</v>
      </c>
      <c r="S978" s="20">
        <v>1.3946000000000001</v>
      </c>
      <c r="T978" s="20">
        <v>1.4495</v>
      </c>
      <c r="U978" s="20">
        <v>1.5024</v>
      </c>
      <c r="V978" s="20">
        <v>1.5532999999999999</v>
      </c>
      <c r="W978"/>
      <c r="X978"/>
      <c r="Y978"/>
      <c r="Z978"/>
    </row>
    <row r="979" spans="1:26" x14ac:dyDescent="0.2">
      <c r="A979" s="19">
        <v>0.97299999999999998</v>
      </c>
      <c r="B979" s="20">
        <v>0</v>
      </c>
      <c r="C979" s="20">
        <v>0.1158</v>
      </c>
      <c r="D979" s="20">
        <v>0.22600000000000001</v>
      </c>
      <c r="E979" s="20">
        <v>0.33100000000000002</v>
      </c>
      <c r="F979" s="20">
        <v>0.43099999999999999</v>
      </c>
      <c r="G979" s="20">
        <v>0.52639999999999998</v>
      </c>
      <c r="H979" s="20">
        <v>0.61750000000000005</v>
      </c>
      <c r="I979" s="20">
        <v>0.70440000000000003</v>
      </c>
      <c r="J979" s="20">
        <v>0.78749999999999998</v>
      </c>
      <c r="K979" s="20">
        <v>0.86699999999999999</v>
      </c>
      <c r="L979" s="20">
        <v>0.94299999999999995</v>
      </c>
      <c r="M979" s="20">
        <v>1.0158</v>
      </c>
      <c r="N979" s="20">
        <v>1.0855999999999999</v>
      </c>
      <c r="O979" s="20">
        <v>1.1526000000000001</v>
      </c>
      <c r="P979" s="20">
        <v>1.2168000000000001</v>
      </c>
      <c r="Q979" s="20">
        <v>1.2785</v>
      </c>
      <c r="R979" s="20">
        <v>1.3379000000000001</v>
      </c>
      <c r="S979" s="20">
        <v>1.3949</v>
      </c>
      <c r="T979" s="20">
        <v>1.4498</v>
      </c>
      <c r="U979" s="20">
        <v>1.5026999999999999</v>
      </c>
      <c r="V979" s="20">
        <v>1.5536000000000001</v>
      </c>
      <c r="W979"/>
      <c r="X979"/>
      <c r="Y979"/>
      <c r="Z979"/>
    </row>
    <row r="980" spans="1:26" x14ac:dyDescent="0.2">
      <c r="A980" s="19">
        <v>0.97399999999999998</v>
      </c>
      <c r="B980" s="20">
        <v>0</v>
      </c>
      <c r="C980" s="20">
        <v>0.1158</v>
      </c>
      <c r="D980" s="20">
        <v>0.2261</v>
      </c>
      <c r="E980" s="20">
        <v>0.33110000000000001</v>
      </c>
      <c r="F980" s="20">
        <v>0.43109999999999998</v>
      </c>
      <c r="G980" s="20">
        <v>0.52659999999999996</v>
      </c>
      <c r="H980" s="20">
        <v>0.61760000000000004</v>
      </c>
      <c r="I980" s="20">
        <v>0.7046</v>
      </c>
      <c r="J980" s="20">
        <v>0.78769999999999996</v>
      </c>
      <c r="K980" s="20">
        <v>0.86709999999999998</v>
      </c>
      <c r="L980" s="20">
        <v>0.94320000000000004</v>
      </c>
      <c r="M980" s="20">
        <v>1.016</v>
      </c>
      <c r="N980" s="20">
        <v>1.0859000000000001</v>
      </c>
      <c r="O980" s="20">
        <v>1.1528</v>
      </c>
      <c r="P980" s="20">
        <v>1.2171000000000001</v>
      </c>
      <c r="Q980" s="20">
        <v>1.2787999999999999</v>
      </c>
      <c r="R980" s="20">
        <v>1.3381000000000001</v>
      </c>
      <c r="S980" s="20">
        <v>1.3952</v>
      </c>
      <c r="T980" s="20">
        <v>1.4500999999999999</v>
      </c>
      <c r="U980" s="20">
        <v>1.5028999999999999</v>
      </c>
      <c r="V980" s="20">
        <v>1.5538000000000001</v>
      </c>
      <c r="W980"/>
      <c r="X980"/>
      <c r="Y980"/>
      <c r="Z980"/>
    </row>
    <row r="981" spans="1:26" x14ac:dyDescent="0.2">
      <c r="A981" s="19">
        <v>0.97499999999999998</v>
      </c>
      <c r="B981" s="20">
        <v>0</v>
      </c>
      <c r="C981" s="20">
        <v>0.1159</v>
      </c>
      <c r="D981" s="20">
        <v>0.2261</v>
      </c>
      <c r="E981" s="20">
        <v>0.33110000000000001</v>
      </c>
      <c r="F981" s="20">
        <v>0.43120000000000003</v>
      </c>
      <c r="G981" s="20">
        <v>0.52669999999999995</v>
      </c>
      <c r="H981" s="20">
        <v>0.61780000000000002</v>
      </c>
      <c r="I981" s="20">
        <v>0.70469999999999999</v>
      </c>
      <c r="J981" s="20">
        <v>0.78779999999999994</v>
      </c>
      <c r="K981" s="20">
        <v>0.86729999999999996</v>
      </c>
      <c r="L981" s="20">
        <v>0.94340000000000002</v>
      </c>
      <c r="M981" s="20">
        <v>1.0163</v>
      </c>
      <c r="N981" s="20">
        <v>1.0861000000000001</v>
      </c>
      <c r="O981" s="20">
        <v>1.153</v>
      </c>
      <c r="P981" s="20">
        <v>1.2173</v>
      </c>
      <c r="Q981" s="20">
        <v>1.2789999999999999</v>
      </c>
      <c r="R981" s="20">
        <v>1.3384</v>
      </c>
      <c r="S981" s="20">
        <v>1.3954</v>
      </c>
      <c r="T981" s="20">
        <v>1.4502999999999999</v>
      </c>
      <c r="U981" s="20">
        <v>1.5032000000000001</v>
      </c>
      <c r="V981" s="20">
        <v>1.5541</v>
      </c>
      <c r="W981"/>
      <c r="X981"/>
      <c r="Y981"/>
      <c r="Z981"/>
    </row>
    <row r="982" spans="1:26" x14ac:dyDescent="0.2">
      <c r="A982" s="19">
        <v>0.97599999999999998</v>
      </c>
      <c r="B982" s="20">
        <v>0</v>
      </c>
      <c r="C982" s="20">
        <v>0.1159</v>
      </c>
      <c r="D982" s="20">
        <v>0.22620000000000001</v>
      </c>
      <c r="E982" s="20">
        <v>0.33119999999999999</v>
      </c>
      <c r="F982" s="20">
        <v>0.43130000000000002</v>
      </c>
      <c r="G982" s="20">
        <v>0.52680000000000005</v>
      </c>
      <c r="H982" s="20">
        <v>0.6179</v>
      </c>
      <c r="I982" s="20">
        <v>0.70489999999999997</v>
      </c>
      <c r="J982" s="20">
        <v>0.78800000000000003</v>
      </c>
      <c r="K982" s="20">
        <v>0.86750000000000005</v>
      </c>
      <c r="L982" s="20">
        <v>0.94359999999999999</v>
      </c>
      <c r="M982" s="20">
        <v>1.0165</v>
      </c>
      <c r="N982" s="20">
        <v>1.0863</v>
      </c>
      <c r="O982" s="20">
        <v>1.1533</v>
      </c>
      <c r="P982" s="20">
        <v>1.2176</v>
      </c>
      <c r="Q982" s="20">
        <v>1.2793000000000001</v>
      </c>
      <c r="R982" s="20">
        <v>1.3386</v>
      </c>
      <c r="S982" s="20">
        <v>1.3956999999999999</v>
      </c>
      <c r="T982" s="20">
        <v>1.4505999999999999</v>
      </c>
      <c r="U982" s="20">
        <v>1.5034000000000001</v>
      </c>
      <c r="V982" s="20">
        <v>1.5544</v>
      </c>
      <c r="W982"/>
      <c r="X982"/>
      <c r="Y982"/>
      <c r="Z982"/>
    </row>
    <row r="983" spans="1:26" x14ac:dyDescent="0.2">
      <c r="A983" s="19">
        <v>0.97699999999999998</v>
      </c>
      <c r="B983" s="20">
        <v>0</v>
      </c>
      <c r="C983" s="20">
        <v>0.1159</v>
      </c>
      <c r="D983" s="20">
        <v>0.22620000000000001</v>
      </c>
      <c r="E983" s="20">
        <v>0.33129999999999998</v>
      </c>
      <c r="F983" s="20">
        <v>0.43140000000000001</v>
      </c>
      <c r="G983" s="20">
        <v>0.52690000000000003</v>
      </c>
      <c r="H983" s="20">
        <v>0.61799999999999999</v>
      </c>
      <c r="I983" s="20">
        <v>0.70499999999999996</v>
      </c>
      <c r="J983" s="20">
        <v>0.78820000000000001</v>
      </c>
      <c r="K983" s="20">
        <v>0.86770000000000003</v>
      </c>
      <c r="L983" s="20">
        <v>0.94379999999999997</v>
      </c>
      <c r="M983" s="20">
        <v>1.0166999999999999</v>
      </c>
      <c r="N983" s="20">
        <v>1.0865</v>
      </c>
      <c r="O983" s="20">
        <v>1.1535</v>
      </c>
      <c r="P983" s="20">
        <v>1.2178</v>
      </c>
      <c r="Q983" s="20">
        <v>1.2795000000000001</v>
      </c>
      <c r="R983" s="20">
        <v>1.3389</v>
      </c>
      <c r="S983" s="20">
        <v>1.3958999999999999</v>
      </c>
      <c r="T983" s="20">
        <v>1.4508000000000001</v>
      </c>
      <c r="U983" s="20">
        <v>1.5037</v>
      </c>
      <c r="V983" s="20">
        <v>1.5546</v>
      </c>
      <c r="W983"/>
      <c r="X983"/>
      <c r="Y983"/>
      <c r="Z983"/>
    </row>
    <row r="984" spans="1:26" x14ac:dyDescent="0.2">
      <c r="A984" s="19">
        <v>0.97799999999999998</v>
      </c>
      <c r="B984" s="20">
        <v>0</v>
      </c>
      <c r="C984" s="20">
        <v>0.1159</v>
      </c>
      <c r="D984" s="20">
        <v>0.2263</v>
      </c>
      <c r="E984" s="20">
        <v>0.33139999999999997</v>
      </c>
      <c r="F984" s="20">
        <v>0.43149999999999999</v>
      </c>
      <c r="G984" s="20">
        <v>0.52700000000000002</v>
      </c>
      <c r="H984" s="20">
        <v>0.61819999999999997</v>
      </c>
      <c r="I984" s="20">
        <v>0.70520000000000005</v>
      </c>
      <c r="J984" s="20">
        <v>0.78839999999999999</v>
      </c>
      <c r="K984" s="20">
        <v>0.8679</v>
      </c>
      <c r="L984" s="20">
        <v>0.94399999999999995</v>
      </c>
      <c r="M984" s="20">
        <v>1.0168999999999999</v>
      </c>
      <c r="N984" s="20">
        <v>1.0868</v>
      </c>
      <c r="O984" s="20">
        <v>1.1536999999999999</v>
      </c>
      <c r="P984" s="20">
        <v>1.218</v>
      </c>
      <c r="Q984" s="20">
        <v>1.2798</v>
      </c>
      <c r="R984" s="20">
        <v>1.3391</v>
      </c>
      <c r="S984" s="20">
        <v>1.3962000000000001</v>
      </c>
      <c r="T984" s="20">
        <v>1.4511000000000001</v>
      </c>
      <c r="U984" s="20">
        <v>1.504</v>
      </c>
      <c r="V984" s="20">
        <v>1.5548999999999999</v>
      </c>
      <c r="W984"/>
      <c r="X984"/>
      <c r="Y984"/>
      <c r="Z984"/>
    </row>
    <row r="985" spans="1:26" x14ac:dyDescent="0.2">
      <c r="A985" s="19">
        <v>0.97899999999999998</v>
      </c>
      <c r="B985" s="20">
        <v>0</v>
      </c>
      <c r="C985" s="20">
        <v>0.11600000000000001</v>
      </c>
      <c r="D985" s="20">
        <v>0.2263</v>
      </c>
      <c r="E985" s="20">
        <v>0.33150000000000002</v>
      </c>
      <c r="F985" s="20">
        <v>0.43159999999999998</v>
      </c>
      <c r="G985" s="20">
        <v>0.5272</v>
      </c>
      <c r="H985" s="20">
        <v>0.61829999999999996</v>
      </c>
      <c r="I985" s="20">
        <v>0.70540000000000003</v>
      </c>
      <c r="J985" s="20">
        <v>0.78849999999999998</v>
      </c>
      <c r="K985" s="20">
        <v>0.86809999999999998</v>
      </c>
      <c r="L985" s="20">
        <v>0.94420000000000004</v>
      </c>
      <c r="M985" s="20">
        <v>1.0170999999999999</v>
      </c>
      <c r="N985" s="20">
        <v>1.087</v>
      </c>
      <c r="O985" s="20">
        <v>1.1539999999999999</v>
      </c>
      <c r="P985" s="20">
        <v>1.2182999999999999</v>
      </c>
      <c r="Q985" s="20">
        <v>1.28</v>
      </c>
      <c r="R985" s="20">
        <v>1.3393999999999999</v>
      </c>
      <c r="S985" s="20">
        <v>1.3965000000000001</v>
      </c>
      <c r="T985" s="20">
        <v>1.4514</v>
      </c>
      <c r="U985" s="20">
        <v>1.5042</v>
      </c>
      <c r="V985" s="20">
        <v>1.5551999999999999</v>
      </c>
      <c r="W985"/>
      <c r="X985"/>
      <c r="Y985"/>
      <c r="Z985"/>
    </row>
    <row r="986" spans="1:26" x14ac:dyDescent="0.2">
      <c r="A986" s="19">
        <v>0.98</v>
      </c>
      <c r="B986" s="20">
        <v>0</v>
      </c>
      <c r="C986" s="20">
        <v>0.11600000000000001</v>
      </c>
      <c r="D986" s="20">
        <v>0.22639999999999999</v>
      </c>
      <c r="E986" s="20">
        <v>0.33150000000000002</v>
      </c>
      <c r="F986" s="20">
        <v>0.43169999999999997</v>
      </c>
      <c r="G986" s="20">
        <v>0.52729999999999999</v>
      </c>
      <c r="H986" s="20">
        <v>0.61839999999999995</v>
      </c>
      <c r="I986" s="20">
        <v>0.70550000000000002</v>
      </c>
      <c r="J986" s="20">
        <v>0.78869999999999996</v>
      </c>
      <c r="K986" s="20">
        <v>0.86829999999999996</v>
      </c>
      <c r="L986" s="20">
        <v>0.94440000000000002</v>
      </c>
      <c r="M986" s="20">
        <v>1.0173000000000001</v>
      </c>
      <c r="N986" s="20">
        <v>1.0871999999999999</v>
      </c>
      <c r="O986" s="20">
        <v>1.1541999999999999</v>
      </c>
      <c r="P986" s="20">
        <v>1.2184999999999999</v>
      </c>
      <c r="Q986" s="20">
        <v>1.2803</v>
      </c>
      <c r="R986" s="20">
        <v>1.3395999999999999</v>
      </c>
      <c r="S986" s="20">
        <v>1.3967000000000001</v>
      </c>
      <c r="T986" s="20">
        <v>1.4516</v>
      </c>
      <c r="U986" s="20">
        <v>1.5044999999999999</v>
      </c>
      <c r="V986" s="20">
        <v>1.5553999999999999</v>
      </c>
      <c r="W986"/>
      <c r="X986"/>
      <c r="Y986"/>
      <c r="Z986"/>
    </row>
    <row r="987" spans="1:26" x14ac:dyDescent="0.2">
      <c r="A987" s="19">
        <v>0.98099999999999998</v>
      </c>
      <c r="B987" s="20">
        <v>0</v>
      </c>
      <c r="C987" s="20">
        <v>0.11600000000000001</v>
      </c>
      <c r="D987" s="20">
        <v>0.22639999999999999</v>
      </c>
      <c r="E987" s="20">
        <v>0.33160000000000001</v>
      </c>
      <c r="F987" s="20">
        <v>0.43180000000000002</v>
      </c>
      <c r="G987" s="20">
        <v>0.52739999999999998</v>
      </c>
      <c r="H987" s="20">
        <v>0.61860000000000004</v>
      </c>
      <c r="I987" s="20">
        <v>0.70569999999999999</v>
      </c>
      <c r="J987" s="20">
        <v>0.78890000000000005</v>
      </c>
      <c r="K987" s="20">
        <v>0.86850000000000005</v>
      </c>
      <c r="L987" s="20">
        <v>0.9446</v>
      </c>
      <c r="M987" s="20">
        <v>1.0175000000000001</v>
      </c>
      <c r="N987" s="20">
        <v>1.0873999999999999</v>
      </c>
      <c r="O987" s="20">
        <v>1.1544000000000001</v>
      </c>
      <c r="P987" s="20">
        <v>1.2188000000000001</v>
      </c>
      <c r="Q987" s="20">
        <v>1.2805</v>
      </c>
      <c r="R987" s="20">
        <v>1.3399000000000001</v>
      </c>
      <c r="S987" s="20">
        <v>1.397</v>
      </c>
      <c r="T987" s="20">
        <v>1.4519</v>
      </c>
      <c r="U987" s="20">
        <v>1.5046999999999999</v>
      </c>
      <c r="V987" s="20">
        <v>1.5557000000000001</v>
      </c>
      <c r="W987"/>
      <c r="X987"/>
      <c r="Y987"/>
      <c r="Z987"/>
    </row>
    <row r="988" spans="1:26" x14ac:dyDescent="0.2">
      <c r="A988" s="19">
        <v>0.98199999999999998</v>
      </c>
      <c r="B988" s="20">
        <v>0</v>
      </c>
      <c r="C988" s="20">
        <v>0.11600000000000001</v>
      </c>
      <c r="D988" s="20">
        <v>0.22650000000000001</v>
      </c>
      <c r="E988" s="20">
        <v>0.33169999999999999</v>
      </c>
      <c r="F988" s="20">
        <v>0.43190000000000001</v>
      </c>
      <c r="G988" s="20">
        <v>0.52749999999999997</v>
      </c>
      <c r="H988" s="20">
        <v>0.61870000000000003</v>
      </c>
      <c r="I988" s="20">
        <v>0.70579999999999998</v>
      </c>
      <c r="J988" s="20">
        <v>0.78910000000000002</v>
      </c>
      <c r="K988" s="20">
        <v>0.86860000000000004</v>
      </c>
      <c r="L988" s="20">
        <v>0.94479999999999997</v>
      </c>
      <c r="M988" s="20">
        <v>1.0177</v>
      </c>
      <c r="N988" s="20">
        <v>1.0875999999999999</v>
      </c>
      <c r="O988" s="20">
        <v>1.1547000000000001</v>
      </c>
      <c r="P988" s="20">
        <v>1.2190000000000001</v>
      </c>
      <c r="Q988" s="20">
        <v>1.2807999999999999</v>
      </c>
      <c r="R988" s="20">
        <v>1.3401000000000001</v>
      </c>
      <c r="S988" s="20">
        <v>1.3972</v>
      </c>
      <c r="T988" s="20">
        <v>1.4520999999999999</v>
      </c>
      <c r="U988" s="20">
        <v>1.5049999999999999</v>
      </c>
      <c r="V988" s="20">
        <v>1.5559000000000001</v>
      </c>
      <c r="W988"/>
      <c r="X988"/>
      <c r="Y988"/>
      <c r="Z988"/>
    </row>
    <row r="989" spans="1:26" x14ac:dyDescent="0.2">
      <c r="A989" s="19">
        <v>0.98299999999999998</v>
      </c>
      <c r="B989" s="20">
        <v>0</v>
      </c>
      <c r="C989" s="20">
        <v>0.11609999999999999</v>
      </c>
      <c r="D989" s="20">
        <v>0.22650000000000001</v>
      </c>
      <c r="E989" s="20">
        <v>0.33179999999999998</v>
      </c>
      <c r="F989" s="20">
        <v>0.432</v>
      </c>
      <c r="G989" s="20">
        <v>0.52759999999999996</v>
      </c>
      <c r="H989" s="20">
        <v>0.61890000000000001</v>
      </c>
      <c r="I989" s="20">
        <v>0.70599999999999996</v>
      </c>
      <c r="J989" s="20">
        <v>0.78920000000000001</v>
      </c>
      <c r="K989" s="20">
        <v>0.86880000000000002</v>
      </c>
      <c r="L989" s="20">
        <v>0.94499999999999995</v>
      </c>
      <c r="M989" s="20">
        <v>1.018</v>
      </c>
      <c r="N989" s="20">
        <v>1.0879000000000001</v>
      </c>
      <c r="O989" s="20">
        <v>1.1549</v>
      </c>
      <c r="P989" s="20">
        <v>1.2192000000000001</v>
      </c>
      <c r="Q989" s="20">
        <v>1.2809999999999999</v>
      </c>
      <c r="R989" s="20">
        <v>1.3404</v>
      </c>
      <c r="S989" s="20">
        <v>1.3975</v>
      </c>
      <c r="T989" s="20">
        <v>1.4523999999999999</v>
      </c>
      <c r="U989" s="20">
        <v>1.5053000000000001</v>
      </c>
      <c r="V989" s="20">
        <v>1.5562</v>
      </c>
      <c r="W989"/>
      <c r="X989"/>
      <c r="Y989"/>
      <c r="Z989"/>
    </row>
    <row r="990" spans="1:26" x14ac:dyDescent="0.2">
      <c r="A990" s="19">
        <v>0.98399999999999999</v>
      </c>
      <c r="B990" s="20">
        <v>0</v>
      </c>
      <c r="C990" s="20">
        <v>0.11609999999999999</v>
      </c>
      <c r="D990" s="20">
        <v>0.2266</v>
      </c>
      <c r="E990" s="20">
        <v>0.33179999999999998</v>
      </c>
      <c r="F990" s="20">
        <v>0.43209999999999998</v>
      </c>
      <c r="G990" s="20">
        <v>0.52769999999999995</v>
      </c>
      <c r="H990" s="20">
        <v>0.61899999999999999</v>
      </c>
      <c r="I990" s="20">
        <v>0.70609999999999995</v>
      </c>
      <c r="J990" s="20">
        <v>0.78939999999999999</v>
      </c>
      <c r="K990" s="20">
        <v>0.86899999999999999</v>
      </c>
      <c r="L990" s="20">
        <v>0.94520000000000004</v>
      </c>
      <c r="M990" s="20">
        <v>1.0182</v>
      </c>
      <c r="N990" s="20">
        <v>1.0881000000000001</v>
      </c>
      <c r="O990" s="20">
        <v>1.1551</v>
      </c>
      <c r="P990" s="20">
        <v>1.2195</v>
      </c>
      <c r="Q990" s="20">
        <v>1.2813000000000001</v>
      </c>
      <c r="R990" s="20">
        <v>1.3406</v>
      </c>
      <c r="S990" s="20">
        <v>1.3976999999999999</v>
      </c>
      <c r="T990" s="20">
        <v>1.4527000000000001</v>
      </c>
      <c r="U990" s="20">
        <v>1.5055000000000001</v>
      </c>
      <c r="V990" s="20">
        <v>1.5565</v>
      </c>
      <c r="W990"/>
      <c r="X990"/>
      <c r="Y990"/>
      <c r="Z990"/>
    </row>
    <row r="991" spans="1:26" x14ac:dyDescent="0.2">
      <c r="A991" s="19">
        <v>0.98499999999999999</v>
      </c>
      <c r="B991" s="20">
        <v>0</v>
      </c>
      <c r="C991" s="20">
        <v>0.11609999999999999</v>
      </c>
      <c r="D991" s="20">
        <v>0.2266</v>
      </c>
      <c r="E991" s="20">
        <v>0.33189999999999997</v>
      </c>
      <c r="F991" s="20">
        <v>0.43219999999999997</v>
      </c>
      <c r="G991" s="20">
        <v>0.52790000000000004</v>
      </c>
      <c r="H991" s="20">
        <v>0.61909999999999998</v>
      </c>
      <c r="I991" s="20">
        <v>0.70630000000000004</v>
      </c>
      <c r="J991" s="20">
        <v>0.78959999999999997</v>
      </c>
      <c r="K991" s="20">
        <v>0.86919999999999997</v>
      </c>
      <c r="L991" s="20">
        <v>0.94540000000000002</v>
      </c>
      <c r="M991" s="20">
        <v>1.0184</v>
      </c>
      <c r="N991" s="20">
        <v>1.0883</v>
      </c>
      <c r="O991" s="20">
        <v>1.1554</v>
      </c>
      <c r="P991" s="20">
        <v>1.2197</v>
      </c>
      <c r="Q991" s="20">
        <v>1.2815000000000001</v>
      </c>
      <c r="R991" s="20">
        <v>1.3409</v>
      </c>
      <c r="S991" s="20">
        <v>1.3979999999999999</v>
      </c>
      <c r="T991" s="20">
        <v>1.4529000000000001</v>
      </c>
      <c r="U991" s="20">
        <v>1.5058</v>
      </c>
      <c r="V991" s="20">
        <v>1.5567</v>
      </c>
      <c r="W991"/>
      <c r="X991"/>
      <c r="Y991"/>
      <c r="Z991"/>
    </row>
    <row r="992" spans="1:26" x14ac:dyDescent="0.2">
      <c r="A992" s="19">
        <v>0.98599999999999999</v>
      </c>
      <c r="B992" s="20">
        <v>0</v>
      </c>
      <c r="C992" s="20">
        <v>0.1162</v>
      </c>
      <c r="D992" s="20">
        <v>0.22670000000000001</v>
      </c>
      <c r="E992" s="20">
        <v>0.33200000000000002</v>
      </c>
      <c r="F992" s="20">
        <v>0.43230000000000002</v>
      </c>
      <c r="G992" s="20">
        <v>0.52800000000000002</v>
      </c>
      <c r="H992" s="20">
        <v>0.61929999999999996</v>
      </c>
      <c r="I992" s="20">
        <v>0.70640000000000003</v>
      </c>
      <c r="J992" s="20">
        <v>0.78969999999999996</v>
      </c>
      <c r="K992" s="20">
        <v>0.86939999999999995</v>
      </c>
      <c r="L992" s="20">
        <v>0.9456</v>
      </c>
      <c r="M992" s="20">
        <v>1.0185999999999999</v>
      </c>
      <c r="N992" s="20">
        <v>1.0885</v>
      </c>
      <c r="O992" s="20">
        <v>1.1556</v>
      </c>
      <c r="P992" s="20">
        <v>1.22</v>
      </c>
      <c r="Q992" s="20">
        <v>1.2818000000000001</v>
      </c>
      <c r="R992" s="20">
        <v>1.3411</v>
      </c>
      <c r="S992" s="20">
        <v>1.3982000000000001</v>
      </c>
      <c r="T992" s="20">
        <v>1.4532</v>
      </c>
      <c r="U992" s="20">
        <v>1.506</v>
      </c>
      <c r="V992" s="20">
        <v>1.5569999999999999</v>
      </c>
      <c r="W992"/>
      <c r="X992"/>
      <c r="Y992"/>
      <c r="Z992"/>
    </row>
    <row r="993" spans="1:26" x14ac:dyDescent="0.2">
      <c r="A993" s="19">
        <v>0.98699999999999999</v>
      </c>
      <c r="B993" s="20">
        <v>0</v>
      </c>
      <c r="C993" s="20">
        <v>0.1162</v>
      </c>
      <c r="D993" s="20">
        <v>0.2268</v>
      </c>
      <c r="E993" s="20">
        <v>0.33210000000000001</v>
      </c>
      <c r="F993" s="20">
        <v>0.43240000000000001</v>
      </c>
      <c r="G993" s="20">
        <v>0.52810000000000001</v>
      </c>
      <c r="H993" s="20">
        <v>0.61939999999999995</v>
      </c>
      <c r="I993" s="20">
        <v>0.70660000000000001</v>
      </c>
      <c r="J993" s="20">
        <v>0.78990000000000005</v>
      </c>
      <c r="K993" s="20">
        <v>0.86960000000000004</v>
      </c>
      <c r="L993" s="20">
        <v>0.94579999999999997</v>
      </c>
      <c r="M993" s="20">
        <v>1.0187999999999999</v>
      </c>
      <c r="N993" s="20">
        <v>1.0888</v>
      </c>
      <c r="O993" s="20">
        <v>1.1557999999999999</v>
      </c>
      <c r="P993" s="20">
        <v>1.2202</v>
      </c>
      <c r="Q993" s="20">
        <v>1.282</v>
      </c>
      <c r="R993" s="20">
        <v>1.3413999999999999</v>
      </c>
      <c r="S993" s="20">
        <v>1.3985000000000001</v>
      </c>
      <c r="T993" s="20">
        <v>1.4534</v>
      </c>
      <c r="U993" s="20">
        <v>1.5063</v>
      </c>
      <c r="V993" s="20">
        <v>1.5571999999999999</v>
      </c>
      <c r="W993"/>
      <c r="X993"/>
      <c r="Y993"/>
      <c r="Z993"/>
    </row>
    <row r="994" spans="1:26" x14ac:dyDescent="0.2">
      <c r="A994" s="19">
        <v>0.98799999999999999</v>
      </c>
      <c r="B994" s="20">
        <v>0</v>
      </c>
      <c r="C994" s="20">
        <v>0.1162</v>
      </c>
      <c r="D994" s="20">
        <v>0.2268</v>
      </c>
      <c r="E994" s="20">
        <v>0.33210000000000001</v>
      </c>
      <c r="F994" s="20">
        <v>0.4325</v>
      </c>
      <c r="G994" s="20">
        <v>0.5282</v>
      </c>
      <c r="H994" s="20">
        <v>0.61950000000000005</v>
      </c>
      <c r="I994" s="20">
        <v>0.70679999999999998</v>
      </c>
      <c r="J994" s="20">
        <v>0.79010000000000002</v>
      </c>
      <c r="K994" s="20">
        <v>0.86980000000000002</v>
      </c>
      <c r="L994" s="20">
        <v>0.94599999999999995</v>
      </c>
      <c r="M994" s="20">
        <v>1.0189999999999999</v>
      </c>
      <c r="N994" s="20">
        <v>1.089</v>
      </c>
      <c r="O994" s="20">
        <v>1.1560999999999999</v>
      </c>
      <c r="P994" s="20">
        <v>1.2203999999999999</v>
      </c>
      <c r="Q994" s="20">
        <v>1.2823</v>
      </c>
      <c r="R994" s="20">
        <v>1.3415999999999999</v>
      </c>
      <c r="S994" s="20">
        <v>1.3987000000000001</v>
      </c>
      <c r="T994" s="20">
        <v>1.4537</v>
      </c>
      <c r="U994" s="20">
        <v>1.5065999999999999</v>
      </c>
      <c r="V994" s="20">
        <v>1.5575000000000001</v>
      </c>
      <c r="W994"/>
      <c r="X994"/>
      <c r="Y994"/>
      <c r="Z994"/>
    </row>
    <row r="995" spans="1:26" x14ac:dyDescent="0.2">
      <c r="A995" s="19">
        <v>0.98899999999999999</v>
      </c>
      <c r="B995" s="20">
        <v>0</v>
      </c>
      <c r="C995" s="20">
        <v>0.1162</v>
      </c>
      <c r="D995" s="20">
        <v>0.22689999999999999</v>
      </c>
      <c r="E995" s="20">
        <v>0.3322</v>
      </c>
      <c r="F995" s="20">
        <v>0.43259999999999998</v>
      </c>
      <c r="G995" s="20">
        <v>0.52829999999999999</v>
      </c>
      <c r="H995" s="20">
        <v>0.61970000000000003</v>
      </c>
      <c r="I995" s="20">
        <v>0.70689999999999997</v>
      </c>
      <c r="J995" s="20">
        <v>0.7903</v>
      </c>
      <c r="K995" s="20">
        <v>0.86990000000000001</v>
      </c>
      <c r="L995" s="20">
        <v>0.94620000000000004</v>
      </c>
      <c r="M995" s="20">
        <v>1.0192000000000001</v>
      </c>
      <c r="N995" s="20">
        <v>1.0891999999999999</v>
      </c>
      <c r="O995" s="20">
        <v>1.1563000000000001</v>
      </c>
      <c r="P995" s="20">
        <v>1.2206999999999999</v>
      </c>
      <c r="Q995" s="20">
        <v>1.2825</v>
      </c>
      <c r="R995" s="20">
        <v>1.3419000000000001</v>
      </c>
      <c r="S995" s="20">
        <v>1.399</v>
      </c>
      <c r="T995" s="20">
        <v>1.4539</v>
      </c>
      <c r="U995" s="20">
        <v>1.5067999999999999</v>
      </c>
      <c r="V995" s="20">
        <v>1.5577000000000001</v>
      </c>
      <c r="W995"/>
      <c r="X995"/>
      <c r="Y995"/>
      <c r="Z995"/>
    </row>
    <row r="996" spans="1:26" x14ac:dyDescent="0.2">
      <c r="A996" s="19">
        <v>0.99</v>
      </c>
      <c r="B996" s="20">
        <v>0</v>
      </c>
      <c r="C996" s="20">
        <v>0.1163</v>
      </c>
      <c r="D996" s="20">
        <v>0.22689999999999999</v>
      </c>
      <c r="E996" s="20">
        <v>0.33229999999999998</v>
      </c>
      <c r="F996" s="20">
        <v>0.43269999999999997</v>
      </c>
      <c r="G996" s="20">
        <v>0.52839999999999998</v>
      </c>
      <c r="H996" s="20">
        <v>0.61980000000000002</v>
      </c>
      <c r="I996" s="20">
        <v>0.70709999999999995</v>
      </c>
      <c r="J996" s="20">
        <v>0.79039999999999999</v>
      </c>
      <c r="K996" s="20">
        <v>0.87009999999999998</v>
      </c>
      <c r="L996" s="20">
        <v>0.94640000000000002</v>
      </c>
      <c r="M996" s="20">
        <v>1.0194000000000001</v>
      </c>
      <c r="N996" s="20">
        <v>1.0893999999999999</v>
      </c>
      <c r="O996" s="20">
        <v>1.1565000000000001</v>
      </c>
      <c r="P996" s="20">
        <v>1.2209000000000001</v>
      </c>
      <c r="Q996" s="20">
        <v>1.2827</v>
      </c>
      <c r="R996" s="20">
        <v>1.3421000000000001</v>
      </c>
      <c r="S996" s="20">
        <v>1.3993</v>
      </c>
      <c r="T996" s="20">
        <v>1.4541999999999999</v>
      </c>
      <c r="U996" s="20">
        <v>1.5071000000000001</v>
      </c>
      <c r="V996" s="20">
        <v>1.5580000000000001</v>
      </c>
      <c r="W996"/>
      <c r="X996"/>
      <c r="Y996"/>
      <c r="Z996"/>
    </row>
    <row r="997" spans="1:26" x14ac:dyDescent="0.2">
      <c r="A997" s="19">
        <v>0.99099999999999999</v>
      </c>
      <c r="B997" s="20">
        <v>0</v>
      </c>
      <c r="C997" s="20">
        <v>0.1163</v>
      </c>
      <c r="D997" s="20">
        <v>0.22700000000000001</v>
      </c>
      <c r="E997" s="20">
        <v>0.33239999999999997</v>
      </c>
      <c r="F997" s="20">
        <v>0.43280000000000002</v>
      </c>
      <c r="G997" s="20">
        <v>0.52859999999999996</v>
      </c>
      <c r="H997" s="20">
        <v>0.62</v>
      </c>
      <c r="I997" s="20">
        <v>0.70720000000000005</v>
      </c>
      <c r="J997" s="20">
        <v>0.79059999999999997</v>
      </c>
      <c r="K997" s="20">
        <v>0.87029999999999996</v>
      </c>
      <c r="L997" s="20">
        <v>0.9466</v>
      </c>
      <c r="M997" s="20">
        <v>1.0196000000000001</v>
      </c>
      <c r="N997" s="20">
        <v>1.0895999999999999</v>
      </c>
      <c r="O997" s="20">
        <v>1.1568000000000001</v>
      </c>
      <c r="P997" s="20">
        <v>1.2211000000000001</v>
      </c>
      <c r="Q997" s="20">
        <v>1.2829999999999999</v>
      </c>
      <c r="R997" s="20">
        <v>1.3424</v>
      </c>
      <c r="S997" s="20">
        <v>1.3995</v>
      </c>
      <c r="T997" s="20">
        <v>1.4543999999999999</v>
      </c>
      <c r="U997" s="20">
        <v>1.5073000000000001</v>
      </c>
      <c r="V997" s="20">
        <v>1.5583</v>
      </c>
      <c r="W997"/>
      <c r="X997"/>
      <c r="Y997"/>
      <c r="Z997"/>
    </row>
    <row r="998" spans="1:26" x14ac:dyDescent="0.2">
      <c r="A998" s="19">
        <v>0.99199999999999999</v>
      </c>
      <c r="B998" s="20">
        <v>0</v>
      </c>
      <c r="C998" s="20">
        <v>0.1163</v>
      </c>
      <c r="D998" s="20">
        <v>0.22700000000000001</v>
      </c>
      <c r="E998" s="20">
        <v>0.33239999999999997</v>
      </c>
      <c r="F998" s="20">
        <v>0.43290000000000001</v>
      </c>
      <c r="G998" s="20">
        <v>0.52869999999999995</v>
      </c>
      <c r="H998" s="20">
        <v>0.62009999999999998</v>
      </c>
      <c r="I998" s="20">
        <v>0.70740000000000003</v>
      </c>
      <c r="J998" s="20">
        <v>0.79079999999999995</v>
      </c>
      <c r="K998" s="20">
        <v>0.87050000000000005</v>
      </c>
      <c r="L998" s="20">
        <v>0.94679999999999997</v>
      </c>
      <c r="M998" s="20">
        <v>1.0199</v>
      </c>
      <c r="N998" s="20">
        <v>1.0899000000000001</v>
      </c>
      <c r="O998" s="20">
        <v>1.157</v>
      </c>
      <c r="P998" s="20">
        <v>1.2214</v>
      </c>
      <c r="Q998" s="20">
        <v>1.2831999999999999</v>
      </c>
      <c r="R998" s="20">
        <v>1.3426</v>
      </c>
      <c r="S998" s="20">
        <v>1.3997999999999999</v>
      </c>
      <c r="T998" s="20">
        <v>1.4547000000000001</v>
      </c>
      <c r="U998" s="20">
        <v>1.5076000000000001</v>
      </c>
      <c r="V998" s="20">
        <v>1.5585</v>
      </c>
      <c r="W998"/>
      <c r="X998"/>
      <c r="Y998"/>
      <c r="Z998"/>
    </row>
    <row r="999" spans="1:26" x14ac:dyDescent="0.2">
      <c r="A999" s="19">
        <v>0.99299999999999999</v>
      </c>
      <c r="B999" s="20">
        <v>0</v>
      </c>
      <c r="C999" s="20">
        <v>0.1163</v>
      </c>
      <c r="D999" s="20">
        <v>0.2271</v>
      </c>
      <c r="E999" s="20">
        <v>0.33250000000000002</v>
      </c>
      <c r="F999" s="20">
        <v>0.433</v>
      </c>
      <c r="G999" s="20">
        <v>0.52880000000000005</v>
      </c>
      <c r="H999" s="20">
        <v>0.62019999999999997</v>
      </c>
      <c r="I999" s="20">
        <v>0.70750000000000002</v>
      </c>
      <c r="J999" s="20">
        <v>0.79090000000000005</v>
      </c>
      <c r="K999" s="20">
        <v>0.87070000000000003</v>
      </c>
      <c r="L999" s="20">
        <v>0.94699999999999995</v>
      </c>
      <c r="M999" s="20">
        <v>1.0201</v>
      </c>
      <c r="N999" s="20">
        <v>1.0901000000000001</v>
      </c>
      <c r="O999" s="20">
        <v>1.1572</v>
      </c>
      <c r="P999" s="20">
        <v>1.2216</v>
      </c>
      <c r="Q999" s="20">
        <v>1.2835000000000001</v>
      </c>
      <c r="R999" s="20">
        <v>1.3429</v>
      </c>
      <c r="S999" s="20">
        <v>1.4</v>
      </c>
      <c r="T999" s="20">
        <v>1.4550000000000001</v>
      </c>
      <c r="U999" s="20">
        <v>1.5078</v>
      </c>
      <c r="V999" s="20">
        <v>1.5588</v>
      </c>
      <c r="W999"/>
      <c r="X999"/>
      <c r="Y999"/>
      <c r="Z999"/>
    </row>
    <row r="1000" spans="1:26" x14ac:dyDescent="0.2">
      <c r="A1000" s="19">
        <v>0.99399999999999999</v>
      </c>
      <c r="B1000" s="20">
        <v>0</v>
      </c>
      <c r="C1000" s="20">
        <v>0.1164</v>
      </c>
      <c r="D1000" s="20">
        <v>0.2271</v>
      </c>
      <c r="E1000" s="20">
        <v>0.33260000000000001</v>
      </c>
      <c r="F1000" s="20">
        <v>0.43309999999999998</v>
      </c>
      <c r="G1000" s="20">
        <v>0.52890000000000004</v>
      </c>
      <c r="H1000" s="20">
        <v>0.62039999999999995</v>
      </c>
      <c r="I1000" s="20">
        <v>0.7077</v>
      </c>
      <c r="J1000" s="20">
        <v>0.79110000000000003</v>
      </c>
      <c r="K1000" s="20">
        <v>0.87090000000000001</v>
      </c>
      <c r="L1000" s="20">
        <v>0.94720000000000004</v>
      </c>
      <c r="M1000" s="20">
        <v>1.0203</v>
      </c>
      <c r="N1000" s="20">
        <v>1.0903</v>
      </c>
      <c r="O1000" s="20">
        <v>1.1574</v>
      </c>
      <c r="P1000" s="20">
        <v>1.2219</v>
      </c>
      <c r="Q1000" s="20">
        <v>1.2837000000000001</v>
      </c>
      <c r="R1000" s="20">
        <v>1.3431</v>
      </c>
      <c r="S1000" s="20">
        <v>1.4003000000000001</v>
      </c>
      <c r="T1000" s="20">
        <v>1.4552</v>
      </c>
      <c r="U1000" s="20">
        <v>1.5081</v>
      </c>
      <c r="V1000" s="20">
        <v>1.5589999999999999</v>
      </c>
      <c r="W1000"/>
      <c r="X1000"/>
      <c r="Y1000"/>
      <c r="Z1000"/>
    </row>
    <row r="1001" spans="1:26" x14ac:dyDescent="0.2">
      <c r="A1001" s="19">
        <v>0.995</v>
      </c>
      <c r="B1001" s="20">
        <v>0</v>
      </c>
      <c r="C1001" s="20">
        <v>0.1164</v>
      </c>
      <c r="D1001" s="20">
        <v>0.22720000000000001</v>
      </c>
      <c r="E1001" s="20">
        <v>0.3327</v>
      </c>
      <c r="F1001" s="20">
        <v>0.43319999999999997</v>
      </c>
      <c r="G1001" s="20">
        <v>0.52900000000000003</v>
      </c>
      <c r="H1001" s="20">
        <v>0.62050000000000005</v>
      </c>
      <c r="I1001" s="20">
        <v>0.70779999999999998</v>
      </c>
      <c r="J1001" s="20">
        <v>0.7913</v>
      </c>
      <c r="K1001" s="20">
        <v>0.87109999999999999</v>
      </c>
      <c r="L1001" s="20">
        <v>0.94740000000000002</v>
      </c>
      <c r="M1001" s="20">
        <v>1.0205</v>
      </c>
      <c r="N1001" s="20">
        <v>1.0905</v>
      </c>
      <c r="O1001" s="20">
        <v>1.1577</v>
      </c>
      <c r="P1001" s="20">
        <v>1.2221</v>
      </c>
      <c r="Q1001" s="20">
        <v>1.2839</v>
      </c>
      <c r="R1001" s="20">
        <v>1.3433999999999999</v>
      </c>
      <c r="S1001" s="20">
        <v>1.4005000000000001</v>
      </c>
      <c r="T1001" s="20">
        <v>1.4555</v>
      </c>
      <c r="U1001" s="20">
        <v>1.5084</v>
      </c>
      <c r="V1001" s="20">
        <v>1.5592999999999999</v>
      </c>
      <c r="W1001"/>
      <c r="X1001"/>
      <c r="Y1001"/>
      <c r="Z1001"/>
    </row>
    <row r="1002" spans="1:26" x14ac:dyDescent="0.2">
      <c r="A1002" s="19">
        <v>0.996</v>
      </c>
      <c r="B1002" s="20">
        <v>0</v>
      </c>
      <c r="C1002" s="20">
        <v>0.1164</v>
      </c>
      <c r="D1002" s="20">
        <v>0.22720000000000001</v>
      </c>
      <c r="E1002" s="20">
        <v>0.3327</v>
      </c>
      <c r="F1002" s="20">
        <v>0.43330000000000002</v>
      </c>
      <c r="G1002" s="20">
        <v>0.52910000000000001</v>
      </c>
      <c r="H1002" s="20">
        <v>0.62060000000000004</v>
      </c>
      <c r="I1002" s="20">
        <v>0.70799999999999996</v>
      </c>
      <c r="J1002" s="20">
        <v>0.79139999999999999</v>
      </c>
      <c r="K1002" s="20">
        <v>0.87119999999999997</v>
      </c>
      <c r="L1002" s="20">
        <v>0.9476</v>
      </c>
      <c r="M1002" s="20">
        <v>1.0206999999999999</v>
      </c>
      <c r="N1002" s="20">
        <v>1.0907</v>
      </c>
      <c r="O1002" s="20">
        <v>1.1578999999999999</v>
      </c>
      <c r="P1002" s="20">
        <v>1.2222999999999999</v>
      </c>
      <c r="Q1002" s="20">
        <v>1.2842</v>
      </c>
      <c r="R1002" s="20">
        <v>1.3435999999999999</v>
      </c>
      <c r="S1002" s="20">
        <v>1.4008</v>
      </c>
      <c r="T1002" s="20">
        <v>1.4557</v>
      </c>
      <c r="U1002" s="20">
        <v>1.5085999999999999</v>
      </c>
      <c r="V1002" s="20">
        <v>1.5595000000000001</v>
      </c>
      <c r="W1002"/>
      <c r="X1002"/>
      <c r="Y1002"/>
      <c r="Z1002"/>
    </row>
    <row r="1003" spans="1:26" x14ac:dyDescent="0.2">
      <c r="A1003" s="19">
        <v>0.997</v>
      </c>
      <c r="B1003" s="20">
        <v>0</v>
      </c>
      <c r="C1003" s="20">
        <v>0.1164</v>
      </c>
      <c r="D1003" s="20">
        <v>0.2273</v>
      </c>
      <c r="E1003" s="20">
        <v>0.33279999999999998</v>
      </c>
      <c r="F1003" s="20">
        <v>0.43340000000000001</v>
      </c>
      <c r="G1003" s="20">
        <v>0.52929999999999999</v>
      </c>
      <c r="H1003" s="20">
        <v>0.62080000000000002</v>
      </c>
      <c r="I1003" s="20">
        <v>0.70809999999999995</v>
      </c>
      <c r="J1003" s="20">
        <v>0.79159999999999997</v>
      </c>
      <c r="K1003" s="20">
        <v>0.87139999999999995</v>
      </c>
      <c r="L1003" s="20">
        <v>0.94779999999999998</v>
      </c>
      <c r="M1003" s="20">
        <v>1.0208999999999999</v>
      </c>
      <c r="N1003" s="20">
        <v>1.0909</v>
      </c>
      <c r="O1003" s="20">
        <v>1.1580999999999999</v>
      </c>
      <c r="P1003" s="20">
        <v>1.2225999999999999</v>
      </c>
      <c r="Q1003" s="20">
        <v>1.2844</v>
      </c>
      <c r="R1003" s="20">
        <v>1.3439000000000001</v>
      </c>
      <c r="S1003" s="20">
        <v>1.401</v>
      </c>
      <c r="T1003" s="20">
        <v>1.456</v>
      </c>
      <c r="U1003" s="20">
        <v>1.5088999999999999</v>
      </c>
      <c r="V1003" s="20">
        <v>1.5598000000000001</v>
      </c>
      <c r="W1003"/>
      <c r="X1003"/>
      <c r="Y1003"/>
      <c r="Z1003"/>
    </row>
    <row r="1004" spans="1:26" x14ac:dyDescent="0.2">
      <c r="A1004" s="19">
        <v>0.998</v>
      </c>
      <c r="B1004" s="20">
        <v>0</v>
      </c>
      <c r="C1004" s="20">
        <v>0.11650000000000001</v>
      </c>
      <c r="D1004" s="20">
        <v>0.2273</v>
      </c>
      <c r="E1004" s="20">
        <v>0.33289999999999997</v>
      </c>
      <c r="F1004" s="20">
        <v>0.4335</v>
      </c>
      <c r="G1004" s="20">
        <v>0.52939999999999998</v>
      </c>
      <c r="H1004" s="20">
        <v>0.62090000000000001</v>
      </c>
      <c r="I1004" s="20">
        <v>0.70830000000000004</v>
      </c>
      <c r="J1004" s="20">
        <v>0.79179999999999995</v>
      </c>
      <c r="K1004" s="20">
        <v>0.87160000000000004</v>
      </c>
      <c r="L1004" s="20">
        <v>0.94799999999999995</v>
      </c>
      <c r="M1004" s="20">
        <v>1.0210999999999999</v>
      </c>
      <c r="N1004" s="20">
        <v>1.0911999999999999</v>
      </c>
      <c r="O1004" s="20">
        <v>1.1583000000000001</v>
      </c>
      <c r="P1004" s="20">
        <v>1.2228000000000001</v>
      </c>
      <c r="Q1004" s="20">
        <v>1.2847</v>
      </c>
      <c r="R1004" s="20">
        <v>1.3441000000000001</v>
      </c>
      <c r="S1004" s="20">
        <v>1.4013</v>
      </c>
      <c r="T1004" s="20">
        <v>1.4561999999999999</v>
      </c>
      <c r="U1004" s="20">
        <v>1.5091000000000001</v>
      </c>
      <c r="V1004" s="20">
        <v>1.56</v>
      </c>
      <c r="W1004"/>
      <c r="X1004"/>
      <c r="Y1004"/>
      <c r="Z1004"/>
    </row>
    <row r="1005" spans="1:26" x14ac:dyDescent="0.2">
      <c r="A1005" s="19">
        <v>0.999</v>
      </c>
      <c r="B1005" s="20">
        <v>0</v>
      </c>
      <c r="C1005" s="20">
        <v>0.11650000000000001</v>
      </c>
      <c r="D1005" s="20">
        <v>0.22739999999999999</v>
      </c>
      <c r="E1005" s="20">
        <v>0.33289999999999997</v>
      </c>
      <c r="F1005" s="20">
        <v>0.43359999999999999</v>
      </c>
      <c r="G1005" s="20">
        <v>0.52949999999999997</v>
      </c>
      <c r="H1005" s="20">
        <v>0.621</v>
      </c>
      <c r="I1005" s="20">
        <v>0.70840000000000003</v>
      </c>
      <c r="J1005" s="20">
        <v>0.79190000000000005</v>
      </c>
      <c r="K1005" s="20">
        <v>0.87180000000000002</v>
      </c>
      <c r="L1005" s="20">
        <v>0.94820000000000004</v>
      </c>
      <c r="M1005" s="20">
        <v>1.0213000000000001</v>
      </c>
      <c r="N1005" s="20">
        <v>1.0913999999999999</v>
      </c>
      <c r="O1005" s="20">
        <v>1.1586000000000001</v>
      </c>
      <c r="P1005" s="20">
        <v>1.2230000000000001</v>
      </c>
      <c r="Q1005" s="20">
        <v>1.2848999999999999</v>
      </c>
      <c r="R1005" s="20">
        <v>1.3444</v>
      </c>
      <c r="S1005" s="20">
        <v>1.4015</v>
      </c>
      <c r="T1005" s="20">
        <v>1.4564999999999999</v>
      </c>
      <c r="U1005" s="20">
        <v>1.5094000000000001</v>
      </c>
      <c r="V1005" s="20">
        <v>1.5603</v>
      </c>
      <c r="W1005"/>
      <c r="X1005"/>
      <c r="Y1005"/>
      <c r="Z1005"/>
    </row>
    <row r="1006" spans="1:26" x14ac:dyDescent="0.2">
      <c r="A1006" s="19">
        <v>1</v>
      </c>
      <c r="B1006" s="20">
        <v>0</v>
      </c>
      <c r="C1006" s="20">
        <v>0.11650000000000001</v>
      </c>
      <c r="D1006" s="20">
        <v>0.22739999999999999</v>
      </c>
      <c r="E1006" s="20">
        <v>0.33300000000000002</v>
      </c>
      <c r="F1006" s="20">
        <v>0.43369999999999997</v>
      </c>
      <c r="G1006" s="20">
        <v>0.52959999999999996</v>
      </c>
      <c r="H1006" s="20">
        <v>0.62119999999999997</v>
      </c>
      <c r="I1006" s="20">
        <v>0.70860000000000001</v>
      </c>
      <c r="J1006" s="20">
        <v>0.79210000000000003</v>
      </c>
      <c r="K1006" s="20">
        <v>0.872</v>
      </c>
      <c r="L1006" s="20">
        <v>0.94840000000000002</v>
      </c>
      <c r="M1006" s="20">
        <v>1.0215000000000001</v>
      </c>
      <c r="N1006" s="20">
        <v>1.0915999999999999</v>
      </c>
      <c r="O1006" s="20">
        <v>1.1588000000000001</v>
      </c>
      <c r="P1006" s="20">
        <v>1.2233000000000001</v>
      </c>
      <c r="Q1006" s="20">
        <v>1.2850999999999999</v>
      </c>
      <c r="R1006" s="20">
        <v>1.3446</v>
      </c>
      <c r="S1006" s="20">
        <v>1.4017999999999999</v>
      </c>
      <c r="T1006" s="20">
        <v>1.4567000000000001</v>
      </c>
      <c r="U1006" s="20">
        <v>1.5096000000000001</v>
      </c>
      <c r="V1006" s="20">
        <v>1.5606</v>
      </c>
      <c r="W1006"/>
      <c r="X1006"/>
      <c r="Y1006"/>
      <c r="Z1006"/>
    </row>
    <row r="1007" spans="1:26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2BE7-F060-E944-BB41-A0C00B61408E}">
  <sheetPr codeName="Sheet3"/>
  <dimension ref="A1:G214"/>
  <sheetViews>
    <sheetView topLeftCell="E5" workbookViewId="0">
      <selection activeCell="J19" sqref="J19"/>
    </sheetView>
  </sheetViews>
  <sheetFormatPr baseColWidth="10" defaultRowHeight="16" x14ac:dyDescent="0.2"/>
  <cols>
    <col min="1" max="3" width="10.83203125" style="15"/>
  </cols>
  <sheetData>
    <row r="1" spans="1:7" ht="19" x14ac:dyDescent="0.25">
      <c r="A1" s="29" t="s">
        <v>46</v>
      </c>
      <c r="B1" s="30">
        <v>1</v>
      </c>
    </row>
    <row r="2" spans="1:7" ht="19" x14ac:dyDescent="0.25">
      <c r="A2" s="31" t="s">
        <v>47</v>
      </c>
      <c r="B2" s="32">
        <v>5.0000000000000001E-3</v>
      </c>
    </row>
    <row r="3" spans="1:7" ht="19" x14ac:dyDescent="0.25">
      <c r="A3" s="29" t="s">
        <v>48</v>
      </c>
      <c r="B3" s="30">
        <v>13.1</v>
      </c>
      <c r="C3" s="27"/>
    </row>
    <row r="4" spans="1:7" ht="19" x14ac:dyDescent="0.25">
      <c r="A4" s="29" t="s">
        <v>49</v>
      </c>
      <c r="B4" s="30">
        <v>0.94</v>
      </c>
      <c r="C4" s="27"/>
    </row>
    <row r="5" spans="1:7" ht="19" x14ac:dyDescent="0.25">
      <c r="A5" s="29" t="s">
        <v>50</v>
      </c>
      <c r="B5" s="30">
        <v>1.71</v>
      </c>
      <c r="C5"/>
    </row>
    <row r="7" spans="1:7" ht="19" x14ac:dyDescent="0.25">
      <c r="A7" s="21" t="s">
        <v>34</v>
      </c>
      <c r="B7" s="24"/>
      <c r="C7" s="23"/>
      <c r="E7" s="16" t="s">
        <v>38</v>
      </c>
      <c r="F7" s="33"/>
      <c r="G7" s="33"/>
    </row>
    <row r="8" spans="1:7" ht="19" x14ac:dyDescent="0.25">
      <c r="A8" s="28" t="s">
        <v>51</v>
      </c>
      <c r="B8" s="25" t="s">
        <v>52</v>
      </c>
      <c r="C8" s="25" t="s">
        <v>53</v>
      </c>
      <c r="E8" s="35" t="s">
        <v>51</v>
      </c>
      <c r="F8" s="36" t="s">
        <v>52</v>
      </c>
      <c r="G8" s="36" t="s">
        <v>53</v>
      </c>
    </row>
    <row r="9" spans="1:7" ht="19" x14ac:dyDescent="0.25">
      <c r="A9" s="26">
        <v>0</v>
      </c>
      <c r="B9" s="22">
        <v>0.03</v>
      </c>
      <c r="C9" s="22">
        <v>0</v>
      </c>
      <c r="E9" s="37">
        <v>0</v>
      </c>
      <c r="F9" s="38">
        <v>0.03</v>
      </c>
      <c r="G9" s="39">
        <v>0</v>
      </c>
    </row>
    <row r="10" spans="1:7" ht="19" x14ac:dyDescent="0.25">
      <c r="A10" s="26">
        <f>A9+$B$2</f>
        <v>5.0000000000000001E-3</v>
      </c>
      <c r="B10" s="22">
        <f>B9+$B$2*($B$3*B9-$B$3/$B$4*B9^2)</f>
        <v>3.1902287234042551E-2</v>
      </c>
      <c r="C10" s="22">
        <f>C9+$B$2*$B$5*B9</f>
        <v>2.565E-4</v>
      </c>
      <c r="E10" s="37">
        <v>5.0000000000000001E-3</v>
      </c>
      <c r="F10" s="38">
        <v>3.1960484474220743E-2</v>
      </c>
      <c r="G10" s="39">
        <v>2.6463227792553192E-4</v>
      </c>
    </row>
    <row r="11" spans="1:7" ht="19" x14ac:dyDescent="0.25">
      <c r="A11" s="26">
        <f t="shared" ref="A11:A74" si="0">A10+$B$2</f>
        <v>0.01</v>
      </c>
      <c r="B11" s="22">
        <f t="shared" ref="B11:B74" si="1">B10+$B$2*($B$3*B10-$B$3/$B$4*B10^2)</f>
        <v>3.3920968948441488E-2</v>
      </c>
      <c r="C11" s="22">
        <f t="shared" ref="C11:C74" si="2">C10+$B$2*$B$5*B10</f>
        <v>5.2926455585106374E-4</v>
      </c>
      <c r="E11" s="37">
        <v>0.01</v>
      </c>
      <c r="F11" s="38">
        <v>3.4044301251944555E-2</v>
      </c>
      <c r="G11" s="39">
        <v>5.465394733310861E-4</v>
      </c>
    </row>
    <row r="12" spans="1:7" ht="19" x14ac:dyDescent="0.25">
      <c r="A12" s="26">
        <f t="shared" si="0"/>
        <v>1.4999999999999999E-2</v>
      </c>
      <c r="B12" s="22">
        <f t="shared" si="1"/>
        <v>3.606261538817794E-2</v>
      </c>
      <c r="C12" s="22">
        <f t="shared" si="2"/>
        <v>8.1928884036023848E-4</v>
      </c>
      <c r="E12" s="37">
        <v>1.4999999999999999E-2</v>
      </c>
      <c r="F12" s="38">
        <v>3.625856703645837E-2</v>
      </c>
      <c r="G12" s="39">
        <v>8.4680582518096268E-4</v>
      </c>
    </row>
    <row r="13" spans="1:7" ht="19" x14ac:dyDescent="0.25">
      <c r="A13" s="26">
        <f t="shared" si="0"/>
        <v>0.02</v>
      </c>
      <c r="B13" s="22">
        <f t="shared" si="1"/>
        <v>3.8334095897193346E-2</v>
      </c>
      <c r="C13" s="22">
        <f t="shared" si="2"/>
        <v>1.1276242019291598E-3</v>
      </c>
      <c r="E13" s="37">
        <v>0.02</v>
      </c>
      <c r="F13" s="40">
        <v>3.8610723352005917E-2</v>
      </c>
      <c r="G13" s="40">
        <v>1.1665777999567478E-3</v>
      </c>
    </row>
    <row r="14" spans="1:7" ht="19" x14ac:dyDescent="0.25">
      <c r="A14" s="26">
        <f t="shared" si="0"/>
        <v>2.5000000000000001E-2</v>
      </c>
      <c r="B14" s="22">
        <f t="shared" si="1"/>
        <v>4.0742582965171512E-2</v>
      </c>
      <c r="C14" s="22">
        <f t="shared" si="2"/>
        <v>1.455380721850163E-3</v>
      </c>
      <c r="E14" s="37">
        <v>2.5000000000000001E-2</v>
      </c>
      <c r="F14" s="41">
        <v>4.1108539613097711E-2</v>
      </c>
      <c r="G14" s="41">
        <v>1.5070668854666363E-3</v>
      </c>
    </row>
    <row r="15" spans="1:7" ht="19" x14ac:dyDescent="0.25">
      <c r="A15" s="26">
        <f t="shared" si="0"/>
        <v>3.0000000000000002E-2</v>
      </c>
      <c r="B15" s="22">
        <f t="shared" si="1"/>
        <v>4.3295554858574142E-2</v>
      </c>
      <c r="C15" s="22">
        <f t="shared" si="2"/>
        <v>1.8037298062023794E-3</v>
      </c>
      <c r="E15" s="37">
        <v>3.0000000000000002E-2</v>
      </c>
      <c r="F15" s="41">
        <v>4.3760114342380488E-2</v>
      </c>
      <c r="G15" s="41">
        <v>1.869552403583572E-3</v>
      </c>
    </row>
    <row r="16" spans="1:7" ht="19" x14ac:dyDescent="0.25">
      <c r="A16" s="26">
        <f t="shared" si="0"/>
        <v>3.5000000000000003E-2</v>
      </c>
      <c r="B16" s="22">
        <f t="shared" si="1"/>
        <v>4.600079659317402E-2</v>
      </c>
      <c r="C16" s="22">
        <f t="shared" si="2"/>
        <v>2.1739068002431883E-3</v>
      </c>
      <c r="E16" s="37">
        <v>3.5000000000000003E-2</v>
      </c>
      <c r="F16" s="41">
        <v>4.6573874232801557E-2</v>
      </c>
      <c r="G16" s="41">
        <v>2.2553843248379257E-3</v>
      </c>
    </row>
    <row r="17" spans="1:7" ht="19" x14ac:dyDescent="0.25">
      <c r="A17" s="26">
        <f t="shared" si="0"/>
        <v>0.04</v>
      </c>
      <c r="B17" s="22">
        <f t="shared" si="1"/>
        <v>4.886639898246093E-2</v>
      </c>
      <c r="C17" s="22">
        <f t="shared" si="2"/>
        <v>2.5672136111148263E-3</v>
      </c>
      <c r="E17" s="37">
        <v>0.04</v>
      </c>
      <c r="F17" s="41">
        <v>4.9558570723074589E-2</v>
      </c>
      <c r="G17" s="41">
        <v>2.6659860650751119E-3</v>
      </c>
    </row>
    <row r="18" spans="1:7" ht="19" x14ac:dyDescent="0.25">
      <c r="A18" s="26">
        <f t="shared" si="0"/>
        <v>4.4999999999999998E-2</v>
      </c>
      <c r="B18" s="22">
        <f t="shared" si="1"/>
        <v>5.1900755473053499E-2</v>
      </c>
      <c r="C18" s="22">
        <f t="shared" si="2"/>
        <v>2.9850213224148674E-3</v>
      </c>
      <c r="E18" s="37">
        <v>4.4999999999999998E-2</v>
      </c>
      <c r="F18" s="41">
        <v>5.272327372894766E-2</v>
      </c>
      <c r="G18" s="41">
        <v>3.1028572414445042E-3</v>
      </c>
    </row>
    <row r="19" spans="1:7" ht="19" x14ac:dyDescent="0.25">
      <c r="A19" s="26">
        <f t="shared" si="0"/>
        <v>4.9999999999999996E-2</v>
      </c>
      <c r="B19" s="22">
        <f t="shared" si="1"/>
        <v>5.5112556455024539E-2</v>
      </c>
      <c r="C19" s="22">
        <f t="shared" si="2"/>
        <v>3.428772781709475E-3</v>
      </c>
      <c r="E19" s="37">
        <v>4.9999999999999996E-2</v>
      </c>
      <c r="F19" s="41">
        <v>5.6077362147128454E-2</v>
      </c>
      <c r="G19" s="41">
        <v>3.5675763618176187E-3</v>
      </c>
    </row>
    <row r="20" spans="1:7" ht="19" x14ac:dyDescent="0.25">
      <c r="A20" s="26">
        <f t="shared" si="0"/>
        <v>5.4999999999999993E-2</v>
      </c>
      <c r="B20" s="22">
        <f t="shared" si="1"/>
        <v>5.8510780712323282E-2</v>
      </c>
      <c r="C20" s="22">
        <f t="shared" si="2"/>
        <v>3.8999851393999346E-3</v>
      </c>
      <c r="E20" s="37">
        <v>5.4999999999999993E-2</v>
      </c>
      <c r="F20" s="41">
        <v>5.9630510724712413E-2</v>
      </c>
      <c r="G20" s="41">
        <v>4.0618034183511429E-3</v>
      </c>
    </row>
    <row r="21" spans="1:7" ht="19" x14ac:dyDescent="0.25">
      <c r="A21" s="26">
        <f t="shared" si="0"/>
        <v>5.9999999999999991E-2</v>
      </c>
      <c r="B21" s="22">
        <f t="shared" si="1"/>
        <v>6.2104683656851151E-2</v>
      </c>
      <c r="C21" s="22">
        <f t="shared" si="2"/>
        <v>4.4002523144902987E-3</v>
      </c>
      <c r="E21" s="37">
        <v>5.9999999999999991E-2</v>
      </c>
      <c r="F21" s="41">
        <v>6.3392672865517613E-2</v>
      </c>
      <c r="G21" s="41">
        <v>4.5872823523316593E-3</v>
      </c>
    </row>
    <row r="22" spans="1:7" ht="19" x14ac:dyDescent="0.25">
      <c r="A22" s="26">
        <f t="shared" si="0"/>
        <v>6.4999999999999988E-2</v>
      </c>
      <c r="B22" s="22">
        <f t="shared" si="1"/>
        <v>6.5903781969934794E-2</v>
      </c>
      <c r="C22" s="22">
        <f t="shared" si="2"/>
        <v>4.9312473597563763E-3</v>
      </c>
      <c r="E22" s="37">
        <v>6.4999999999999988E-2</v>
      </c>
      <c r="F22" s="41">
        <v>6.7374058926950559E-2</v>
      </c>
      <c r="G22" s="41">
        <v>5.1458433536901048E-3</v>
      </c>
    </row>
    <row r="23" spans="1:7" ht="19" x14ac:dyDescent="0.25">
      <c r="A23" s="26">
        <f t="shared" si="0"/>
        <v>6.9999999999999993E-2</v>
      </c>
      <c r="B23" s="22">
        <f t="shared" si="1"/>
        <v>6.9917834257789871E-2</v>
      </c>
      <c r="C23" s="22">
        <f t="shared" si="2"/>
        <v>5.4947246955993189E-3</v>
      </c>
      <c r="E23" s="37">
        <v>6.9999999999999993E-2</v>
      </c>
      <c r="F23" s="41">
        <v>7.1585109548177761E-2</v>
      </c>
      <c r="G23" s="41">
        <v>5.739404954691496E-3</v>
      </c>
    </row>
    <row r="24" spans="1:7" ht="19" x14ac:dyDescent="0.25">
      <c r="A24" s="26">
        <f t="shared" si="0"/>
        <v>7.4999999999999997E-2</v>
      </c>
      <c r="B24" s="22">
        <f t="shared" si="1"/>
        <v>7.4156817314070714E-2</v>
      </c>
      <c r="C24" s="22">
        <f t="shared" si="2"/>
        <v>6.0925221785034225E-3</v>
      </c>
      <c r="E24" s="37">
        <v>7.4999999999999997E-2</v>
      </c>
      <c r="F24" s="41">
        <v>7.6036463543903712E-2</v>
      </c>
      <c r="G24" s="41">
        <v>6.3699758733371838E-3</v>
      </c>
    </row>
    <row r="25" spans="1:7" ht="19" x14ac:dyDescent="0.25">
      <c r="A25" s="26">
        <f t="shared" si="0"/>
        <v>0.08</v>
      </c>
      <c r="B25" s="22">
        <f t="shared" si="1"/>
        <v>7.8630897573890232E-2</v>
      </c>
      <c r="C25" s="22">
        <f t="shared" si="2"/>
        <v>6.7265629665387268E-3</v>
      </c>
      <c r="E25" s="37">
        <v>0.08</v>
      </c>
      <c r="F25" s="41">
        <v>8.0738919899572978E-2</v>
      </c>
      <c r="G25" s="41">
        <v>7.0396565580239335E-3</v>
      </c>
    </row>
    <row r="26" spans="1:7" ht="19" x14ac:dyDescent="0.25">
      <c r="A26" s="26">
        <f t="shared" si="0"/>
        <v>8.5000000000000006E-2</v>
      </c>
      <c r="B26" s="22">
        <f t="shared" si="1"/>
        <v>8.3350397341054983E-2</v>
      </c>
      <c r="C26" s="22">
        <f t="shared" si="2"/>
        <v>7.3988571407954881E-3</v>
      </c>
      <c r="E26" s="37">
        <v>8.5000000000000006E-2</v>
      </c>
      <c r="F26" s="41">
        <v>8.5703393415100512E-2</v>
      </c>
      <c r="G26" s="41">
        <v>7.7506403810620669E-3</v>
      </c>
    </row>
    <row r="27" spans="1:7" ht="19" x14ac:dyDescent="0.25">
      <c r="A27" s="26">
        <f t="shared" si="0"/>
        <v>9.0000000000000011E-2</v>
      </c>
      <c r="B27" s="22">
        <f t="shared" si="1"/>
        <v>8.8325755375119913E-2</v>
      </c>
      <c r="C27" s="22">
        <f t="shared" si="2"/>
        <v>8.1115030380615079E-3</v>
      </c>
      <c r="E27" s="37">
        <v>9.0000000000000011E-2</v>
      </c>
      <c r="F27" s="41">
        <v>9.094086356720528E-2</v>
      </c>
      <c r="G27" s="41">
        <v>8.5052144248551446E-3</v>
      </c>
    </row>
    <row r="28" spans="1:7" ht="19" x14ac:dyDescent="0.25">
      <c r="A28" s="26">
        <f t="shared" si="0"/>
        <v>9.5000000000000015E-2</v>
      </c>
      <c r="B28" s="22">
        <f t="shared" si="1"/>
        <v>9.3567481438786695E-2</v>
      </c>
      <c r="C28" s="22">
        <f t="shared" si="2"/>
        <v>8.8666882465187839E-3</v>
      </c>
      <c r="E28" s="37">
        <v>9.5000000000000015E-2</v>
      </c>
      <c r="F28" s="41">
        <v>9.6462316197093792E-2</v>
      </c>
      <c r="G28" s="41">
        <v>9.3057598009945904E-3</v>
      </c>
    </row>
    <row r="29" spans="1:7" ht="19" x14ac:dyDescent="0.25">
      <c r="A29" s="26">
        <f t="shared" si="0"/>
        <v>0.10000000000000002</v>
      </c>
      <c r="B29" s="22">
        <f t="shared" si="1"/>
        <v>9.9086104430821637E-2</v>
      </c>
      <c r="C29" s="22">
        <f t="shared" si="2"/>
        <v>9.6666902128204092E-3</v>
      </c>
      <c r="E29" s="37">
        <v>0.10000000000000002</v>
      </c>
      <c r="F29" s="41">
        <v>0.10227867768267788</v>
      </c>
      <c r="G29" s="41">
        <v>1.0154751439350114E-2</v>
      </c>
    </row>
    <row r="30" spans="1:7" ht="19" x14ac:dyDescent="0.25">
      <c r="A30" s="26">
        <f t="shared" si="0"/>
        <v>0.10500000000000002</v>
      </c>
      <c r="B30" s="22">
        <f t="shared" si="1"/>
        <v>0.10489211376680795</v>
      </c>
      <c r="C30" s="22">
        <f t="shared" si="2"/>
        <v>1.0513876405703934E-2</v>
      </c>
      <c r="E30" s="37">
        <v>0.10500000000000002</v>
      </c>
      <c r="F30" s="41">
        <v>0.10840074132476044</v>
      </c>
      <c r="G30" s="41">
        <v>1.1054757281584414E-2</v>
      </c>
    </row>
    <row r="31" spans="1:7" ht="19" x14ac:dyDescent="0.25">
      <c r="A31" s="26">
        <f t="shared" si="0"/>
        <v>0.11000000000000003</v>
      </c>
      <c r="B31" s="22">
        <f t="shared" si="1"/>
        <v>0.11099589372146396</v>
      </c>
      <c r="C31" s="22">
        <f t="shared" si="2"/>
        <v>1.1410703978410142E-2</v>
      </c>
      <c r="E31" s="37">
        <v>0.11000000000000003</v>
      </c>
      <c r="F31" s="41">
        <v>0.11483908576661706</v>
      </c>
      <c r="G31" s="41">
        <v>1.200843681154925E-2</v>
      </c>
    </row>
    <row r="32" spans="1:7" ht="19" x14ac:dyDescent="0.25">
      <c r="A32" s="26">
        <f t="shared" si="0"/>
        <v>0.11500000000000003</v>
      </c>
      <c r="B32" s="22">
        <f t="shared" si="1"/>
        <v>0.11740765051372172</v>
      </c>
      <c r="C32" s="22">
        <f t="shared" si="2"/>
        <v>1.2359718869728659E-2</v>
      </c>
      <c r="E32" s="37">
        <v>0.11500000000000003</v>
      </c>
      <c r="F32" s="41">
        <v>0.12160398537785522</v>
      </c>
      <c r="G32" s="41">
        <v>1.3018538853906291E-2</v>
      </c>
    </row>
    <row r="33" spans="1:7" ht="19" x14ac:dyDescent="0.25">
      <c r="A33" s="26">
        <f t="shared" si="0"/>
        <v>0.12000000000000004</v>
      </c>
      <c r="B33" s="22">
        <f t="shared" si="1"/>
        <v>0.12413733200094021</v>
      </c>
      <c r="C33" s="22">
        <f t="shared" si="2"/>
        <v>1.336355428162098E-2</v>
      </c>
      <c r="E33" s="37">
        <v>0.12000000000000004</v>
      </c>
      <c r="F33" s="41">
        <v>0.12870531266770335</v>
      </c>
      <c r="G33" s="41">
        <v>1.4087898572250172E-2</v>
      </c>
    </row>
    <row r="34" spans="1:7" ht="19" x14ac:dyDescent="0.25">
      <c r="A34" s="26">
        <f t="shared" si="0"/>
        <v>0.12500000000000003</v>
      </c>
      <c r="B34" s="22">
        <f t="shared" si="1"/>
        <v>0.13119453995300348</v>
      </c>
      <c r="C34" s="22">
        <f t="shared" si="2"/>
        <v>1.4424928470229019E-2</v>
      </c>
      <c r="E34" s="37">
        <v>0.12500000000000003</v>
      </c>
      <c r="F34" s="41">
        <v>0.13615243295082743</v>
      </c>
      <c r="G34" s="41">
        <v>1.5219433599192924E-2</v>
      </c>
    </row>
    <row r="35" spans="1:7" ht="19" x14ac:dyDescent="0.25">
      <c r="A35" s="26">
        <f t="shared" si="0"/>
        <v>0.13000000000000003</v>
      </c>
      <c r="B35" s="22">
        <f t="shared" si="1"/>
        <v>0.13858843500180504</v>
      </c>
      <c r="C35" s="22">
        <f t="shared" si="2"/>
        <v>1.5546641786827199E-2</v>
      </c>
      <c r="E35" s="37">
        <v>0.13000000000000003</v>
      </c>
      <c r="F35" s="41">
        <v>0.14395409167057063</v>
      </c>
      <c r="G35" s="41">
        <v>1.6416139233502946E-2</v>
      </c>
    </row>
    <row r="36" spans="1:7" ht="19" x14ac:dyDescent="0.25">
      <c r="A36" s="26">
        <f t="shared" si="0"/>
        <v>0.13500000000000004</v>
      </c>
      <c r="B36" s="22">
        <f t="shared" si="1"/>
        <v>0.14632763450749312</v>
      </c>
      <c r="C36" s="22">
        <f t="shared" si="2"/>
        <v>1.6731572906092632E-2</v>
      </c>
      <c r="E36" s="37">
        <v>0.13500000000000004</v>
      </c>
      <c r="F36" s="41">
        <v>0.15211829498949175</v>
      </c>
      <c r="G36" s="41">
        <v>1.7681082643681088E-2</v>
      </c>
    </row>
    <row r="37" spans="1:7" ht="19" x14ac:dyDescent="0.25">
      <c r="A37" s="26">
        <f t="shared" si="0"/>
        <v>0.14000000000000004</v>
      </c>
      <c r="B37" s="22">
        <f t="shared" si="1"/>
        <v>0.1544201037500248</v>
      </c>
      <c r="C37" s="22">
        <f t="shared" si="2"/>
        <v>1.7982674181131697E-2</v>
      </c>
      <c r="E37" s="37">
        <v>0.14000000000000004</v>
      </c>
      <c r="F37" s="41">
        <v>0.16065218448352789</v>
      </c>
      <c r="G37" s="41">
        <v>1.9017396023494181E-2</v>
      </c>
    </row>
    <row r="38" spans="1:7" ht="19" x14ac:dyDescent="0.25">
      <c r="A38" s="26">
        <f t="shared" si="0"/>
        <v>0.14500000000000005</v>
      </c>
      <c r="B38" s="22">
        <f t="shared" si="1"/>
        <v>0.16287304104250033</v>
      </c>
      <c r="C38" s="22">
        <f t="shared" si="2"/>
        <v>1.930296606819441E-2</v>
      </c>
      <c r="E38" s="37">
        <v>0.14500000000000005</v>
      </c>
      <c r="F38" s="41">
        <v>0.16956190702110113</v>
      </c>
      <c r="G38" s="41">
        <v>2.0428268653146394E-2</v>
      </c>
    </row>
    <row r="39" spans="1:7" ht="19" x14ac:dyDescent="0.25">
      <c r="A39" s="26">
        <f t="shared" si="0"/>
        <v>0.15000000000000005</v>
      </c>
      <c r="B39" s="22">
        <f t="shared" si="1"/>
        <v>0.17169275756998911</v>
      </c>
      <c r="C39" s="22">
        <f t="shared" si="2"/>
        <v>2.0695530569107789E-2</v>
      </c>
      <c r="E39" s="37">
        <v>0.15000000000000005</v>
      </c>
      <c r="F39" s="41">
        <v>0.17885248116773211</v>
      </c>
      <c r="G39" s="41">
        <v>2.1916937830094171E-2</v>
      </c>
    </row>
    <row r="40" spans="1:7" ht="19" x14ac:dyDescent="0.25">
      <c r="A40" s="26">
        <f t="shared" si="0"/>
        <v>0.15500000000000005</v>
      </c>
      <c r="B40" s="22">
        <f t="shared" si="1"/>
        <v>0.18088455298164238</v>
      </c>
      <c r="C40" s="22">
        <f t="shared" si="2"/>
        <v>2.2163503646331194E-2</v>
      </c>
      <c r="E40" s="37">
        <v>0.15500000000000005</v>
      </c>
      <c r="F40" s="41">
        <v>0.18852766172442731</v>
      </c>
      <c r="G40" s="41">
        <v>2.3486678646101489E-2</v>
      </c>
    </row>
    <row r="41" spans="1:7" ht="19" x14ac:dyDescent="0.25">
      <c r="A41" s="26">
        <f t="shared" si="0"/>
        <v>0.16000000000000006</v>
      </c>
      <c r="B41" s="22">
        <f t="shared" si="1"/>
        <v>0.19045258800116055</v>
      </c>
      <c r="C41" s="22">
        <f t="shared" si="2"/>
        <v>2.3710066574324236E-2</v>
      </c>
      <c r="E41" s="37">
        <v>0.16000000000000006</v>
      </c>
      <c r="F41" s="41">
        <v>0.19858980427693199</v>
      </c>
      <c r="G41" s="41">
        <v>2.5140792602033134E-2</v>
      </c>
    </row>
    <row r="42" spans="1:7" ht="19" x14ac:dyDescent="0.25">
      <c r="A42" s="26">
        <f t="shared" si="0"/>
        <v>0.16500000000000006</v>
      </c>
      <c r="B42" s="22">
        <f t="shared" si="1"/>
        <v>0.20039975556619374</v>
      </c>
      <c r="C42" s="22">
        <f t="shared" si="2"/>
        <v>2.533843620173416E-2</v>
      </c>
      <c r="E42" s="37">
        <v>0.16500000000000006</v>
      </c>
      <c r="F42" s="41">
        <v>0.20903973189400488</v>
      </c>
      <c r="G42" s="41">
        <v>2.6882595069069454E-2</v>
      </c>
    </row>
    <row r="43" spans="1:7" ht="19" x14ac:dyDescent="0.25">
      <c r="A43" s="26">
        <f t="shared" si="0"/>
        <v>0.17000000000000007</v>
      </c>
      <c r="B43" s="22">
        <f t="shared" si="1"/>
        <v>0.21072755225468384</v>
      </c>
      <c r="C43" s="22">
        <f t="shared" si="2"/>
        <v>2.7051854111825115E-2</v>
      </c>
      <c r="E43" s="37">
        <v>0.17000000000000007</v>
      </c>
      <c r="F43" s="41">
        <v>0.21987660635585216</v>
      </c>
      <c r="G43" s="41">
        <v>2.8715401624389094E-2</v>
      </c>
    </row>
    <row r="44" spans="1:7" ht="19" x14ac:dyDescent="0.25">
      <c r="A44" s="26">
        <f t="shared" si="0"/>
        <v>0.17500000000000007</v>
      </c>
      <c r="B44" s="22">
        <f t="shared" si="1"/>
        <v>0.22143595199780083</v>
      </c>
      <c r="C44" s="22">
        <f t="shared" si="2"/>
        <v>2.885357468360266E-2</v>
      </c>
      <c r="E44" s="37">
        <v>0.17500000000000007</v>
      </c>
      <c r="F44" s="41">
        <v>0.23109780650722139</v>
      </c>
      <c r="G44" s="41">
        <v>3.0642513310705183E-2</v>
      </c>
    </row>
    <row r="45" spans="1:7" ht="19" x14ac:dyDescent="0.25">
      <c r="A45" s="26">
        <f t="shared" si="0"/>
        <v>0.18000000000000008</v>
      </c>
      <c r="B45" s="22">
        <f t="shared" si="1"/>
        <v>0.2325232843059602</v>
      </c>
      <c r="C45" s="22">
        <f t="shared" si="2"/>
        <v>3.0746852073183856E-2</v>
      </c>
      <c r="E45" s="37">
        <v>0.18000000000000008</v>
      </c>
      <c r="F45" s="41">
        <v>0.24269881650098274</v>
      </c>
      <c r="G45" s="41">
        <v>3.2667200892050635E-2</v>
      </c>
    </row>
    <row r="46" spans="1:7" ht="19" x14ac:dyDescent="0.25">
      <c r="A46" s="26">
        <f t="shared" si="0"/>
        <v>0.18500000000000008</v>
      </c>
      <c r="B46" s="22">
        <f t="shared" si="1"/>
        <v>0.24398611943623444</v>
      </c>
      <c r="C46" s="22">
        <f t="shared" si="2"/>
        <v>3.2734926153999817E-2</v>
      </c>
      <c r="E46" s="37">
        <v>0.18500000000000008</v>
      </c>
      <c r="F46" s="41">
        <v>0.25467312681449739</v>
      </c>
      <c r="G46" s="41">
        <v>3.4792688202476094E-2</v>
      </c>
    </row>
    <row r="47" spans="1:7" ht="19" x14ac:dyDescent="0.25">
      <c r="A47" s="26">
        <f t="shared" si="0"/>
        <v>0.19000000000000009</v>
      </c>
      <c r="B47" s="22">
        <f t="shared" si="1"/>
        <v>0.25581916309518049</v>
      </c>
      <c r="C47" s="22">
        <f t="shared" si="2"/>
        <v>3.4821007475179619E-2</v>
      </c>
      <c r="E47" s="37">
        <v>0.19000000000000009</v>
      </c>
      <c r="F47" s="41">
        <v>0.26701215097006675</v>
      </c>
      <c r="G47" s="41">
        <v>3.7022134709325985E-2</v>
      </c>
    </row>
    <row r="48" spans="1:7" ht="19" x14ac:dyDescent="0.25">
      <c r="A48" s="26">
        <f t="shared" si="0"/>
        <v>0.19500000000000009</v>
      </c>
      <c r="B48" s="22">
        <f t="shared" si="1"/>
        <v>0.26801516338904241</v>
      </c>
      <c r="C48" s="22">
        <f t="shared" si="2"/>
        <v>3.700826131964341E-2</v>
      </c>
      <c r="E48" s="37">
        <v>0.19500000000000009</v>
      </c>
      <c r="F48" s="41">
        <v>0.27970516086055663</v>
      </c>
      <c r="G48" s="41">
        <v>3.935861743786484E-2</v>
      </c>
    </row>
    <row r="49" spans="1:7" ht="19" x14ac:dyDescent="0.25">
      <c r="A49" s="26">
        <f t="shared" si="0"/>
        <v>0.20000000000000009</v>
      </c>
      <c r="B49" s="22">
        <f t="shared" si="1"/>
        <v>0.2805648327917451</v>
      </c>
      <c r="C49" s="22">
        <f t="shared" si="2"/>
        <v>3.9299790966619723E-2</v>
      </c>
      <c r="E49" s="37">
        <v>0.20000000000000009</v>
      </c>
      <c r="F49" s="41">
        <v>0.29273924346188412</v>
      </c>
      <c r="G49" s="41">
        <v>4.1805112428513619E-2</v>
      </c>
    </row>
    <row r="50" spans="1:7" ht="19" x14ac:dyDescent="0.25">
      <c r="A50" s="26">
        <f t="shared" si="0"/>
        <v>0.2050000000000001</v>
      </c>
      <c r="B50" s="22">
        <f t="shared" si="1"/>
        <v>0.29345678788889734</v>
      </c>
      <c r="C50" s="22">
        <f t="shared" si="2"/>
        <v>4.1698620286989146E-2</v>
      </c>
      <c r="E50" s="37">
        <v>0.2050000000000001</v>
      </c>
      <c r="F50" s="41">
        <v>0.30609928149797239</v>
      </c>
      <c r="G50" s="41">
        <v>4.4364475921023827E-2</v>
      </c>
    </row>
    <row r="51" spans="1:7" ht="19" x14ac:dyDescent="0.25">
      <c r="A51" s="26">
        <f t="shared" si="0"/>
        <v>0.2100000000000001</v>
      </c>
      <c r="B51" s="22">
        <f t="shared" si="1"/>
        <v>0.30667750956322276</v>
      </c>
      <c r="C51" s="22">
        <f t="shared" si="2"/>
        <v>4.4207675823439221E-2</v>
      </c>
      <c r="E51" s="37">
        <v>0.2100000000000001</v>
      </c>
      <c r="F51" s="41">
        <v>0.31976796030690807</v>
      </c>
      <c r="G51" s="41">
        <v>4.7039425480714256E-2</v>
      </c>
    </row>
    <row r="52" spans="1:7" ht="19" x14ac:dyDescent="0.25">
      <c r="A52" s="26">
        <f t="shared" si="0"/>
        <v>0.21500000000000011</v>
      </c>
      <c r="B52" s="22">
        <f t="shared" si="1"/>
        <v>0.32021132610545483</v>
      </c>
      <c r="C52" s="22">
        <f t="shared" si="2"/>
        <v>4.6829768530204777E-2</v>
      </c>
      <c r="E52" s="37">
        <v>0.21500000000000011</v>
      </c>
      <c r="F52" s="41">
        <v>0.33372580273937946</v>
      </c>
      <c r="G52" s="41">
        <v>4.9832521299550112E-2</v>
      </c>
    </row>
    <row r="53" spans="1:7" ht="19" x14ac:dyDescent="0.25">
      <c r="A53" s="26">
        <f t="shared" si="0"/>
        <v>0.22000000000000011</v>
      </c>
      <c r="B53" s="22">
        <f t="shared" si="1"/>
        <v>0.33404042145952489</v>
      </c>
      <c r="C53" s="22">
        <f t="shared" si="2"/>
        <v>4.9567575368406419E-2</v>
      </c>
      <c r="E53" s="37">
        <v>0.22000000000000011</v>
      </c>
      <c r="F53" s="41">
        <v>0.34795123340672018</v>
      </c>
      <c r="G53" s="41">
        <v>5.2746147918505702E-2</v>
      </c>
    </row>
    <row r="54" spans="1:7" ht="19" x14ac:dyDescent="0.25">
      <c r="A54" s="26">
        <f t="shared" si="0"/>
        <v>0.22500000000000012</v>
      </c>
      <c r="B54" s="22">
        <f t="shared" si="1"/>
        <v>0.34814487044005982</v>
      </c>
      <c r="C54" s="22">
        <f t="shared" si="2"/>
        <v>5.2423620971885354E-2</v>
      </c>
      <c r="E54" s="37">
        <v>0.22500000000000012</v>
      </c>
      <c r="F54" s="41">
        <v>0.36242067299580039</v>
      </c>
      <c r="G54" s="41">
        <v>5.5782496626528573E-2</v>
      </c>
    </row>
    <row r="55" spans="1:7" ht="19" x14ac:dyDescent="0.25">
      <c r="A55" s="26">
        <f t="shared" si="0"/>
        <v>0.23000000000000012</v>
      </c>
      <c r="B55" s="22">
        <f t="shared" si="1"/>
        <v>0.36250270229611881</v>
      </c>
      <c r="C55" s="22">
        <f t="shared" si="2"/>
        <v>5.5400259614147865E-2</v>
      </c>
      <c r="E55" s="37">
        <v>0.23000000000000012</v>
      </c>
      <c r="F55" s="41">
        <v>0.37710866269649762</v>
      </c>
      <c r="G55" s="41">
        <v>5.8943548794829874E-2</v>
      </c>
    </row>
    <row r="56" spans="1:7" ht="19" x14ac:dyDescent="0.25">
      <c r="A56" s="26">
        <f t="shared" si="0"/>
        <v>0.23500000000000013</v>
      </c>
      <c r="B56" s="22">
        <f t="shared" si="1"/>
        <v>0.37708999344463667</v>
      </c>
      <c r="C56" s="22">
        <f t="shared" si="2"/>
        <v>5.8499657718779678E-2</v>
      </c>
      <c r="E56" s="37">
        <v>0.23500000000000013</v>
      </c>
      <c r="F56" s="41">
        <v>0.39198801806434591</v>
      </c>
      <c r="G56" s="41">
        <v>6.2231060402626527E-2</v>
      </c>
    </row>
    <row r="57" spans="1:7" ht="19" x14ac:dyDescent="0.25">
      <c r="A57" s="26">
        <f t="shared" si="0"/>
        <v>0.24000000000000013</v>
      </c>
      <c r="B57" s="22">
        <f t="shared" si="1"/>
        <v>0.39188098957193807</v>
      </c>
      <c r="C57" s="22">
        <f t="shared" si="2"/>
        <v>6.1723777162731322E-2</v>
      </c>
      <c r="E57" s="37">
        <v>0.24000000000000013</v>
      </c>
      <c r="F57" s="41">
        <v>0.4070300108902799</v>
      </c>
      <c r="G57" s="41">
        <v>6.5646548001508057E-2</v>
      </c>
    </row>
    <row r="58" spans="1:7" ht="19" x14ac:dyDescent="0.25">
      <c r="A58" s="26">
        <f t="shared" si="0"/>
        <v>0.24500000000000013</v>
      </c>
      <c r="B58" s="22">
        <f t="shared" si="1"/>
        <v>0.40684825661846785</v>
      </c>
      <c r="C58" s="22">
        <f t="shared" si="2"/>
        <v>6.5074359623571387E-2</v>
      </c>
      <c r="E58" s="37">
        <v>0.24500000000000013</v>
      </c>
      <c r="F58" s="41">
        <v>0.42220457689854296</v>
      </c>
      <c r="G58" s="41">
        <v>6.9191276350169723E-2</v>
      </c>
    </row>
    <row r="59" spans="1:7" ht="19" x14ac:dyDescent="0.25">
      <c r="A59" s="26">
        <f t="shared" si="0"/>
        <v>0.25000000000000011</v>
      </c>
      <c r="B59" s="22">
        <f t="shared" si="1"/>
        <v>0.42196285944151646</v>
      </c>
      <c r="C59" s="22">
        <f t="shared" si="2"/>
        <v>6.8552912217659287E-2</v>
      </c>
      <c r="E59" s="37">
        <v>0.25000000000000011</v>
      </c>
      <c r="F59" s="41">
        <v>0.43748054637220285</v>
      </c>
      <c r="G59" s="41">
        <v>7.2866247929464528E-2</v>
      </c>
    </row>
    <row r="60" spans="1:7" ht="19" x14ac:dyDescent="0.25">
      <c r="A60" s="26">
        <f t="shared" si="0"/>
        <v>0.25500000000000012</v>
      </c>
      <c r="B60" s="22">
        <f t="shared" si="1"/>
        <v>0.43719456621791664</v>
      </c>
      <c r="C60" s="22">
        <f t="shared" si="2"/>
        <v>7.2160694665884248E-2</v>
      </c>
      <c r="E60" s="37">
        <v>0.25500000000000012</v>
      </c>
      <c r="F60" s="41">
        <v>0.45282589414318247</v>
      </c>
      <c r="G60" s="41">
        <v>7.6672194519956521E-2</v>
      </c>
    </row>
    <row r="61" spans="1:7" ht="19" x14ac:dyDescent="0.25">
      <c r="A61" s="26">
        <f t="shared" si="0"/>
        <v>0.26000000000000012</v>
      </c>
      <c r="B61" s="22">
        <f t="shared" si="1"/>
        <v>0.45251207593088599</v>
      </c>
      <c r="C61" s="22">
        <f t="shared" si="2"/>
        <v>7.589870820704743E-2</v>
      </c>
      <c r="E61" s="37">
        <v>0.26000000000000012</v>
      </c>
      <c r="F61" s="41">
        <v>0.46820800480890185</v>
      </c>
      <c r="G61" s="41">
        <v>8.0609570991037938E-2</v>
      </c>
    </row>
    <row r="62" spans="1:7" ht="19" x14ac:dyDescent="0.25">
      <c r="A62" s="26">
        <f t="shared" si="0"/>
        <v>0.26500000000000012</v>
      </c>
      <c r="B62" s="22">
        <f t="shared" si="1"/>
        <v>0.46788326561122623</v>
      </c>
      <c r="C62" s="22">
        <f t="shared" si="2"/>
        <v>7.9767686456256509E-2</v>
      </c>
      <c r="E62" s="37">
        <v>0.26500000000000012</v>
      </c>
      <c r="F62" s="41">
        <v>0.48359394857625254</v>
      </c>
      <c r="G62" s="41">
        <v>8.4678551413069764E-2</v>
      </c>
    </row>
    <row r="63" spans="1:7" ht="19" x14ac:dyDescent="0.25">
      <c r="A63" s="26">
        <f t="shared" si="0"/>
        <v>0.27000000000000013</v>
      </c>
      <c r="B63" s="22">
        <f t="shared" si="1"/>
        <v>0.48327545340168054</v>
      </c>
      <c r="C63" s="22">
        <f t="shared" si="2"/>
        <v>8.37680883772325E-2</v>
      </c>
      <c r="E63" s="37">
        <v>0.27000000000000013</v>
      </c>
      <c r="F63" s="41">
        <v>0.4989507628068508</v>
      </c>
      <c r="G63" s="41">
        <v>8.8879027562989751E-2</v>
      </c>
    </row>
    <row r="64" spans="1:7" ht="19" x14ac:dyDescent="0.25">
      <c r="A64" s="26">
        <f t="shared" si="0"/>
        <v>0.27500000000000013</v>
      </c>
      <c r="B64" s="22">
        <f t="shared" si="1"/>
        <v>0.49865567301133179</v>
      </c>
      <c r="C64" s="22">
        <f t="shared" si="2"/>
        <v>8.7900093503816862E-2</v>
      </c>
      <c r="E64" s="37">
        <v>0.27500000000000013</v>
      </c>
      <c r="F64" s="41">
        <v>0.51424573416060471</v>
      </c>
      <c r="G64" s="41">
        <v>9.3210609850633411E-2</v>
      </c>
    </row>
    <row r="65" spans="1:7" ht="19" x14ac:dyDescent="0.25">
      <c r="A65" s="26">
        <f t="shared" si="0"/>
        <v>0.28000000000000014</v>
      </c>
      <c r="B65" s="22">
        <f t="shared" si="1"/>
        <v>0.51399095474801215</v>
      </c>
      <c r="C65" s="22">
        <f t="shared" si="2"/>
        <v>9.2163599508063743E-2</v>
      </c>
      <c r="E65" s="37">
        <v>0.28000000000000014</v>
      </c>
      <c r="F65" s="41">
        <v>0.52944667621593844</v>
      </c>
      <c r="G65" s="41">
        <v>9.7672630648963324E-2</v>
      </c>
    </row>
    <row r="66" spans="1:7" ht="19" x14ac:dyDescent="0.25">
      <c r="A66" s="26">
        <f t="shared" si="0"/>
        <v>0.28500000000000014</v>
      </c>
      <c r="B66" s="22">
        <f t="shared" si="1"/>
        <v>0.52924860807936691</v>
      </c>
      <c r="C66" s="22">
        <f t="shared" si="2"/>
        <v>9.6558222171159253E-2</v>
      </c>
      <c r="E66" s="37">
        <v>0.28500000000000014</v>
      </c>
      <c r="F66" s="41">
        <v>0.54452219758543607</v>
      </c>
      <c r="G66" s="41">
        <v>0.10226414996787395</v>
      </c>
    </row>
    <row r="67" spans="1:7" ht="19" x14ac:dyDescent="0.25">
      <c r="A67" s="26">
        <f t="shared" si="0"/>
        <v>0.29000000000000015</v>
      </c>
      <c r="B67" s="22">
        <f t="shared" si="1"/>
        <v>0.54439650058985956</v>
      </c>
      <c r="C67" s="22">
        <f t="shared" si="2"/>
        <v>0.10108329777023783</v>
      </c>
      <c r="E67" s="37">
        <v>0.29000000000000015</v>
      </c>
      <c r="F67" s="41">
        <v>0.55944195583855849</v>
      </c>
      <c r="G67" s="41">
        <v>0.10698396336957974</v>
      </c>
    </row>
    <row r="68" spans="1:7" ht="19" x14ac:dyDescent="0.25">
      <c r="A68" s="26">
        <f t="shared" si="0"/>
        <v>0.29500000000000015</v>
      </c>
      <c r="B68" s="22">
        <f t="shared" si="1"/>
        <v>0.55940332827693284</v>
      </c>
      <c r="C68" s="22">
        <f t="shared" si="2"/>
        <v>0.10573788785028114</v>
      </c>
      <c r="E68" s="37">
        <v>0.29500000000000015</v>
      </c>
      <c r="F68" s="41">
        <v>0.57417689297474339</v>
      </c>
      <c r="G68" s="41">
        <v>0.11183061198506508</v>
      </c>
    </row>
    <row r="69" spans="1:7" ht="19" x14ac:dyDescent="0.25">
      <c r="A69" s="26">
        <f t="shared" si="0"/>
        <v>0.30000000000000016</v>
      </c>
      <c r="B69" s="22">
        <f t="shared" si="1"/>
        <v>0.57423887236256255</v>
      </c>
      <c r="C69" s="22">
        <f t="shared" si="2"/>
        <v>0.11052078630704891</v>
      </c>
      <c r="E69" s="37">
        <v>0.30000000000000016</v>
      </c>
      <c r="F69" s="41">
        <v>0.58869944874071412</v>
      </c>
      <c r="G69" s="41">
        <v>0.11680239445678778</v>
      </c>
    </row>
    <row r="70" spans="1:7" ht="19" x14ac:dyDescent="0.25">
      <c r="A70" s="26">
        <f t="shared" si="0"/>
        <v>0.30500000000000016</v>
      </c>
      <c r="B70" s="22">
        <f t="shared" si="1"/>
        <v>0.58887423817692641</v>
      </c>
      <c r="C70" s="22">
        <f t="shared" si="2"/>
        <v>0.11543052866574882</v>
      </c>
      <c r="E70" s="37">
        <v>0.30500000000000016</v>
      </c>
      <c r="F70" s="41">
        <v>0.60298374873042904</v>
      </c>
      <c r="G70" s="41">
        <v>0.12189738060370571</v>
      </c>
    </row>
    <row r="71" spans="1:7" ht="19" x14ac:dyDescent="0.25">
      <c r="A71" s="26">
        <f t="shared" si="0"/>
        <v>0.31000000000000016</v>
      </c>
      <c r="B71" s="22">
        <f t="shared" si="1"/>
        <v>0.60328207218236207</v>
      </c>
      <c r="C71" s="22">
        <f t="shared" si="2"/>
        <v>0.12046540340216154</v>
      </c>
      <c r="E71" s="37">
        <v>0.31000000000000016</v>
      </c>
      <c r="F71" s="41">
        <v>0.61700576491667636</v>
      </c>
      <c r="G71" s="41">
        <v>0.12711342658142763</v>
      </c>
    </row>
    <row r="72" spans="1:7" ht="19" x14ac:dyDescent="0.25">
      <c r="A72" s="26">
        <f t="shared" si="0"/>
        <v>0.31500000000000017</v>
      </c>
      <c r="B72" s="22">
        <f t="shared" si="1"/>
        <v>0.61743675382584906</v>
      </c>
      <c r="C72" s="22">
        <f t="shared" si="2"/>
        <v>0.12562346511932074</v>
      </c>
      <c r="E72" s="37">
        <v>0.31500000000000017</v>
      </c>
      <c r="F72" s="41">
        <v>0.63074344701013407</v>
      </c>
      <c r="G72" s="41">
        <v>0.13244819129331528</v>
      </c>
    </row>
    <row r="73" spans="1:7" ht="19" x14ac:dyDescent="0.25">
      <c r="A73" s="26">
        <f t="shared" si="0"/>
        <v>0.32000000000000017</v>
      </c>
      <c r="B73" s="22">
        <f t="shared" si="1"/>
        <v>0.63131455961009897</v>
      </c>
      <c r="C73" s="22">
        <f t="shared" si="2"/>
        <v>0.13090254936453175</v>
      </c>
      <c r="E73" s="37">
        <v>0.32000000000000017</v>
      </c>
      <c r="F73" s="41">
        <v>0.64417682379510488</v>
      </c>
      <c r="G73" s="41">
        <v>0.13789915379786621</v>
      </c>
    </row>
    <row r="74" spans="1:7" ht="19" x14ac:dyDescent="0.25">
      <c r="A74" s="26">
        <f t="shared" si="0"/>
        <v>0.32500000000000018</v>
      </c>
      <c r="B74" s="22">
        <f t="shared" si="1"/>
        <v>0.64489379752731801</v>
      </c>
      <c r="C74" s="22">
        <f t="shared" si="2"/>
        <v>0.13630028884919809</v>
      </c>
      <c r="E74" s="37">
        <v>0.32500000000000018</v>
      </c>
      <c r="F74" s="41">
        <v>0.65728807432312075</v>
      </c>
      <c r="G74" s="41">
        <v>0.14346363145361773</v>
      </c>
    </row>
    <row r="75" spans="1:7" ht="19" x14ac:dyDescent="0.25">
      <c r="A75" s="26">
        <f t="shared" ref="A75:A138" si="3">A74+$B$2</f>
        <v>0.33000000000000018</v>
      </c>
      <c r="B75" s="22">
        <f t="shared" ref="B75:B138" si="4">B74+$B$2*($B$3*B74-$B$3/$B$4*B74^2)</f>
        <v>0.65815491077509891</v>
      </c>
      <c r="C75" s="22">
        <f t="shared" ref="C75:C138" si="5">C74+$B$2*$B$5*B74</f>
        <v>0.14181413081805666</v>
      </c>
      <c r="E75" s="37">
        <v>0.33000000000000018</v>
      </c>
      <c r="F75" s="41">
        <v>0.67006156953123008</v>
      </c>
      <c r="G75" s="41">
        <v>0.14913879854483605</v>
      </c>
    </row>
    <row r="76" spans="1:7" ht="19" x14ac:dyDescent="0.25">
      <c r="A76" s="26">
        <f t="shared" si="3"/>
        <v>0.33500000000000019</v>
      </c>
      <c r="B76" s="22">
        <f t="shared" si="4"/>
        <v>0.67108055044063564</v>
      </c>
      <c r="C76" s="22">
        <f t="shared" si="5"/>
        <v>0.14744135530518376</v>
      </c>
      <c r="E76" s="37">
        <v>0.33500000000000019</v>
      </c>
      <c r="F76" s="41">
        <v>0.68248388547015426</v>
      </c>
      <c r="G76" s="41">
        <v>0.15492170513889528</v>
      </c>
    </row>
    <row r="77" spans="1:7" ht="19" x14ac:dyDescent="0.25">
      <c r="A77" s="26">
        <f t="shared" si="3"/>
        <v>0.34000000000000019</v>
      </c>
      <c r="B77" s="22">
        <f t="shared" si="4"/>
        <v>0.68365561756974114</v>
      </c>
      <c r="C77" s="22">
        <f t="shared" si="5"/>
        <v>0.15317909401145119</v>
      </c>
      <c r="E77" s="37">
        <v>0.34000000000000019</v>
      </c>
      <c r="F77" s="41">
        <v>0.69454378986253562</v>
      </c>
      <c r="G77" s="41">
        <v>0.16080929593885535</v>
      </c>
    </row>
    <row r="78" spans="1:7" ht="19" x14ac:dyDescent="0.25">
      <c r="A78" s="26">
        <f t="shared" si="3"/>
        <v>0.3450000000000002</v>
      </c>
      <c r="B78" s="22">
        <f t="shared" si="4"/>
        <v>0.69586727570676077</v>
      </c>
      <c r="C78" s="22">
        <f t="shared" si="5"/>
        <v>0.15902434954167247</v>
      </c>
      <c r="E78" s="37">
        <v>0.3450000000000002</v>
      </c>
      <c r="F78" s="41">
        <v>0.70623220415222276</v>
      </c>
      <c r="G78" s="41">
        <v>0.16679842891154453</v>
      </c>
    </row>
    <row r="79" spans="1:7" ht="19" x14ac:dyDescent="0.25">
      <c r="A79" s="26">
        <f t="shared" si="3"/>
        <v>0.3500000000000002</v>
      </c>
      <c r="B79" s="22">
        <f t="shared" si="4"/>
        <v>0.70770493558079783</v>
      </c>
      <c r="C79" s="22">
        <f t="shared" si="5"/>
        <v>0.16497401474896528</v>
      </c>
      <c r="E79" s="37">
        <v>0.3500000000000002</v>
      </c>
      <c r="F79" s="41">
        <v>0.71754214354609636</v>
      </c>
      <c r="G79" s="41">
        <v>0.17288589349160063</v>
      </c>
    </row>
    <row r="80" spans="1:7" ht="19" x14ac:dyDescent="0.25">
      <c r="A80" s="26">
        <f t="shared" si="3"/>
        <v>0.3550000000000002</v>
      </c>
      <c r="B80" s="22">
        <f t="shared" si="4"/>
        <v>0.71916021410828146</v>
      </c>
      <c r="C80" s="22">
        <f t="shared" si="5"/>
        <v>0.1710248919481811</v>
      </c>
      <c r="E80" s="37">
        <v>0.3550000000000002</v>
      </c>
      <c r="F80" s="41">
        <v>0.72846863778927984</v>
      </c>
      <c r="G80" s="41">
        <v>0.17906842818455093</v>
      </c>
    </row>
    <row r="81" spans="1:7" ht="19" x14ac:dyDescent="0.25">
      <c r="A81" s="26">
        <f t="shared" si="3"/>
        <v>0.36000000000000021</v>
      </c>
      <c r="B81" s="22">
        <f t="shared" si="4"/>
        <v>0.73022687027286792</v>
      </c>
      <c r="C81" s="22">
        <f t="shared" si="5"/>
        <v>0.17717371177880692</v>
      </c>
      <c r="E81" s="37">
        <v>0.36000000000000021</v>
      </c>
      <c r="F81" s="41">
        <v>0.73900863555591945</v>
      </c>
      <c r="G81" s="41">
        <v>0.18534273741625859</v>
      </c>
    </row>
    <row r="82" spans="1:7" ht="19" x14ac:dyDescent="0.25">
      <c r="A82" s="26">
        <f t="shared" si="3"/>
        <v>0.36500000000000021</v>
      </c>
      <c r="B82" s="22">
        <f t="shared" si="4"/>
        <v>0.74090072072735003</v>
      </c>
      <c r="C82" s="22">
        <f t="shared" si="5"/>
        <v>0.18341715151963994</v>
      </c>
      <c r="E82" s="37">
        <v>0.36500000000000021</v>
      </c>
      <c r="F82" s="41">
        <v>0.74916089538782449</v>
      </c>
      <c r="G82" s="41">
        <v>0.19170550750111107</v>
      </c>
    </row>
    <row r="83" spans="1:7" ht="19" x14ac:dyDescent="0.25">
      <c r="A83" s="26">
        <f t="shared" si="3"/>
        <v>0.37000000000000022</v>
      </c>
      <c r="B83" s="22">
        <f t="shared" si="4"/>
        <v>0.75117953813997329</v>
      </c>
      <c r="C83" s="22">
        <f t="shared" si="5"/>
        <v>0.18975185268185879</v>
      </c>
      <c r="E83" s="37">
        <v>0.37000000000000022</v>
      </c>
      <c r="F83" s="41">
        <v>0.75892586608162993</v>
      </c>
      <c r="G83" s="41">
        <v>0.19815342162643343</v>
      </c>
    </row>
    <row r="84" spans="1:7" ht="19" x14ac:dyDescent="0.25">
      <c r="A84" s="26">
        <f t="shared" si="3"/>
        <v>0.37500000000000022</v>
      </c>
      <c r="B84" s="22">
        <f t="shared" si="4"/>
        <v>0.76106293538487346</v>
      </c>
      <c r="C84" s="22">
        <f t="shared" si="5"/>
        <v>0.19617443773295556</v>
      </c>
      <c r="E84" s="37">
        <v>0.37500000000000022</v>
      </c>
      <c r="F84" s="41">
        <v>0.76830555932317923</v>
      </c>
      <c r="G84" s="41">
        <v>0.20468317377512027</v>
      </c>
    </row>
    <row r="85" spans="1:7" ht="19" x14ac:dyDescent="0.25">
      <c r="A85" s="26">
        <f t="shared" si="3"/>
        <v>0.38000000000000023</v>
      </c>
      <c r="B85" s="22">
        <f t="shared" si="4"/>
        <v>0.77055223866227429</v>
      </c>
      <c r="C85" s="22">
        <f t="shared" si="5"/>
        <v>0.20268152583049623</v>
      </c>
      <c r="E85" s="37">
        <v>0.38000000000000023</v>
      </c>
      <c r="F85" s="41">
        <v>0.7773034172080151</v>
      </c>
      <c r="G85" s="41">
        <v>0.21129148153184402</v>
      </c>
    </row>
    <row r="86" spans="1:7" ht="19" x14ac:dyDescent="0.25">
      <c r="A86" s="26">
        <f t="shared" si="3"/>
        <v>0.38500000000000023</v>
      </c>
      <c r="B86" s="22">
        <f t="shared" si="4"/>
        <v>0.77965035254014525</v>
      </c>
      <c r="C86" s="22">
        <f t="shared" si="5"/>
        <v>0.20926974747105867</v>
      </c>
      <c r="E86" s="37">
        <v>0.38500000000000023</v>
      </c>
      <c r="F86" s="41">
        <v>0.78592417708204632</v>
      </c>
      <c r="G86" s="41">
        <v>0.21797509773997664</v>
      </c>
    </row>
    <row r="87" spans="1:7" ht="19" x14ac:dyDescent="0.25">
      <c r="A87" s="26">
        <f t="shared" si="3"/>
        <v>0.39000000000000024</v>
      </c>
      <c r="B87" s="22">
        <f t="shared" si="4"/>
        <v>0.78836161974839047</v>
      </c>
      <c r="C87" s="22">
        <f t="shared" si="5"/>
        <v>0.21593575798527692</v>
      </c>
      <c r="E87" s="37">
        <v>0.39000000000000024</v>
      </c>
      <c r="F87" s="41">
        <v>0.79417373589919571</v>
      </c>
      <c r="G87" s="41">
        <v>0.22473082099622255</v>
      </c>
    </row>
    <row r="88" spans="1:7" ht="19" x14ac:dyDescent="0.25">
      <c r="A88" s="26">
        <f t="shared" si="3"/>
        <v>0.39500000000000024</v>
      </c>
      <c r="B88" s="22">
        <f t="shared" si="4"/>
        <v>0.79669167834324406</v>
      </c>
      <c r="C88" s="22">
        <f t="shared" si="5"/>
        <v>0.22267624983412565</v>
      </c>
      <c r="E88" s="37">
        <v>0.39500000000000024</v>
      </c>
      <c r="F88" s="41">
        <v>0.80205901603490781</v>
      </c>
      <c r="G88" s="41">
        <v>0.23155550498768115</v>
      </c>
    </row>
    <row r="89" spans="1:7" ht="19" x14ac:dyDescent="0.25">
      <c r="A89" s="26">
        <f t="shared" si="3"/>
        <v>0.40000000000000024</v>
      </c>
      <c r="B89" s="22">
        <f t="shared" si="4"/>
        <v>0.80464731860732219</v>
      </c>
      <c r="C89" s="22">
        <f t="shared" si="5"/>
        <v>0.22948796368396038</v>
      </c>
      <c r="E89" s="37">
        <v>0.40000000000000024</v>
      </c>
      <c r="F89" s="41">
        <v>0.80958783422644098</v>
      </c>
      <c r="G89" s="41">
        <v>0.23844606669150695</v>
      </c>
    </row>
    <row r="90" spans="1:7" ht="19" x14ac:dyDescent="0.25">
      <c r="A90" s="26">
        <f t="shared" si="3"/>
        <v>0.40500000000000025</v>
      </c>
      <c r="B90" s="22">
        <f t="shared" si="4"/>
        <v>0.81223634177301884</v>
      </c>
      <c r="C90" s="22">
        <f t="shared" si="5"/>
        <v>0.23636769825805298</v>
      </c>
      <c r="E90" s="37">
        <v>0.40500000000000025</v>
      </c>
      <c r="F90" s="41">
        <v>0.81676877504211798</v>
      </c>
      <c r="G90" s="41">
        <v>0.24539949347047069</v>
      </c>
    </row>
    <row r="91" spans="1:7" ht="19" x14ac:dyDescent="0.25">
      <c r="A91" s="26">
        <f t="shared" si="3"/>
        <v>0.41000000000000025</v>
      </c>
      <c r="B91" s="22">
        <f t="shared" si="4"/>
        <v>0.81946742236580961</v>
      </c>
      <c r="C91" s="22">
        <f t="shared" si="5"/>
        <v>0.2433123189802123</v>
      </c>
      <c r="E91" s="37">
        <v>0.41000000000000025</v>
      </c>
      <c r="F91" s="41">
        <v>0.82361107001986622</v>
      </c>
      <c r="G91" s="41">
        <v>0.25241284910857686</v>
      </c>
    </row>
    <row r="92" spans="1:7" ht="19" x14ac:dyDescent="0.25">
      <c r="A92" s="26">
        <f t="shared" si="3"/>
        <v>0.41500000000000026</v>
      </c>
      <c r="B92" s="22">
        <f t="shared" si="4"/>
        <v>0.82634997567025348</v>
      </c>
      <c r="C92" s="22">
        <f t="shared" si="5"/>
        <v>0.25031876544143999</v>
      </c>
      <c r="E92" s="37">
        <v>0.41500000000000026</v>
      </c>
      <c r="F92" s="41">
        <v>0.83012448336659328</v>
      </c>
      <c r="G92" s="41">
        <v>0.25948327883954969</v>
      </c>
    </row>
    <row r="93" spans="1:7" ht="19" x14ac:dyDescent="0.25">
      <c r="A93" s="26">
        <f t="shared" si="3"/>
        <v>0.42000000000000026</v>
      </c>
      <c r="B93" s="22">
        <f t="shared" si="4"/>
        <v>0.83289403153409125</v>
      </c>
      <c r="C93" s="22">
        <f t="shared" si="5"/>
        <v>0.25738405773342066</v>
      </c>
      <c r="E93" s="37">
        <v>0.42000000000000026</v>
      </c>
      <c r="F93" s="41">
        <v>0.83631920487884126</v>
      </c>
      <c r="G93" s="41">
        <v>0.26660801342759349</v>
      </c>
    </row>
    <row r="94" spans="1:7" ht="19" x14ac:dyDescent="0.25">
      <c r="A94" s="26">
        <f t="shared" si="3"/>
        <v>0.42500000000000027</v>
      </c>
      <c r="B94" s="22">
        <f t="shared" si="4"/>
        <v>0.83911011545211167</v>
      </c>
      <c r="C94" s="22">
        <f t="shared" si="5"/>
        <v>0.26450530170303715</v>
      </c>
      <c r="E94" s="37">
        <v>0.42500000000000027</v>
      </c>
      <c r="F94" s="41">
        <v>0.84220575053498603</v>
      </c>
      <c r="G94" s="41">
        <v>0.27378437236453773</v>
      </c>
    </row>
    <row r="95" spans="1:7" ht="19" x14ac:dyDescent="0.25">
      <c r="A95" s="26">
        <f t="shared" si="3"/>
        <v>0.43000000000000027</v>
      </c>
      <c r="B95" s="22">
        <f t="shared" si="4"/>
        <v>0.84500913761694763</v>
      </c>
      <c r="C95" s="22">
        <f t="shared" si="5"/>
        <v>0.27167969319015273</v>
      </c>
      <c r="E95" s="37">
        <v>0.43000000000000027</v>
      </c>
      <c r="F95" s="41">
        <v>0.84779487102195983</v>
      </c>
      <c r="G95" s="41">
        <v>0.28100976625047486</v>
      </c>
    </row>
    <row r="96" spans="1:7" ht="19" x14ac:dyDescent="0.25">
      <c r="A96" s="26">
        <f t="shared" si="3"/>
        <v>0.43500000000000028</v>
      </c>
      <c r="B96" s="22">
        <f t="shared" si="4"/>
        <v>0.85060229039258428</v>
      </c>
      <c r="C96" s="22">
        <f t="shared" si="5"/>
        <v>0.27890452131677762</v>
      </c>
      <c r="E96" s="37">
        <v>0.43500000000000028</v>
      </c>
      <c r="F96" s="41">
        <v>0.85309746829598143</v>
      </c>
      <c r="G96" s="41">
        <v>0.28828169842649792</v>
      </c>
    </row>
    <row r="97" spans="1:7" ht="19" x14ac:dyDescent="0.25">
      <c r="A97" s="26">
        <f t="shared" si="3"/>
        <v>0.44000000000000028</v>
      </c>
      <c r="B97" s="22">
        <f t="shared" si="4"/>
        <v>0.85590095446055092</v>
      </c>
      <c r="C97" s="22">
        <f t="shared" si="5"/>
        <v>0.28617717089963424</v>
      </c>
      <c r="E97" s="37">
        <v>0.44000000000000028</v>
      </c>
      <c r="F97" s="41">
        <v>0.85812452013707385</v>
      </c>
      <c r="G97" s="41">
        <v>0.29559776592834769</v>
      </c>
    </row>
    <row r="98" spans="1:7" ht="19" x14ac:dyDescent="0.25">
      <c r="A98" s="26">
        <f t="shared" si="3"/>
        <v>0.44500000000000028</v>
      </c>
      <c r="B98" s="22">
        <f t="shared" si="4"/>
        <v>0.86091661370969086</v>
      </c>
      <c r="C98" s="22">
        <f t="shared" si="5"/>
        <v>0.29349512406027195</v>
      </c>
      <c r="E98" s="37">
        <v>0.44500000000000028</v>
      </c>
      <c r="F98" s="41">
        <v>0.86288701254051814</v>
      </c>
      <c r="G98" s="41">
        <v>0.30295565982888678</v>
      </c>
    </row>
    <row r="99" spans="1:7" ht="19" x14ac:dyDescent="0.25">
      <c r="A99" s="26">
        <f t="shared" si="3"/>
        <v>0.45000000000000029</v>
      </c>
      <c r="B99" s="22">
        <f t="shared" si="4"/>
        <v>0.86566077878813397</v>
      </c>
      <c r="C99" s="22">
        <f t="shared" si="5"/>
        <v>0.3008559611074898</v>
      </c>
      <c r="E99" s="37">
        <v>0.45000000000000029</v>
      </c>
      <c r="F99" s="41">
        <v>0.86739587969357757</v>
      </c>
      <c r="G99" s="41">
        <v>0.31035316503552629</v>
      </c>
    </row>
    <row r="100" spans="1:7" ht="19" x14ac:dyDescent="0.25">
      <c r="A100" s="26">
        <f t="shared" si="3"/>
        <v>0.45500000000000029</v>
      </c>
      <c r="B100" s="22">
        <f t="shared" si="4"/>
        <v>0.87014491910987257</v>
      </c>
      <c r="C100" s="22">
        <f t="shared" si="5"/>
        <v>0.30825736076612836</v>
      </c>
      <c r="E100" s="37">
        <v>0.45500000000000029</v>
      </c>
      <c r="F100" s="41">
        <v>0.87166195121118117</v>
      </c>
      <c r="G100" s="41">
        <v>0.31778815960621609</v>
      </c>
    </row>
    <row r="101" spans="1:7" ht="19" x14ac:dyDescent="0.25">
      <c r="A101" s="26">
        <f t="shared" si="3"/>
        <v>0.4600000000000003</v>
      </c>
      <c r="B101" s="22">
        <f t="shared" si="4"/>
        <v>0.87438040300672493</v>
      </c>
      <c r="C101" s="22">
        <f t="shared" si="5"/>
        <v>0.31569709982451777</v>
      </c>
      <c r="E101" s="37">
        <v>0.4600000000000003</v>
      </c>
      <c r="F101" s="41">
        <v>0.87569590624788596</v>
      </c>
      <c r="G101" s="41">
        <v>0.32525861364454162</v>
      </c>
    </row>
    <row r="102" spans="1:7" ht="19" x14ac:dyDescent="0.25">
      <c r="A102" s="26">
        <f t="shared" si="3"/>
        <v>0.4650000000000003</v>
      </c>
      <c r="B102" s="22">
        <f t="shared" si="4"/>
        <v>0.87837844563757572</v>
      </c>
      <c r="C102" s="22">
        <f t="shared" si="5"/>
        <v>0.32317305227022525</v>
      </c>
      <c r="E102" s="37">
        <v>0.4650000000000003</v>
      </c>
      <c r="F102" s="41">
        <v>0.87950823406331391</v>
      </c>
      <c r="G102" s="41">
        <v>0.33276258783099127</v>
      </c>
    </row>
    <row r="103" spans="1:7" ht="19" x14ac:dyDescent="0.25">
      <c r="A103" s="26">
        <f t="shared" si="3"/>
        <v>0.47000000000000031</v>
      </c>
      <c r="B103" s="22">
        <f t="shared" si="4"/>
        <v>0.88215006420840636</v>
      </c>
      <c r="C103" s="22">
        <f t="shared" si="5"/>
        <v>0.33068318798042651</v>
      </c>
      <c r="E103" s="37">
        <v>0.47000000000000031</v>
      </c>
      <c r="F103" s="41">
        <v>0.88310920059231335</v>
      </c>
      <c r="G103" s="41">
        <v>0.3402982316437041</v>
      </c>
    </row>
    <row r="104" spans="1:7" ht="19" x14ac:dyDescent="0.25">
      <c r="A104" s="26">
        <f t="shared" si="3"/>
        <v>0.47500000000000031</v>
      </c>
      <c r="B104" s="22">
        <f t="shared" si="4"/>
        <v>0.88570604001641906</v>
      </c>
      <c r="C104" s="22">
        <f t="shared" si="5"/>
        <v>0.33822557102940837</v>
      </c>
      <c r="E104" s="37">
        <v>0.47500000000000031</v>
      </c>
      <c r="F104" s="41">
        <v>0.88650882055729163</v>
      </c>
      <c r="G104" s="41">
        <v>0.34786378131808532</v>
      </c>
    </row>
    <row r="105" spans="1:7" ht="19" x14ac:dyDescent="0.25">
      <c r="A105" s="26">
        <f t="shared" si="3"/>
        <v>0.48000000000000032</v>
      </c>
      <c r="B105" s="22">
        <f t="shared" si="4"/>
        <v>0.8890568868071087</v>
      </c>
      <c r="C105" s="22">
        <f t="shared" si="5"/>
        <v>0.34579835767154876</v>
      </c>
      <c r="E105" s="37">
        <v>0.48000000000000032</v>
      </c>
      <c r="F105" s="41">
        <v>0.88971683465656426</v>
      </c>
      <c r="G105" s="41">
        <v>0.35545755759068681</v>
      </c>
    </row>
    <row r="106" spans="1:7" ht="19" x14ac:dyDescent="0.25">
      <c r="A106" s="26">
        <f t="shared" si="3"/>
        <v>0.48500000000000032</v>
      </c>
      <c r="B106" s="22">
        <f t="shared" si="4"/>
        <v>0.89221282492208687</v>
      </c>
      <c r="C106" s="22">
        <f t="shared" si="5"/>
        <v>0.35339979405374955</v>
      </c>
      <c r="E106" s="37">
        <v>0.48500000000000032</v>
      </c>
      <c r="F106" s="41">
        <v>0.89274269136735185</v>
      </c>
      <c r="G106" s="41">
        <v>0.36307796326876629</v>
      </c>
    </row>
    <row r="107" spans="1:7" ht="19" x14ac:dyDescent="0.25">
      <c r="A107" s="26">
        <f t="shared" si="3"/>
        <v>0.49000000000000032</v>
      </c>
      <c r="B107" s="22">
        <f t="shared" si="4"/>
        <v>0.89518376071556649</v>
      </c>
      <c r="C107" s="22">
        <f t="shared" si="5"/>
        <v>0.36102821370683341</v>
      </c>
      <c r="E107" s="37">
        <v>0.49000000000000032</v>
      </c>
      <c r="F107" s="41">
        <v>0.89559553291357397</v>
      </c>
      <c r="G107" s="41">
        <v>0.37072348066302996</v>
      </c>
    </row>
    <row r="108" spans="1:7" ht="19" x14ac:dyDescent="0.25">
      <c r="A108" s="26">
        <f t="shared" si="3"/>
        <v>0.49500000000000033</v>
      </c>
      <c r="B108" s="22">
        <f t="shared" si="4"/>
        <v>0.89797927072658434</v>
      </c>
      <c r="C108" s="22">
        <f t="shared" si="5"/>
        <v>0.36868203486095152</v>
      </c>
      <c r="E108" s="37">
        <v>0.49500000000000033</v>
      </c>
      <c r="F108" s="41">
        <v>0.89828418496535811</v>
      </c>
      <c r="G108" s="41">
        <v>0.37839266891727874</v>
      </c>
    </row>
    <row r="109" spans="1:7" ht="19" x14ac:dyDescent="0.25">
      <c r="A109" s="26">
        <f t="shared" si="3"/>
        <v>0.50000000000000033</v>
      </c>
      <c r="B109" s="22">
        <f t="shared" si="4"/>
        <v>0.90060859011036765</v>
      </c>
      <c r="C109" s="22">
        <f t="shared" si="5"/>
        <v>0.37635975762566382</v>
      </c>
      <c r="E109" s="37">
        <v>0.50000000000000033</v>
      </c>
      <c r="F109" s="41">
        <v>0.90081714965788406</v>
      </c>
      <c r="G109" s="41">
        <v>0.38608416126505446</v>
      </c>
    </row>
    <row r="110" spans="1:7" ht="19" x14ac:dyDescent="0.25">
      <c r="A110" s="26">
        <f t="shared" si="3"/>
        <v>0.50500000000000034</v>
      </c>
      <c r="B110" s="22">
        <f t="shared" si="4"/>
        <v>0.90308060485405606</v>
      </c>
      <c r="C110" s="22">
        <f t="shared" si="5"/>
        <v>0.38405996107110746</v>
      </c>
      <c r="E110" s="37">
        <v>0.50500000000000034</v>
      </c>
      <c r="F110" s="41">
        <v>0.90320260154069476</v>
      </c>
      <c r="G110" s="41">
        <v>0.39379666223995308</v>
      </c>
    </row>
    <row r="111" spans="1:7" ht="19" x14ac:dyDescent="0.25">
      <c r="A111" s="26">
        <f t="shared" si="3"/>
        <v>0.51000000000000034</v>
      </c>
      <c r="B111" s="22">
        <f t="shared" si="4"/>
        <v>0.90540384732778001</v>
      </c>
      <c r="C111" s="22">
        <f t="shared" si="5"/>
        <v>0.39178130024260965</v>
      </c>
      <c r="E111" s="37">
        <v>0.51000000000000034</v>
      </c>
      <c r="F111" s="41">
        <v>0.90544838609395106</v>
      </c>
      <c r="G111" s="41">
        <v>0.40152894486305046</v>
      </c>
    </row>
    <row r="112" spans="1:7" ht="19" x14ac:dyDescent="0.25">
      <c r="A112" s="26">
        <f t="shared" si="3"/>
        <v>0.51500000000000035</v>
      </c>
      <c r="B112" s="22">
        <f t="shared" si="4"/>
        <v>0.9075864947506066</v>
      </c>
      <c r="C112" s="22">
        <f t="shared" si="5"/>
        <v>0.39952250313726217</v>
      </c>
      <c r="E112" s="37">
        <v>0.51500000000000035</v>
      </c>
      <c r="F112" s="41">
        <v>0.90756202047447787</v>
      </c>
      <c r="G112" s="41">
        <v>0.40927984782789023</v>
      </c>
    </row>
    <row r="113" spans="1:7" ht="19" x14ac:dyDescent="0.25">
      <c r="A113" s="26">
        <f t="shared" si="3"/>
        <v>0.52000000000000035</v>
      </c>
      <c r="B113" s="22">
        <f t="shared" si="4"/>
        <v>0.90963637018100874</v>
      </c>
      <c r="C113" s="22">
        <f t="shared" si="5"/>
        <v>0.40728236766737985</v>
      </c>
      <c r="E113" s="37">
        <v>0.52000000000000035</v>
      </c>
      <c r="F113" s="41">
        <v>0.90955069618117923</v>
      </c>
      <c r="G113" s="41">
        <v>0.41704827270071321</v>
      </c>
    </row>
    <row r="114" spans="1:7" ht="19" x14ac:dyDescent="0.25">
      <c r="A114" s="26">
        <f t="shared" si="3"/>
        <v>0.52500000000000036</v>
      </c>
      <c r="B114" s="22">
        <f t="shared" si="4"/>
        <v>0.91156094567241441</v>
      </c>
      <c r="C114" s="22">
        <f t="shared" si="5"/>
        <v>0.4150597586324275</v>
      </c>
      <c r="E114" s="37">
        <v>0.52500000000000036</v>
      </c>
      <c r="F114" s="41">
        <v>0.91142128335594652</v>
      </c>
      <c r="G114" s="41">
        <v>0.42483318115106877</v>
      </c>
    </row>
    <row r="115" spans="1:7" ht="19" x14ac:dyDescent="0.25">
      <c r="A115" s="26">
        <f t="shared" si="3"/>
        <v>0.53000000000000036</v>
      </c>
      <c r="B115" s="22">
        <f t="shared" si="4"/>
        <v>0.91336734726531421</v>
      </c>
      <c r="C115" s="22">
        <f t="shared" si="5"/>
        <v>0.42285360471792666</v>
      </c>
      <c r="E115" s="37">
        <v>0.53000000000000036</v>
      </c>
      <c r="F115" s="41">
        <v>0.91318033646212704</v>
      </c>
      <c r="G115" s="41">
        <v>0.43263359222563313</v>
      </c>
    </row>
    <row r="116" spans="1:7" ht="19" x14ac:dyDescent="0.25">
      <c r="A116" s="26">
        <f t="shared" si="3"/>
        <v>0.53500000000000036</v>
      </c>
      <c r="B116" s="22">
        <f t="shared" si="4"/>
        <v>0.91506236151778142</v>
      </c>
      <c r="C116" s="22">
        <f t="shared" si="5"/>
        <v>0.43066289553704512</v>
      </c>
      <c r="E116" s="37">
        <v>0.53500000000000036</v>
      </c>
      <c r="F116" s="41">
        <v>0.91483410110762875</v>
      </c>
      <c r="G116" s="41">
        <v>0.44044857967596346</v>
      </c>
    </row>
    <row r="117" spans="1:7" ht="19" x14ac:dyDescent="0.25">
      <c r="A117" s="26">
        <f t="shared" si="3"/>
        <v>0.54000000000000037</v>
      </c>
      <c r="B117" s="22">
        <f t="shared" si="4"/>
        <v>0.91665244330564755</v>
      </c>
      <c r="C117" s="22">
        <f t="shared" si="5"/>
        <v>0.43848667872802216</v>
      </c>
      <c r="E117" s="37">
        <v>0.54000000000000037</v>
      </c>
      <c r="F117" s="41">
        <v>0.91638852180357755</v>
      </c>
      <c r="G117" s="41">
        <v>0.44827726934902995</v>
      </c>
    </row>
    <row r="118" spans="1:7" ht="19" x14ac:dyDescent="0.25">
      <c r="A118" s="26">
        <f t="shared" si="3"/>
        <v>0.54500000000000037</v>
      </c>
      <c r="B118" s="22">
        <f t="shared" si="4"/>
        <v>0.91814372465164307</v>
      </c>
      <c r="C118" s="22">
        <f t="shared" si="5"/>
        <v>0.44632405711828543</v>
      </c>
      <c r="E118" s="37">
        <v>0.54500000000000037</v>
      </c>
      <c r="F118" s="41">
        <v>0.91784925047194055</v>
      </c>
      <c r="G118" s="41">
        <v>0.45611883664767888</v>
      </c>
    </row>
    <row r="119" spans="1:7" ht="19" x14ac:dyDescent="0.25">
      <c r="A119" s="26">
        <f t="shared" si="3"/>
        <v>0.55000000000000038</v>
      </c>
      <c r="B119" s="22">
        <f t="shared" si="4"/>
        <v>0.91954202436932986</v>
      </c>
      <c r="C119" s="22">
        <f t="shared" si="5"/>
        <v>0.45417418596405701</v>
      </c>
      <c r="E119" s="37">
        <v>0.55000000000000038</v>
      </c>
      <c r="F119" s="41">
        <v>0.91922165553658375</v>
      </c>
      <c r="G119" s="41">
        <v>0.46397250406667845</v>
      </c>
    </row>
    <row r="120" spans="1:7" ht="19" x14ac:dyDescent="0.25">
      <c r="A120" s="26">
        <f t="shared" si="3"/>
        <v>0.55500000000000038</v>
      </c>
      <c r="B120" s="22">
        <f t="shared" si="4"/>
        <v>0.92085285833246611</v>
      </c>
      <c r="C120" s="22">
        <f t="shared" si="5"/>
        <v>0.46203627027241478</v>
      </c>
      <c r="E120" s="37">
        <v>0.55500000000000038</v>
      </c>
      <c r="F120" s="41">
        <v>0.92051083145177992</v>
      </c>
      <c r="G120" s="41">
        <v>0.47183753880866941</v>
      </c>
    </row>
    <row r="121" spans="1:7" ht="19" x14ac:dyDescent="0.25">
      <c r="A121" s="26">
        <f t="shared" si="3"/>
        <v>0.56000000000000039</v>
      </c>
      <c r="B121" s="22">
        <f t="shared" si="4"/>
        <v>0.92208145020346677</v>
      </c>
      <c r="C121" s="22">
        <f t="shared" si="5"/>
        <v>0.46990956221115737</v>
      </c>
      <c r="E121" s="37">
        <v>0.56000000000000039</v>
      </c>
      <c r="F121" s="41">
        <v>0.92172160854020613</v>
      </c>
      <c r="G121" s="41">
        <v>0.47971325048317615</v>
      </c>
    </row>
    <row r="122" spans="1:7" ht="19" x14ac:dyDescent="0.25">
      <c r="A122" s="26">
        <f t="shared" si="3"/>
        <v>0.56500000000000039</v>
      </c>
      <c r="B122" s="22">
        <f t="shared" si="4"/>
        <v>0.92323274247582465</v>
      </c>
      <c r="C122" s="22">
        <f t="shared" si="5"/>
        <v>0.47779335861039701</v>
      </c>
      <c r="E122" s="37">
        <v>0.56500000000000039</v>
      </c>
      <c r="F122" s="41">
        <v>0.92285856302898883</v>
      </c>
      <c r="G122" s="41">
        <v>0.4875989888908126</v>
      </c>
    </row>
    <row r="123" spans="1:7" ht="19" x14ac:dyDescent="0.25">
      <c r="A123" s="26">
        <f t="shared" si="3"/>
        <v>0.5700000000000004</v>
      </c>
      <c r="B123" s="22">
        <f t="shared" si="4"/>
        <v>0.92431140770474352</v>
      </c>
      <c r="C123" s="22">
        <f t="shared" si="5"/>
        <v>0.48568699855856534</v>
      </c>
      <c r="E123" s="37">
        <v>0.5700000000000004</v>
      </c>
      <c r="F123" s="41">
        <v>0.92392602718739514</v>
      </c>
      <c r="G123" s="41">
        <v>0.49549414189393237</v>
      </c>
    </row>
    <row r="124" spans="1:7" ht="19" x14ac:dyDescent="0.25">
      <c r="A124" s="26">
        <f t="shared" si="3"/>
        <v>0.5750000000000004</v>
      </c>
      <c r="B124" s="22">
        <f t="shared" si="4"/>
        <v>0.92532185981785142</v>
      </c>
      <c r="C124" s="22">
        <f t="shared" si="5"/>
        <v>0.49358986109444092</v>
      </c>
      <c r="E124" s="37">
        <v>0.5750000000000004</v>
      </c>
      <c r="F124" s="41">
        <v>0.92492809948339805</v>
      </c>
      <c r="G124" s="41">
        <v>0.50339813337420936</v>
      </c>
    </row>
    <row r="125" spans="1:7" ht="19" x14ac:dyDescent="0.25">
      <c r="A125" s="26">
        <f t="shared" si="3"/>
        <v>0.5800000000000004</v>
      </c>
      <c r="B125" s="22">
        <f t="shared" si="4"/>
        <v>0.92626826541377361</v>
      </c>
      <c r="C125" s="22">
        <f t="shared" si="5"/>
        <v>0.50150136299588355</v>
      </c>
      <c r="E125" s="37">
        <v>0.5800000000000004</v>
      </c>
      <c r="F125" s="41">
        <v>0.92586865468862611</v>
      </c>
      <c r="G125" s="41">
        <v>0.51131042127698323</v>
      </c>
    </row>
    <row r="126" spans="1:7" ht="19" x14ac:dyDescent="0.25">
      <c r="A126" s="26">
        <f t="shared" si="3"/>
        <v>0.58500000000000041</v>
      </c>
      <c r="B126" s="22">
        <f t="shared" si="4"/>
        <v>0.92715455497063326</v>
      </c>
      <c r="C126" s="22">
        <f t="shared" si="5"/>
        <v>0.50942095666517129</v>
      </c>
      <c r="E126" s="37">
        <v>0.58500000000000041</v>
      </c>
      <c r="F126" s="41">
        <v>0.92675135387221619</v>
      </c>
      <c r="G126" s="41">
        <v>0.51923049574165114</v>
      </c>
    </row>
    <row r="127" spans="1:7" ht="19" x14ac:dyDescent="0.25">
      <c r="A127" s="26">
        <f t="shared" si="3"/>
        <v>0.59000000000000041</v>
      </c>
      <c r="B127" s="22">
        <f t="shared" si="4"/>
        <v>0.92798443389931295</v>
      </c>
      <c r="C127" s="22">
        <f t="shared" si="5"/>
        <v>0.51734812811017017</v>
      </c>
      <c r="E127" s="37">
        <v>0.59000000000000041</v>
      </c>
      <c r="F127" s="41">
        <v>0.92757965423391908</v>
      </c>
      <c r="G127" s="41">
        <v>0.52715787731692199</v>
      </c>
    </row>
    <row r="128" spans="1:7" ht="19" x14ac:dyDescent="0.25">
      <c r="A128" s="26">
        <f t="shared" si="3"/>
        <v>0.59500000000000042</v>
      </c>
      <c r="B128" s="22">
        <f t="shared" si="4"/>
        <v>0.9287613933876514</v>
      </c>
      <c r="C128" s="22">
        <f t="shared" si="5"/>
        <v>0.52528239502000929</v>
      </c>
      <c r="E128" s="37">
        <v>0.59500000000000042</v>
      </c>
      <c r="F128" s="41">
        <v>0.92835681873553222</v>
      </c>
      <c r="G128" s="41">
        <v>0.53509211525936617</v>
      </c>
    </row>
    <row r="129" spans="1:7" ht="19" x14ac:dyDescent="0.25">
      <c r="A129" s="26">
        <f t="shared" si="3"/>
        <v>0.60000000000000042</v>
      </c>
      <c r="B129" s="22">
        <f t="shared" si="4"/>
        <v>0.9294887209917736</v>
      </c>
      <c r="C129" s="22">
        <f t="shared" si="5"/>
        <v>0.5332233049334737</v>
      </c>
      <c r="E129" s="37">
        <v>0.60000000000000042</v>
      </c>
      <c r="F129" s="41">
        <v>0.92908592549744828</v>
      </c>
      <c r="G129" s="41">
        <v>0.54303278591337845</v>
      </c>
    </row>
    <row r="130" spans="1:7" ht="19" x14ac:dyDescent="0.25">
      <c r="A130" s="26">
        <f t="shared" si="3"/>
        <v>0.60500000000000043</v>
      </c>
      <c r="B130" s="22">
        <f t="shared" si="4"/>
        <v>0.93016951093956934</v>
      </c>
      <c r="C130" s="22">
        <f t="shared" si="5"/>
        <v>0.54117043349795335</v>
      </c>
      <c r="E130" s="37">
        <v>0.60500000000000043</v>
      </c>
      <c r="F130" s="41">
        <v>0.92976987693389468</v>
      </c>
      <c r="G130" s="41">
        <v>0.55097949117041811</v>
      </c>
    </row>
    <row r="131" spans="1:7" ht="19" x14ac:dyDescent="0.25">
      <c r="A131" s="26">
        <f t="shared" si="3"/>
        <v>0.61000000000000043</v>
      </c>
      <c r="B131" s="22">
        <f t="shared" si="4"/>
        <v>0.93080667411904516</v>
      </c>
      <c r="C131" s="22">
        <f t="shared" si="5"/>
        <v>0.54912338281648665</v>
      </c>
      <c r="E131" s="37">
        <v>0.61000000000000043</v>
      </c>
      <c r="F131" s="41">
        <v>0.93041140860637972</v>
      </c>
      <c r="G131" s="41">
        <v>0.55893185700519199</v>
      </c>
    </row>
    <row r="132" spans="1:7" ht="19" x14ac:dyDescent="0.25">
      <c r="A132" s="26">
        <f t="shared" si="3"/>
        <v>0.61500000000000044</v>
      </c>
      <c r="B132" s="22">
        <f t="shared" si="4"/>
        <v>0.93140294773098242</v>
      </c>
      <c r="C132" s="22">
        <f t="shared" si="5"/>
        <v>0.55708177988020446</v>
      </c>
      <c r="E132" s="37">
        <v>0.61500000000000044</v>
      </c>
      <c r="F132" s="41">
        <v>0.93101309778003349</v>
      </c>
      <c r="G132" s="41">
        <v>0.56688953208629533</v>
      </c>
    </row>
    <row r="133" spans="1:7" ht="19" x14ac:dyDescent="0.25">
      <c r="A133" s="26">
        <f t="shared" si="3"/>
        <v>0.62000000000000044</v>
      </c>
      <c r="B133" s="22">
        <f t="shared" si="4"/>
        <v>0.93196090459113989</v>
      </c>
      <c r="C133" s="22">
        <f t="shared" si="5"/>
        <v>0.56504527508330438</v>
      </c>
      <c r="E133" s="37">
        <v>0.62000000000000044</v>
      </c>
      <c r="F133" s="41">
        <v>0.93157737167201571</v>
      </c>
      <c r="G133" s="41">
        <v>0.57485218645871416</v>
      </c>
    </row>
    <row r="134" spans="1:7" ht="19" x14ac:dyDescent="0.25">
      <c r="A134" s="26">
        <f t="shared" si="3"/>
        <v>0.62500000000000044</v>
      </c>
      <c r="B134" s="22">
        <f t="shared" si="4"/>
        <v>0.93248296207222658</v>
      </c>
      <c r="C134" s="22">
        <f t="shared" si="5"/>
        <v>0.57301354081755862</v>
      </c>
      <c r="E134" s="37">
        <v>0.62500000000000044</v>
      </c>
      <c r="F134" s="41">
        <v>0.93210651538502109</v>
      </c>
      <c r="G134" s="41">
        <v>0.58281951029551848</v>
      </c>
    </row>
    <row r="135" spans="1:7" ht="19" x14ac:dyDescent="0.25">
      <c r="A135" s="26">
        <f t="shared" si="3"/>
        <v>0.63000000000000045</v>
      </c>
      <c r="B135" s="22">
        <f t="shared" si="4"/>
        <v>0.93297139068013601</v>
      </c>
      <c r="C135" s="22">
        <f t="shared" si="5"/>
        <v>0.5809862701432762</v>
      </c>
      <c r="E135" s="37">
        <v>0.63000000000000045</v>
      </c>
      <c r="F135" s="41">
        <v>0.9326026795222202</v>
      </c>
      <c r="G135" s="41">
        <v>0.59079121271603108</v>
      </c>
    </row>
    <row r="136" spans="1:7" ht="19" x14ac:dyDescent="0.25">
      <c r="A136" s="26">
        <f t="shared" si="3"/>
        <v>0.63500000000000045</v>
      </c>
      <c r="B136" s="22">
        <f t="shared" si="4"/>
        <v>0.93342832226254713</v>
      </c>
      <c r="C136" s="22">
        <f t="shared" si="5"/>
        <v>0.58896317553359134</v>
      </c>
      <c r="E136" s="37">
        <v>0.63500000000000045</v>
      </c>
      <c r="F136" s="41">
        <v>0.9330678874827788</v>
      </c>
      <c r="G136" s="41">
        <v>0.5987670206677399</v>
      </c>
    </row>
    <row r="137" spans="1:7" ht="19" x14ac:dyDescent="0.25">
      <c r="A137" s="26">
        <f t="shared" si="3"/>
        <v>0.64000000000000046</v>
      </c>
      <c r="B137" s="22">
        <f t="shared" si="4"/>
        <v>0.93385575785103891</v>
      </c>
      <c r="C137" s="22">
        <f t="shared" si="5"/>
        <v>0.59694398768893608</v>
      </c>
      <c r="E137" s="37">
        <v>0.64000000000000046</v>
      </c>
      <c r="F137" s="41">
        <v>0.93350404243947271</v>
      </c>
      <c r="G137" s="41">
        <v>0.60674667786922265</v>
      </c>
    </row>
    <row r="138" spans="1:7" ht="19" x14ac:dyDescent="0.25">
      <c r="A138" s="26">
        <f t="shared" si="3"/>
        <v>0.64500000000000046</v>
      </c>
      <c r="B138" s="22">
        <f t="shared" si="4"/>
        <v>0.93425557514040347</v>
      </c>
      <c r="C138" s="22">
        <f t="shared" si="5"/>
        <v>0.60492845441856247</v>
      </c>
      <c r="E138" s="37">
        <v>0.64500000000000046</v>
      </c>
      <c r="F138" s="41">
        <v>0.93391293400189201</v>
      </c>
      <c r="G138" s="41">
        <v>0.61472994381137791</v>
      </c>
    </row>
    <row r="139" spans="1:7" ht="19" x14ac:dyDescent="0.25">
      <c r="A139" s="26">
        <f t="shared" ref="A139:A202" si="6">A138+$B$2</f>
        <v>0.65000000000000047</v>
      </c>
      <c r="B139" s="22">
        <f t="shared" ref="B139:B202" si="7">B138+$B$2*($B$3*B138-$B$3/$B$4*B138^2)</f>
        <v>0.93462953561092899</v>
      </c>
      <c r="C139" s="22">
        <f t="shared" ref="C139:C202" si="8">C138+$B$2*$B$5*B138</f>
        <v>0.61291633958601288</v>
      </c>
      <c r="E139" s="37">
        <v>0.65000000000000047</v>
      </c>
      <c r="F139" s="41">
        <v>0.93429624457036697</v>
      </c>
      <c r="G139" s="41">
        <v>0.62271659281429226</v>
      </c>
    </row>
    <row r="140" spans="1:7" ht="19" x14ac:dyDescent="0.25">
      <c r="A140" s="26">
        <f t="shared" si="6"/>
        <v>0.65500000000000047</v>
      </c>
      <c r="B140" s="22">
        <f t="shared" si="7"/>
        <v>0.93497929130112811</v>
      </c>
      <c r="C140" s="22">
        <f t="shared" si="8"/>
        <v>0.62090742211548633</v>
      </c>
      <c r="E140" s="37">
        <v>0.65500000000000047</v>
      </c>
      <c r="F140" s="41">
        <v>0.93465555538708767</v>
      </c>
      <c r="G140" s="41">
        <v>0.6307064131371245</v>
      </c>
    </row>
    <row r="141" spans="1:7" ht="19" x14ac:dyDescent="0.25">
      <c r="A141" s="26">
        <f t="shared" si="6"/>
        <v>0.66000000000000048</v>
      </c>
      <c r="B141" s="22">
        <f t="shared" si="7"/>
        <v>0.93530639123974735</v>
      </c>
      <c r="C141" s="22">
        <f t="shared" si="8"/>
        <v>0.62890149505611093</v>
      </c>
      <c r="E141" s="37">
        <v>0.66000000000000048</v>
      </c>
      <c r="F141" s="41">
        <v>0.93499235229195998</v>
      </c>
      <c r="G141" s="41">
        <v>0.63869920613844755</v>
      </c>
    </row>
    <row r="142" spans="1:7" ht="19" x14ac:dyDescent="0.25">
      <c r="A142" s="26">
        <f t="shared" si="6"/>
        <v>0.66500000000000048</v>
      </c>
      <c r="B142" s="22">
        <f t="shared" si="7"/>
        <v>0.93561228754695958</v>
      </c>
      <c r="C142" s="22">
        <f t="shared" si="8"/>
        <v>0.63689836470121075</v>
      </c>
      <c r="E142" s="37">
        <v>0.66500000000000048</v>
      </c>
      <c r="F142" s="41">
        <v>0.93530803119159045</v>
      </c>
      <c r="G142" s="41">
        <v>0.64669478548455783</v>
      </c>
    </row>
    <row r="143" spans="1:7" ht="19" x14ac:dyDescent="0.25">
      <c r="A143" s="26">
        <f t="shared" si="6"/>
        <v>0.67000000000000048</v>
      </c>
      <c r="B143" s="22">
        <f t="shared" si="7"/>
        <v>0.93589834121545568</v>
      </c>
      <c r="C143" s="22">
        <f t="shared" si="8"/>
        <v>0.6448978497597373</v>
      </c>
      <c r="E143" s="37">
        <v>0.67000000000000048</v>
      </c>
      <c r="F143" s="41">
        <v>0.9356039032504383</v>
      </c>
      <c r="G143" s="41">
        <v>0.65469297640333723</v>
      </c>
    </row>
    <row r="144" spans="1:7" ht="19" x14ac:dyDescent="0.25">
      <c r="A144" s="26">
        <f t="shared" si="6"/>
        <v>0.67500000000000049</v>
      </c>
      <c r="B144" s="22">
        <f t="shared" si="7"/>
        <v>0.93616582758274391</v>
      </c>
      <c r="C144" s="22">
        <f t="shared" si="8"/>
        <v>0.6528997805771295</v>
      </c>
      <c r="E144" s="37">
        <v>0.67500000000000049</v>
      </c>
      <c r="F144" s="41">
        <v>0.93588119981364981</v>
      </c>
      <c r="G144" s="41">
        <v>0.66269361498133106</v>
      </c>
    </row>
    <row r="145" spans="1:7" ht="19" x14ac:dyDescent="0.25">
      <c r="A145" s="26">
        <f t="shared" si="6"/>
        <v>0.68000000000000049</v>
      </c>
      <c r="B145" s="22">
        <f t="shared" si="7"/>
        <v>0.93641594150637508</v>
      </c>
      <c r="C145" s="22">
        <f t="shared" si="8"/>
        <v>0.66090399840296199</v>
      </c>
      <c r="E145" s="37">
        <v>0.68000000000000049</v>
      </c>
      <c r="F145" s="41">
        <v>0.93614107707142247</v>
      </c>
      <c r="G145" s="41">
        <v>0.67069654750178953</v>
      </c>
    </row>
    <row r="146" spans="1:7" ht="19" x14ac:dyDescent="0.25">
      <c r="A146" s="26">
        <f t="shared" si="6"/>
        <v>0.6850000000000005</v>
      </c>
      <c r="B146" s="22">
        <f t="shared" si="7"/>
        <v>0.93664980225405725</v>
      </c>
      <c r="C146" s="22">
        <f t="shared" si="8"/>
        <v>0.66891035470284155</v>
      </c>
      <c r="E146" s="37">
        <v>0.6850000000000005</v>
      </c>
      <c r="F146" s="41">
        <v>0.93638462047494941</v>
      </c>
      <c r="G146" s="41">
        <v>0.6787016298215065</v>
      </c>
    </row>
    <row r="147" spans="1:7" ht="19" x14ac:dyDescent="0.25">
      <c r="A147" s="26">
        <f t="shared" si="6"/>
        <v>0.6900000000000005</v>
      </c>
      <c r="B147" s="22">
        <f t="shared" si="7"/>
        <v>0.93686845812074271</v>
      </c>
      <c r="C147" s="22">
        <f t="shared" si="8"/>
        <v>0.67691871051211372</v>
      </c>
      <c r="E147" s="37">
        <v>0.6900000000000005</v>
      </c>
      <c r="F147" s="41">
        <v>0.93661284891409446</v>
      </c>
      <c r="G147" s="41">
        <v>0.68670872678437256</v>
      </c>
    </row>
    <row r="148" spans="1:7" ht="19" x14ac:dyDescent="0.25">
      <c r="A148" s="26">
        <f t="shared" si="6"/>
        <v>0.69500000000000051</v>
      </c>
      <c r="B148" s="22">
        <f t="shared" si="7"/>
        <v>0.93707289078476763</v>
      </c>
      <c r="C148" s="22">
        <f t="shared" si="8"/>
        <v>0.68492893582904602</v>
      </c>
      <c r="E148" s="37">
        <v>0.69500000000000051</v>
      </c>
      <c r="F148" s="41">
        <v>0.93682671866695777</v>
      </c>
      <c r="G148" s="41">
        <v>0.69471771166965135</v>
      </c>
    </row>
    <row r="149" spans="1:7" ht="19" x14ac:dyDescent="0.25">
      <c r="A149" s="26">
        <f t="shared" si="6"/>
        <v>0.70000000000000051</v>
      </c>
      <c r="B149" s="22">
        <f t="shared" si="7"/>
        <v>0.93726401941503823</v>
      </c>
      <c r="C149" s="22">
        <f t="shared" si="8"/>
        <v>0.69294090904525574</v>
      </c>
      <c r="E149" s="37">
        <v>0.70000000000000051</v>
      </c>
      <c r="F149" s="41">
        <v>0.937027127131426</v>
      </c>
      <c r="G149" s="41">
        <v>0.70272846567306979</v>
      </c>
    </row>
    <row r="150" spans="1:7" ht="19" x14ac:dyDescent="0.25">
      <c r="A150" s="26">
        <f t="shared" si="6"/>
        <v>0.70500000000000052</v>
      </c>
      <c r="B150" s="22">
        <f t="shared" si="7"/>
        <v>0.93744270454108791</v>
      </c>
      <c r="C150" s="22">
        <f t="shared" si="8"/>
        <v>0.70095451641125428</v>
      </c>
      <c r="E150" s="37">
        <v>0.70500000000000052</v>
      </c>
      <c r="F150" s="41">
        <v>0.93721491634867393</v>
      </c>
      <c r="G150" s="41">
        <v>0.71074087741890235</v>
      </c>
    </row>
    <row r="151" spans="1:7" ht="19" x14ac:dyDescent="0.25">
      <c r="A151" s="26">
        <f t="shared" si="6"/>
        <v>0.71000000000000052</v>
      </c>
      <c r="B151" s="22">
        <f t="shared" si="7"/>
        <v>0.93760975169759964</v>
      </c>
      <c r="C151" s="22">
        <f t="shared" si="8"/>
        <v>0.70896965153508062</v>
      </c>
      <c r="E151" s="37">
        <v>0.71000000000000052</v>
      </c>
      <c r="F151" s="41">
        <v>0.93739087632840568</v>
      </c>
      <c r="G151" s="41">
        <v>0.71875484250131261</v>
      </c>
    </row>
    <row r="152" spans="1:7" ht="19" x14ac:dyDescent="0.25">
      <c r="A152" s="26">
        <f t="shared" si="6"/>
        <v>0.71500000000000052</v>
      </c>
      <c r="B152" s="22">
        <f t="shared" si="7"/>
        <v>0.93776591485471006</v>
      </c>
      <c r="C152" s="22">
        <f t="shared" si="8"/>
        <v>0.71698621491209513</v>
      </c>
      <c r="E152" s="37">
        <v>0.71500000000000052</v>
      </c>
      <c r="F152" s="41">
        <v>0.93755574818540488</v>
      </c>
      <c r="G152" s="41">
        <v>0.72677026305329828</v>
      </c>
    </row>
    <row r="153" spans="1:7" ht="19" x14ac:dyDescent="0.25">
      <c r="A153" s="26">
        <f t="shared" si="6"/>
        <v>0.72000000000000053</v>
      </c>
      <c r="B153" s="22">
        <f t="shared" si="7"/>
        <v>0.93791189964509192</v>
      </c>
      <c r="C153" s="22">
        <f t="shared" si="8"/>
        <v>0.72500411348410287</v>
      </c>
      <c r="E153" s="37">
        <v>0.72000000000000053</v>
      </c>
      <c r="F153" s="41">
        <v>0.93771022709671037</v>
      </c>
      <c r="G153" s="41">
        <v>0.73478704734166667</v>
      </c>
    </row>
    <row r="154" spans="1:7" ht="19" x14ac:dyDescent="0.25">
      <c r="A154" s="26">
        <f t="shared" si="6"/>
        <v>0.72500000000000053</v>
      </c>
      <c r="B154" s="22">
        <f t="shared" si="7"/>
        <v>0.93804836639846334</v>
      </c>
      <c r="C154" s="22">
        <f t="shared" si="8"/>
        <v>0.73302326022606845</v>
      </c>
      <c r="E154" s="37">
        <v>0.72500000000000053</v>
      </c>
      <c r="F154" s="41">
        <v>0.93785496508845889</v>
      </c>
      <c r="G154" s="41">
        <v>0.74280510938654631</v>
      </c>
    </row>
    <row r="155" spans="1:7" ht="19" x14ac:dyDescent="0.25">
      <c r="A155" s="26">
        <f t="shared" si="6"/>
        <v>0.73000000000000054</v>
      </c>
      <c r="B155" s="22">
        <f t="shared" si="7"/>
        <v>0.93817593299380198</v>
      </c>
      <c r="C155" s="22">
        <f t="shared" si="8"/>
        <v>0.74104357375877528</v>
      </c>
      <c r="E155" s="37">
        <v>0.73000000000000054</v>
      </c>
      <c r="F155" s="41">
        <v>0.9379905736611367</v>
      </c>
      <c r="G155" s="41">
        <v>0.75082436860401691</v>
      </c>
    </row>
    <row r="156" spans="1:7" ht="19" x14ac:dyDescent="0.25">
      <c r="A156" s="26">
        <f t="shared" si="6"/>
        <v>0.73500000000000054</v>
      </c>
      <c r="B156" s="22">
        <f t="shared" si="7"/>
        <v>0.93829517753915581</v>
      </c>
      <c r="C156" s="22">
        <f t="shared" si="8"/>
        <v>0.74906497798587224</v>
      </c>
      <c r="E156" s="37">
        <v>0.73500000000000054</v>
      </c>
      <c r="F156" s="41">
        <v>0.93811762626167572</v>
      </c>
      <c r="G156" s="41">
        <v>0.75884474947051139</v>
      </c>
    </row>
    <row r="157" spans="1:7" ht="19" x14ac:dyDescent="0.25">
      <c r="A157" s="26">
        <f t="shared" si="6"/>
        <v>0.74000000000000055</v>
      </c>
      <c r="B157" s="22">
        <f t="shared" si="7"/>
        <v>0.93840664088854819</v>
      </c>
      <c r="C157" s="22">
        <f t="shared" si="8"/>
        <v>0.75708740175383205</v>
      </c>
      <c r="E157" s="37">
        <v>0.74000000000000055</v>
      </c>
      <c r="F157" s="41">
        <v>0.93823666061050837</v>
      </c>
      <c r="G157" s="41">
        <v>0.76686618120771777</v>
      </c>
    </row>
    <row r="158" spans="1:7" ht="19" x14ac:dyDescent="0.25">
      <c r="A158" s="26">
        <f t="shared" si="6"/>
        <v>0.74500000000000055</v>
      </c>
      <c r="B158" s="22">
        <f t="shared" si="7"/>
        <v>0.93851082900507343</v>
      </c>
      <c r="C158" s="22">
        <f t="shared" si="8"/>
        <v>0.76511077853342913</v>
      </c>
      <c r="E158" s="37">
        <v>0.74500000000000055</v>
      </c>
      <c r="F158" s="41">
        <v>0.93834818089137229</v>
      </c>
      <c r="G158" s="41">
        <v>0.77488859748677297</v>
      </c>
    </row>
    <row r="159" spans="1:7" ht="19" x14ac:dyDescent="0.25">
      <c r="A159" s="26">
        <f t="shared" si="6"/>
        <v>0.75000000000000056</v>
      </c>
      <c r="B159" s="22">
        <f t="shared" si="7"/>
        <v>0.93860821517887782</v>
      </c>
      <c r="C159" s="22">
        <f t="shared" si="8"/>
        <v>0.77313504612142248</v>
      </c>
      <c r="E159" s="37">
        <v>0.75000000000000056</v>
      </c>
      <c r="F159" s="41">
        <v>0.93845265981133019</v>
      </c>
      <c r="G159" s="41">
        <v>0.7829119361506095</v>
      </c>
    </row>
    <row r="160" spans="1:7" ht="19" x14ac:dyDescent="0.25">
      <c r="A160" s="26">
        <f t="shared" si="6"/>
        <v>0.75500000000000056</v>
      </c>
      <c r="B160" s="22">
        <f t="shared" si="7"/>
        <v>0.93869924210832434</v>
      </c>
      <c r="C160" s="22">
        <f t="shared" si="8"/>
        <v>0.7811601463612019</v>
      </c>
      <c r="E160" s="37">
        <v>0.75500000000000056</v>
      </c>
      <c r="F160" s="41">
        <v>0.93855054053814391</v>
      </c>
      <c r="G160" s="41">
        <v>0.79093613895337478</v>
      </c>
    </row>
    <row r="161" spans="1:7" ht="19" x14ac:dyDescent="0.25">
      <c r="A161" s="26">
        <f t="shared" si="6"/>
        <v>0.76000000000000056</v>
      </c>
      <c r="B161" s="22">
        <f t="shared" si="7"/>
        <v>0.93878432385224342</v>
      </c>
      <c r="C161" s="22">
        <f t="shared" si="8"/>
        <v>0.78918602488122802</v>
      </c>
      <c r="E161" s="37">
        <v>0.76000000000000056</v>
      </c>
      <c r="F161" s="41">
        <v>0.9386422385218206</v>
      </c>
      <c r="G161" s="41">
        <v>0.79896115131590584</v>
      </c>
    </row>
    <row r="162" spans="1:7" ht="19" x14ac:dyDescent="0.25">
      <c r="A162" s="26">
        <f t="shared" si="6"/>
        <v>0.76500000000000057</v>
      </c>
      <c r="B162" s="22">
        <f t="shared" si="7"/>
        <v>0.9388638476607869</v>
      </c>
      <c r="C162" s="22">
        <f t="shared" si="8"/>
        <v>0.79721263085016469</v>
      </c>
      <c r="E162" s="37">
        <v>0.76500000000000057</v>
      </c>
      <c r="F162" s="41">
        <v>0.93872814320683151</v>
      </c>
      <c r="G162" s="41">
        <v>0.8069869220962963</v>
      </c>
    </row>
    <row r="163" spans="1:7" ht="19" x14ac:dyDescent="0.25">
      <c r="A163" s="26">
        <f t="shared" si="6"/>
        <v>0.77000000000000057</v>
      </c>
      <c r="B163" s="22">
        <f t="shared" si="7"/>
        <v>0.93893817569202664</v>
      </c>
      <c r="C163" s="22">
        <f t="shared" si="8"/>
        <v>0.80523991674766437</v>
      </c>
      <c r="E163" s="37">
        <v>0.77000000000000057</v>
      </c>
      <c r="F163" s="41">
        <v>0.93880861964119189</v>
      </c>
      <c r="G163" s="41">
        <v>0.81501340337464934</v>
      </c>
    </row>
    <row r="164" spans="1:7" ht="19" x14ac:dyDescent="0.25">
      <c r="A164" s="26">
        <f t="shared" si="6"/>
        <v>0.77500000000000058</v>
      </c>
      <c r="B164" s="22">
        <f t="shared" si="7"/>
        <v>0.93900764662106972</v>
      </c>
      <c r="C164" s="22">
        <f t="shared" si="8"/>
        <v>0.81326783814983117</v>
      </c>
      <c r="E164" s="37">
        <v>0.77500000000000058</v>
      </c>
      <c r="F164" s="41">
        <v>0.9388840099882898</v>
      </c>
      <c r="G164" s="41">
        <v>0.82304055025115919</v>
      </c>
    </row>
    <row r="165" spans="1:7" ht="19" x14ac:dyDescent="0.25">
      <c r="A165" s="26">
        <f t="shared" si="6"/>
        <v>0.78000000000000058</v>
      </c>
      <c r="B165" s="22">
        <f t="shared" si="7"/>
        <v>0.93907257714811043</v>
      </c>
      <c r="C165" s="22">
        <f t="shared" si="8"/>
        <v>0.82129635352844133</v>
      </c>
      <c r="E165" s="37">
        <v>0.78000000000000058</v>
      </c>
      <c r="F165" s="41">
        <v>0.93895463494705345</v>
      </c>
      <c r="G165" s="41">
        <v>0.83106832065671543</v>
      </c>
    </row>
    <row r="166" spans="1:7" ht="19" x14ac:dyDescent="0.25">
      <c r="A166" s="26">
        <f t="shared" si="6"/>
        <v>0.78500000000000059</v>
      </c>
      <c r="B166" s="22">
        <f t="shared" si="7"/>
        <v>0.93913326341149317</v>
      </c>
      <c r="C166" s="22">
        <f t="shared" si="8"/>
        <v>0.82932542406305765</v>
      </c>
      <c r="E166" s="37">
        <v>0.78500000000000059</v>
      </c>
      <c r="F166" s="41">
        <v>0.93902079508576497</v>
      </c>
      <c r="G166" s="41">
        <v>0.83909667517526876</v>
      </c>
    </row>
    <row r="167" spans="1:7" ht="19" x14ac:dyDescent="0.25">
      <c r="A167" s="26">
        <f t="shared" si="6"/>
        <v>0.79000000000000059</v>
      </c>
      <c r="B167" s="22">
        <f t="shared" si="7"/>
        <v>0.93918998231153339</v>
      </c>
      <c r="C167" s="22">
        <f t="shared" si="8"/>
        <v>0.83735501346522589</v>
      </c>
      <c r="E167" s="37">
        <v>0.79000000000000059</v>
      </c>
      <c r="F167" s="41">
        <v>0.93908277209455016</v>
      </c>
      <c r="G167" s="41">
        <v>0.84712557687724277</v>
      </c>
    </row>
    <row r="168" spans="1:7" ht="19" x14ac:dyDescent="0.25">
      <c r="A168" s="26">
        <f t="shared" si="6"/>
        <v>0.7950000000000006</v>
      </c>
      <c r="B168" s="22">
        <f t="shared" si="7"/>
        <v>0.93924299275052481</v>
      </c>
      <c r="C168" s="22">
        <f t="shared" si="8"/>
        <v>0.84538508781398947</v>
      </c>
      <c r="E168" s="37">
        <v>0.7950000000000006</v>
      </c>
      <c r="F168" s="41">
        <v>0.93914082996131021</v>
      </c>
      <c r="G168" s="41">
        <v>0.85515499116331672</v>
      </c>
    </row>
    <row r="169" spans="1:7" ht="19" x14ac:dyDescent="0.25">
      <c r="A169" s="26">
        <f t="shared" si="6"/>
        <v>0.8000000000000006</v>
      </c>
      <c r="B169" s="22">
        <f t="shared" si="7"/>
        <v>0.93929253679405855</v>
      </c>
      <c r="C169" s="22">
        <f t="shared" si="8"/>
        <v>0.8534156154020065</v>
      </c>
      <c r="E169" s="37">
        <v>0.8000000000000006</v>
      </c>
      <c r="F169" s="41">
        <v>0.9391952160756053</v>
      </c>
      <c r="G169" s="41">
        <v>0.86318488561794515</v>
      </c>
    </row>
    <row r="170" spans="1:7" ht="19" x14ac:dyDescent="0.25">
      <c r="A170" s="26">
        <f t="shared" si="6"/>
        <v>0.8050000000000006</v>
      </c>
      <c r="B170" s="22">
        <f t="shared" si="7"/>
        <v>0.93933884075848995</v>
      </c>
      <c r="C170" s="22">
        <f t="shared" si="8"/>
        <v>0.86144656659159569</v>
      </c>
      <c r="E170" s="37">
        <v>0.8050000000000006</v>
      </c>
      <c r="F170" s="41">
        <v>0.93924616226475599</v>
      </c>
      <c r="G170" s="41">
        <v>0.87121522987201649</v>
      </c>
    </row>
    <row r="171" spans="1:7" ht="19" x14ac:dyDescent="0.25">
      <c r="A171" s="26">
        <f t="shared" si="6"/>
        <v>0.81000000000000061</v>
      </c>
      <c r="B171" s="22">
        <f t="shared" si="7"/>
        <v>0.93938211622911094</v>
      </c>
      <c r="C171" s="22">
        <f t="shared" si="8"/>
        <v>0.86947791368008076</v>
      </c>
      <c r="E171" s="37">
        <v>0.81000000000000061</v>
      </c>
      <c r="F171" s="41">
        <v>0.9392938857661941</v>
      </c>
      <c r="G171" s="41">
        <v>0.8792459954740891</v>
      </c>
    </row>
    <row r="172" spans="1:7" ht="19" x14ac:dyDescent="0.25">
      <c r="A172" s="26">
        <f t="shared" si="6"/>
        <v>0.81500000000000061</v>
      </c>
      <c r="B172" s="22">
        <f t="shared" si="7"/>
        <v>0.93942256101332411</v>
      </c>
      <c r="C172" s="22">
        <f t="shared" si="8"/>
        <v>0.8775096307738397</v>
      </c>
      <c r="E172" s="37">
        <v>0.81500000000000061</v>
      </c>
      <c r="F172" s="41">
        <v>0.93933859013987153</v>
      </c>
      <c r="G172" s="41">
        <v>0.88727715576967703</v>
      </c>
    </row>
    <row r="173" spans="1:7" ht="19" x14ac:dyDescent="0.25">
      <c r="A173" s="26">
        <f t="shared" si="6"/>
        <v>0.82000000000000062</v>
      </c>
      <c r="B173" s="22">
        <f t="shared" si="7"/>
        <v>0.93946036003286226</v>
      </c>
      <c r="C173" s="22">
        <f t="shared" si="8"/>
        <v>0.88554169367050362</v>
      </c>
      <c r="E173" s="37">
        <v>0.82000000000000062</v>
      </c>
      <c r="F173" s="41">
        <v>0.93938046612432158</v>
      </c>
      <c r="G173" s="41">
        <v>0.89530868578808742</v>
      </c>
    </row>
    <row r="174" spans="1:7" ht="19" x14ac:dyDescent="0.25">
      <c r="A174" s="26">
        <f t="shared" si="6"/>
        <v>0.82500000000000062</v>
      </c>
      <c r="B174" s="22">
        <f t="shared" si="7"/>
        <v>0.93949568615885892</v>
      </c>
      <c r="C174" s="22">
        <f t="shared" si="8"/>
        <v>0.89357407974878456</v>
      </c>
      <c r="E174" s="37">
        <v>0.82500000000000062</v>
      </c>
      <c r="F174" s="41">
        <v>0.93941969243976586</v>
      </c>
      <c r="G174" s="41">
        <v>0.90334056213634462</v>
      </c>
    </row>
    <row r="175" spans="1:7" ht="19" x14ac:dyDescent="0.25">
      <c r="A175" s="26">
        <f t="shared" si="6"/>
        <v>0.83000000000000063</v>
      </c>
      <c r="B175" s="22">
        <f t="shared" si="7"/>
        <v>0.93952870099335206</v>
      </c>
      <c r="C175" s="22">
        <f t="shared" si="8"/>
        <v>0.9016067678654428</v>
      </c>
      <c r="E175" s="37">
        <v>0.83000000000000063</v>
      </c>
      <c r="F175" s="41">
        <v>0.93945643654146382</v>
      </c>
      <c r="G175" s="41">
        <v>0.91137276289976032</v>
      </c>
    </row>
    <row r="176" spans="1:7" ht="19" x14ac:dyDescent="0.25">
      <c r="A176" s="26">
        <f t="shared" si="6"/>
        <v>0.83500000000000063</v>
      </c>
      <c r="B176" s="22">
        <f t="shared" si="7"/>
        <v>0.93955955560058502</v>
      </c>
      <c r="C176" s="22">
        <f t="shared" si="8"/>
        <v>0.90963973825893596</v>
      </c>
      <c r="E176" s="37">
        <v>0.83500000000000063</v>
      </c>
      <c r="F176" s="41">
        <v>0.93949085532632126</v>
      </c>
      <c r="G176" s="41">
        <v>0.91940526754873908</v>
      </c>
    </row>
    <row r="177" spans="1:7" ht="19" x14ac:dyDescent="0.25">
      <c r="A177" s="26">
        <f t="shared" si="6"/>
        <v>0.84000000000000064</v>
      </c>
      <c r="B177" s="22">
        <f t="shared" si="7"/>
        <v>0.93958839119127002</v>
      </c>
      <c r="C177" s="22">
        <f t="shared" si="8"/>
        <v>0.917672972459321</v>
      </c>
      <c r="E177" s="37">
        <v>0.84000000000000064</v>
      </c>
      <c r="F177" s="41">
        <v>0.93952309579559801</v>
      </c>
      <c r="G177" s="41">
        <v>0.92743805685143166</v>
      </c>
    </row>
    <row r="178" spans="1:7" ht="19" x14ac:dyDescent="0.25">
      <c r="A178" s="26">
        <f t="shared" si="6"/>
        <v>0.84500000000000064</v>
      </c>
      <c r="B178" s="22">
        <f t="shared" si="7"/>
        <v>0.93961533976278577</v>
      </c>
      <c r="C178" s="22">
        <f t="shared" si="8"/>
        <v>0.92570645320400635</v>
      </c>
      <c r="E178" s="37">
        <v>0.84500000000000064</v>
      </c>
      <c r="F178" s="41">
        <v>0.93955329567639034</v>
      </c>
      <c r="G178" s="41">
        <v>0.93547111279187212</v>
      </c>
    </row>
    <row r="179" spans="1:7" ht="19" x14ac:dyDescent="0.25">
      <c r="A179" s="26">
        <f t="shared" si="6"/>
        <v>0.85000000000000064</v>
      </c>
      <c r="B179" s="22">
        <f t="shared" si="7"/>
        <v>0.93964052469810078</v>
      </c>
      <c r="C179" s="22">
        <f t="shared" si="8"/>
        <v>0.93374016435897822</v>
      </c>
      <c r="E179" s="37">
        <v>0.85000000000000064</v>
      </c>
      <c r="F179" s="41">
        <v>0.93958158400440717</v>
      </c>
      <c r="G179" s="41">
        <v>0.94350441849325817</v>
      </c>
    </row>
    <row r="180" spans="1:7" ht="19" x14ac:dyDescent="0.25">
      <c r="A180" s="26">
        <f t="shared" si="6"/>
        <v>0.85500000000000065</v>
      </c>
      <c r="B180" s="22">
        <f t="shared" si="7"/>
        <v>0.93966406132604186</v>
      </c>
      <c r="C180" s="22">
        <f t="shared" si="8"/>
        <v>0.94177409084514696</v>
      </c>
      <c r="E180" s="37">
        <v>0.85500000000000065</v>
      </c>
      <c r="F180" s="41">
        <v>0.93960808167041032</v>
      </c>
      <c r="G180" s="41">
        <v>0.95153795814605335</v>
      </c>
    </row>
    <row r="181" spans="1:7" ht="19" x14ac:dyDescent="0.25">
      <c r="A181" s="26">
        <f t="shared" si="6"/>
        <v>0.86000000000000065</v>
      </c>
      <c r="B181" s="22">
        <f t="shared" si="7"/>
        <v>0.93968605744536815</v>
      </c>
      <c r="C181" s="22">
        <f t="shared" si="8"/>
        <v>0.94980821856948461</v>
      </c>
      <c r="E181" s="37">
        <v>0.86000000000000065</v>
      </c>
      <c r="F181" s="41">
        <v>0.93963290193254967</v>
      </c>
      <c r="G181" s="41">
        <v>0.95957171694061139</v>
      </c>
    </row>
    <row r="182" spans="1:7" ht="19" x14ac:dyDescent="0.25">
      <c r="A182" s="26">
        <f t="shared" si="6"/>
        <v>0.86500000000000066</v>
      </c>
      <c r="B182" s="22">
        <f t="shared" si="7"/>
        <v>0.9397066138149569</v>
      </c>
      <c r="C182" s="22">
        <f t="shared" si="8"/>
        <v>0.95784253436064248</v>
      </c>
      <c r="E182" s="37">
        <v>0.86500000000000066</v>
      </c>
      <c r="F182" s="41">
        <v>0.93965615089669052</v>
      </c>
      <c r="G182" s="41">
        <v>0.96760568100403899</v>
      </c>
    </row>
    <row r="183" spans="1:7" ht="19" x14ac:dyDescent="0.25">
      <c r="A183" s="26">
        <f t="shared" si="6"/>
        <v>0.87000000000000066</v>
      </c>
      <c r="B183" s="22">
        <f t="shared" si="7"/>
        <v>0.93972582461226639</v>
      </c>
      <c r="C183" s="22">
        <f t="shared" si="8"/>
        <v>0.96587702590876034</v>
      </c>
      <c r="E183" s="37">
        <v>0.87000000000000066</v>
      </c>
      <c r="F183" s="41">
        <v>0.93967792796670635</v>
      </c>
      <c r="G183" s="41">
        <v>0.9756398373410331</v>
      </c>
    </row>
    <row r="184" spans="1:7" ht="19" x14ac:dyDescent="0.25">
      <c r="A184" s="26">
        <f t="shared" si="6"/>
        <v>0.87500000000000067</v>
      </c>
      <c r="B184" s="22">
        <f t="shared" si="7"/>
        <v>0.93974377786210406</v>
      </c>
      <c r="C184" s="22">
        <f t="shared" si="8"/>
        <v>0.97391168170919518</v>
      </c>
      <c r="E184" s="37">
        <v>0.87500000000000067</v>
      </c>
      <c r="F184" s="41">
        <v>0.93969832626659111</v>
      </c>
      <c r="G184" s="41">
        <v>0.98367417377844391</v>
      </c>
    </row>
    <row r="185" spans="1:7" ht="19" x14ac:dyDescent="0.25">
      <c r="A185" s="26">
        <f t="shared" si="6"/>
        <v>0.88000000000000067</v>
      </c>
      <c r="B185" s="22">
        <f t="shared" si="7"/>
        <v>0.93976055583760343</v>
      </c>
      <c r="C185" s="22">
        <f t="shared" si="8"/>
        <v>0.98194649100991616</v>
      </c>
      <c r="E185" s="37">
        <v>0.88000000000000067</v>
      </c>
      <c r="F185" s="41">
        <v>0.93971743303613342</v>
      </c>
      <c r="G185" s="41">
        <v>0.99170867891332981</v>
      </c>
    </row>
    <row r="186" spans="1:7" ht="19" x14ac:dyDescent="0.25">
      <c r="A186" s="26">
        <f t="shared" si="6"/>
        <v>0.88500000000000068</v>
      </c>
      <c r="B186" s="22">
        <f t="shared" si="7"/>
        <v>0.93977623543519284</v>
      </c>
      <c r="C186" s="22">
        <f t="shared" si="8"/>
        <v>0.98998144376232766</v>
      </c>
      <c r="E186" s="37">
        <v>0.88500000000000068</v>
      </c>
      <c r="F186" s="41">
        <v>0.93973533000179132</v>
      </c>
      <c r="G186" s="41">
        <v>0.99974334206428628</v>
      </c>
    </row>
    <row r="187" spans="1:7" ht="19" x14ac:dyDescent="0.25">
      <c r="A187" s="26">
        <f t="shared" si="6"/>
        <v>0.89000000000000068</v>
      </c>
      <c r="B187" s="22">
        <f t="shared" si="7"/>
        <v>0.93979088852522707</v>
      </c>
      <c r="C187" s="22">
        <f t="shared" si="8"/>
        <v>0.9980165305752986</v>
      </c>
      <c r="E187" s="37">
        <v>0.89000000000000068</v>
      </c>
      <c r="F187" s="41">
        <v>0.9397520937243049</v>
      </c>
      <c r="G187" s="41">
        <v>1.0077781532258425</v>
      </c>
    </row>
    <row r="188" spans="1:7" ht="19" x14ac:dyDescent="0.25">
      <c r="A188" s="26">
        <f t="shared" si="6"/>
        <v>0.89500000000000068</v>
      </c>
      <c r="B188" s="22">
        <f t="shared" si="7"/>
        <v>0.93980458227984764</v>
      </c>
      <c r="C188" s="22">
        <f t="shared" si="8"/>
        <v>1.0060517426721893</v>
      </c>
      <c r="E188" s="37">
        <v>0.89500000000000068</v>
      </c>
      <c r="F188" s="41">
        <v>0.93976779592449244</v>
      </c>
      <c r="G188" s="41">
        <v>1.015813103025734</v>
      </c>
    </row>
    <row r="189" spans="1:7" ht="19" x14ac:dyDescent="0.25">
      <c r="A189" s="26">
        <f t="shared" si="6"/>
        <v>0.90000000000000069</v>
      </c>
      <c r="B189" s="22">
        <f t="shared" si="7"/>
        <v>0.93981737947953936</v>
      </c>
      <c r="C189" s="22">
        <f t="shared" si="8"/>
        <v>1.014087071850682</v>
      </c>
      <c r="E189" s="37">
        <v>0.90000000000000069</v>
      </c>
      <c r="F189" s="41">
        <v>0.93978250378858663</v>
      </c>
      <c r="G189" s="41">
        <v>1.0238481826848704</v>
      </c>
    </row>
    <row r="190" spans="1:7" ht="19" x14ac:dyDescent="0.25">
      <c r="A190" s="26">
        <f t="shared" si="6"/>
        <v>0.90500000000000069</v>
      </c>
      <c r="B190" s="22">
        <f t="shared" si="7"/>
        <v>0.93982933879975539</v>
      </c>
      <c r="C190" s="22">
        <f t="shared" si="8"/>
        <v>1.0221225104452321</v>
      </c>
      <c r="E190" s="37">
        <v>0.90500000000000069</v>
      </c>
      <c r="F190" s="41">
        <v>0.93979628025438533</v>
      </c>
      <c r="G190" s="41">
        <v>1.0318833839798294</v>
      </c>
    </row>
    <row r="191" spans="1:7" ht="19" x14ac:dyDescent="0.25">
      <c r="A191" s="26">
        <f t="shared" si="6"/>
        <v>0.9100000000000007</v>
      </c>
      <c r="B191" s="22">
        <f t="shared" si="7"/>
        <v>0.93984051507889954</v>
      </c>
      <c r="C191" s="22">
        <f t="shared" si="8"/>
        <v>1.0301580512919699</v>
      </c>
      <c r="E191" s="37">
        <v>0.9100000000000007</v>
      </c>
      <c r="F191" s="41">
        <v>0.93980918427941262</v>
      </c>
      <c r="G191" s="41">
        <v>1.039918699207717</v>
      </c>
    </row>
    <row r="192" spans="1:7" ht="19" x14ac:dyDescent="0.25">
      <c r="A192" s="26">
        <f t="shared" si="6"/>
        <v>0.9150000000000007</v>
      </c>
      <c r="B192" s="22">
        <f t="shared" si="7"/>
        <v>0.93985095956886855</v>
      </c>
      <c r="C192" s="22">
        <f t="shared" si="8"/>
        <v>1.0381936876958946</v>
      </c>
      <c r="E192" s="37">
        <v>0.9150000000000007</v>
      </c>
      <c r="F192" s="41">
        <v>0.93982127109221258</v>
      </c>
      <c r="G192" s="41">
        <v>1.0479541211532466</v>
      </c>
    </row>
    <row r="193" spans="1:7" ht="19" x14ac:dyDescent="0.25">
      <c r="A193" s="26">
        <f t="shared" si="6"/>
        <v>0.92000000000000071</v>
      </c>
      <c r="B193" s="22">
        <f t="shared" si="7"/>
        <v>0.93986072016928346</v>
      </c>
      <c r="C193" s="22">
        <f t="shared" si="8"/>
        <v>1.0462294134002084</v>
      </c>
      <c r="E193" s="37">
        <v>0.92000000000000071</v>
      </c>
      <c r="F193" s="41">
        <v>0.93983259242783035</v>
      </c>
      <c r="G193" s="41">
        <v>1.0559896430578977</v>
      </c>
    </row>
    <row r="194" spans="1:7" ht="19" x14ac:dyDescent="0.25">
      <c r="A194" s="26">
        <f t="shared" si="6"/>
        <v>0.92500000000000071</v>
      </c>
      <c r="B194" s="22">
        <f t="shared" si="7"/>
        <v>0.93986984164646548</v>
      </c>
      <c r="C194" s="22">
        <f t="shared" si="8"/>
        <v>1.0542652225576556</v>
      </c>
      <c r="E194" s="37">
        <v>0.92500000000000071</v>
      </c>
      <c r="F194" s="41">
        <v>0.93984319674846761</v>
      </c>
      <c r="G194" s="41">
        <v>1.0640252585910202</v>
      </c>
    </row>
    <row r="195" spans="1:7" ht="19" x14ac:dyDescent="0.25">
      <c r="A195" s="26">
        <f t="shared" si="6"/>
        <v>0.93000000000000071</v>
      </c>
      <c r="B195" s="22">
        <f t="shared" si="7"/>
        <v>0.93987836583814499</v>
      </c>
      <c r="C195" s="22">
        <f t="shared" si="8"/>
        <v>1.0623011097037329</v>
      </c>
      <c r="E195" s="37">
        <v>0.93000000000000071</v>
      </c>
      <c r="F195" s="41">
        <v>0.93985312945024213</v>
      </c>
      <c r="G195" s="41">
        <v>1.0720609618227659</v>
      </c>
    </row>
    <row r="196" spans="1:7" ht="19" x14ac:dyDescent="0.25">
      <c r="A196" s="26">
        <f t="shared" si="6"/>
        <v>0.93500000000000072</v>
      </c>
      <c r="B196" s="22">
        <f t="shared" si="7"/>
        <v>0.93988633184482739</v>
      </c>
      <c r="C196" s="22">
        <f t="shared" si="8"/>
        <v>1.070337069731649</v>
      </c>
      <c r="E196" s="37">
        <v>0.93500000000000072</v>
      </c>
      <c r="F196" s="41">
        <v>0.93986243305691963</v>
      </c>
      <c r="G196" s="41">
        <v>1.0800967471987295</v>
      </c>
    </row>
    <row r="197" spans="1:7" ht="19" x14ac:dyDescent="0.25">
      <c r="A197" s="26">
        <f t="shared" si="6"/>
        <v>0.94000000000000072</v>
      </c>
      <c r="B197" s="22">
        <f t="shared" si="7"/>
        <v>0.93989377620868331</v>
      </c>
      <c r="C197" s="22">
        <f t="shared" si="8"/>
        <v>1.0783730978689223</v>
      </c>
      <c r="E197" s="37">
        <v>0.94000000000000072</v>
      </c>
      <c r="F197" s="41">
        <v>0.93987114740143629</v>
      </c>
      <c r="G197" s="41">
        <v>1.0881326095161925</v>
      </c>
    </row>
    <row r="198" spans="1:7" ht="19" x14ac:dyDescent="0.25">
      <c r="A198" s="26">
        <f t="shared" si="6"/>
        <v>0.94500000000000073</v>
      </c>
      <c r="B198" s="22">
        <f t="shared" si="7"/>
        <v>0.93990073308077104</v>
      </c>
      <c r="C198" s="22">
        <f t="shared" si="8"/>
        <v>1.0864091896555066</v>
      </c>
      <c r="E198" s="37">
        <v>0.94500000000000073</v>
      </c>
      <c r="F198" s="41">
        <v>0.93987930979597611</v>
      </c>
      <c r="G198" s="41">
        <v>1.0961685439018674</v>
      </c>
    </row>
    <row r="199" spans="1:7" ht="19" x14ac:dyDescent="0.25">
      <c r="A199" s="26">
        <f t="shared" si="6"/>
        <v>0.95000000000000073</v>
      </c>
      <c r="B199" s="22">
        <f t="shared" si="7"/>
        <v>0.93990723437735091</v>
      </c>
      <c r="C199" s="22">
        <f t="shared" si="8"/>
        <v>1.0944453409233472</v>
      </c>
      <c r="E199" s="37">
        <v>0.95000000000000073</v>
      </c>
      <c r="F199" s="41">
        <v>0.93988695519132226</v>
      </c>
      <c r="G199" s="41">
        <v>1.1042045457910497</v>
      </c>
    </row>
    <row r="200" spans="1:7" ht="19" x14ac:dyDescent="0.25">
      <c r="A200" s="26">
        <f t="shared" si="6"/>
        <v>0.95500000000000074</v>
      </c>
      <c r="B200" s="22">
        <f t="shared" si="7"/>
        <v>0.93991330992599864</v>
      </c>
      <c r="C200" s="22">
        <f t="shared" si="8"/>
        <v>1.1024815477772736</v>
      </c>
      <c r="E200" s="37">
        <v>0.95500000000000074</v>
      </c>
      <c r="F200" s="41">
        <v>0.93989411632615594</v>
      </c>
      <c r="G200" s="41">
        <v>1.1122406109080882</v>
      </c>
    </row>
    <row r="201" spans="1:7" ht="19" x14ac:dyDescent="0.25">
      <c r="A201" s="26">
        <f t="shared" si="6"/>
        <v>0.96000000000000074</v>
      </c>
      <c r="B201" s="22">
        <f t="shared" si="7"/>
        <v>0.9399189876021824</v>
      </c>
      <c r="C201" s="22">
        <f t="shared" si="8"/>
        <v>1.1105178065771408</v>
      </c>
      <c r="E201" s="37">
        <v>0.96000000000000074</v>
      </c>
      <c r="F201" s="41">
        <v>0.93990082386693363</v>
      </c>
      <c r="G201" s="41">
        <v>1.1202767352480894</v>
      </c>
    </row>
    <row r="202" spans="1:7" ht="19" x14ac:dyDescent="0.25">
      <c r="A202" s="26">
        <f t="shared" si="6"/>
        <v>0.96500000000000075</v>
      </c>
      <c r="B202" s="22">
        <f t="shared" si="7"/>
        <v>0.93992429345692341</v>
      </c>
      <c r="C202" s="22">
        <f t="shared" si="8"/>
        <v>1.1185541139211395</v>
      </c>
      <c r="E202" s="37">
        <v>0.96500000000000075</v>
      </c>
      <c r="F202" s="41">
        <v>0.93990710653893617</v>
      </c>
      <c r="G202" s="41">
        <v>1.1283129150597786</v>
      </c>
    </row>
    <row r="203" spans="1:7" ht="19" x14ac:dyDescent="0.25">
      <c r="A203" s="26">
        <f t="shared" ref="A203:A209" si="9">A202+$B$2</f>
        <v>0.97000000000000075</v>
      </c>
      <c r="B203" s="22">
        <f t="shared" ref="B203:B209" si="10">B202+$B$2*($B$3*B202-$B$3/$B$4*B202^2)</f>
        <v>0.93992925183612042</v>
      </c>
      <c r="C203" s="22">
        <f t="shared" ref="C203:C209" si="11">C202+$B$2*$B$5*B202</f>
        <v>1.1265904666301962</v>
      </c>
      <c r="E203" s="37">
        <v>0.97000000000000075</v>
      </c>
      <c r="F203" s="41">
        <v>0.93991299124904371</v>
      </c>
      <c r="G203" s="41">
        <v>1.1363491468294462</v>
      </c>
    </row>
    <row r="204" spans="1:7" ht="19" x14ac:dyDescent="0.25">
      <c r="A204" s="26">
        <f t="shared" si="9"/>
        <v>0.97500000000000075</v>
      </c>
      <c r="B204" s="22">
        <f t="shared" si="10"/>
        <v>0.93993388549208079</v>
      </c>
      <c r="C204" s="22">
        <f t="shared" si="11"/>
        <v>1.134626861733395</v>
      </c>
      <c r="E204" s="37">
        <v>0.97500000000000075</v>
      </c>
      <c r="F204" s="41">
        <v>0.93991850320075832</v>
      </c>
      <c r="G204" s="41">
        <v>1.1443854272659082</v>
      </c>
    </row>
    <row r="205" spans="1:7" ht="19" x14ac:dyDescent="0.25">
      <c r="A205" s="26">
        <f t="shared" si="9"/>
        <v>0.98000000000000076</v>
      </c>
      <c r="B205" s="22">
        <f t="shared" si="10"/>
        <v>0.93993821568776559</v>
      </c>
      <c r="C205" s="22">
        <f t="shared" si="11"/>
        <v>1.1426632964543524</v>
      </c>
      <c r="E205" s="37">
        <v>0.98000000000000076</v>
      </c>
      <c r="F205" s="41">
        <v>0.93992366600196087</v>
      </c>
      <c r="G205" s="41">
        <v>1.1524217532864187</v>
      </c>
    </row>
    <row r="206" spans="1:7" ht="19" x14ac:dyDescent="0.25">
      <c r="A206" s="26">
        <f t="shared" si="9"/>
        <v>0.98500000000000076</v>
      </c>
      <c r="B206" s="22">
        <f t="shared" si="10"/>
        <v>0.93994226229422417</v>
      </c>
      <c r="C206" s="22">
        <f t="shared" si="11"/>
        <v>1.1506997681984827</v>
      </c>
      <c r="E206" s="37">
        <v>0.98500000000000076</v>
      </c>
      <c r="F206" s="41">
        <v>0.93992850176586162</v>
      </c>
      <c r="G206" s="41">
        <v>1.1604581220034733</v>
      </c>
    </row>
    <row r="207" spans="1:7" ht="19" x14ac:dyDescent="0.25">
      <c r="A207" s="26">
        <f t="shared" si="9"/>
        <v>0.99000000000000077</v>
      </c>
      <c r="B207" s="22">
        <f t="shared" si="10"/>
        <v>0.93994604388166147</v>
      </c>
      <c r="C207" s="22">
        <f t="shared" si="11"/>
        <v>1.1587362745410983</v>
      </c>
      <c r="E207" s="37">
        <v>0.99000000000000077</v>
      </c>
      <c r="F207" s="41">
        <v>0.93993303120557159</v>
      </c>
      <c r="G207" s="41">
        <v>1.1684945307124479</v>
      </c>
    </row>
    <row r="208" spans="1:7" ht="19" x14ac:dyDescent="0.25">
      <c r="A208" s="26">
        <f t="shared" si="9"/>
        <v>0.99500000000000077</v>
      </c>
      <c r="B208" s="22">
        <f t="shared" si="10"/>
        <v>0.93994957780455335</v>
      </c>
      <c r="C208" s="22">
        <f t="shared" si="11"/>
        <v>1.1667728132162865</v>
      </c>
      <c r="E208" s="37">
        <v>0.99500000000000077</v>
      </c>
      <c r="F208" s="41">
        <v>0.93993727372269742</v>
      </c>
      <c r="G208" s="41">
        <v>1.1765309768800192</v>
      </c>
    </row>
    <row r="209" spans="1:7" ht="19" x14ac:dyDescent="0.25">
      <c r="A209" s="26">
        <f t="shared" si="9"/>
        <v>1.0000000000000007</v>
      </c>
      <c r="B209" s="22">
        <f t="shared" si="10"/>
        <v>0.93995288028119861</v>
      </c>
      <c r="C209" s="22">
        <f t="shared" si="11"/>
        <v>1.1748093821065153</v>
      </c>
      <c r="E209" s="37">
        <v>1.0000000000000007</v>
      </c>
      <c r="F209" s="41">
        <v>0.93994124749033736</v>
      </c>
      <c r="G209" s="41">
        <v>1.1845674581333179</v>
      </c>
    </row>
    <row r="210" spans="1:7" ht="19" x14ac:dyDescent="0.25">
      <c r="E210" s="34"/>
      <c r="F210" s="34"/>
      <c r="G210" s="34"/>
    </row>
    <row r="211" spans="1:7" ht="19" x14ac:dyDescent="0.25">
      <c r="E211" s="34"/>
      <c r="F211" s="34"/>
      <c r="G211" s="34"/>
    </row>
    <row r="212" spans="1:7" ht="19" x14ac:dyDescent="0.25">
      <c r="E212" s="34"/>
      <c r="F212" s="34"/>
      <c r="G212" s="34"/>
    </row>
    <row r="213" spans="1:7" ht="19" x14ac:dyDescent="0.25">
      <c r="E213" s="34"/>
      <c r="F213" s="34"/>
      <c r="G213" s="34"/>
    </row>
    <row r="214" spans="1:7" ht="19" x14ac:dyDescent="0.25">
      <c r="E214" s="34"/>
      <c r="F214" s="34"/>
      <c r="G214" s="3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21594-CEEE-164F-9319-24695CE4D498}">
  <sheetPr codeName="Sheet4"/>
  <dimension ref="A1:O57"/>
  <sheetViews>
    <sheetView topLeftCell="A65" workbookViewId="0">
      <selection activeCell="J16" sqref="J16"/>
    </sheetView>
  </sheetViews>
  <sheetFormatPr baseColWidth="10" defaultRowHeight="16" x14ac:dyDescent="0.2"/>
  <sheetData>
    <row r="1" spans="1:15" x14ac:dyDescent="0.2">
      <c r="A1">
        <v>0.05</v>
      </c>
      <c r="B1" t="s">
        <v>18</v>
      </c>
      <c r="C1" s="7" t="s">
        <v>34</v>
      </c>
    </row>
    <row r="2" spans="1:15" x14ac:dyDescent="0.2">
      <c r="A2" t="s">
        <v>4</v>
      </c>
      <c r="B2" t="s">
        <v>32</v>
      </c>
      <c r="C2" t="s">
        <v>33</v>
      </c>
      <c r="F2" t="str" cm="1">
        <f t="array" ref="F2:F43">A2:A43</f>
        <v>x</v>
      </c>
      <c r="G2" t="str" cm="1">
        <f t="array" ref="G2:G43">B2:B43</f>
        <v>T</v>
      </c>
      <c r="H2" t="s">
        <v>4</v>
      </c>
      <c r="I2" t="s">
        <v>32</v>
      </c>
      <c r="O2" s="11"/>
    </row>
    <row r="3" spans="1:15" x14ac:dyDescent="0.2">
      <c r="A3">
        <f>0</f>
        <v>0</v>
      </c>
      <c r="B3">
        <v>1</v>
      </c>
      <c r="C3">
        <v>4.2665516517811444</v>
      </c>
      <c r="F3">
        <v>0</v>
      </c>
      <c r="G3">
        <v>1</v>
      </c>
      <c r="H3">
        <v>0</v>
      </c>
      <c r="I3">
        <v>1</v>
      </c>
    </row>
    <row r="4" spans="1:15" x14ac:dyDescent="0.2">
      <c r="A4">
        <f>A3+$A$1</f>
        <v>0.05</v>
      </c>
      <c r="B4" s="10">
        <f>($A$1^2+$A$1*C3+$A$1*B3+B3)/(-$A$1^2+$A$1+1)</f>
        <v>1.2026865392770141</v>
      </c>
      <c r="C4">
        <f>($A$1*(B3-1)+C3)/(-$A$1^2+$A$1+1)</f>
        <v>4.0537307855402798</v>
      </c>
      <c r="F4">
        <v>0.05</v>
      </c>
      <c r="G4">
        <v>1.2026865392770141</v>
      </c>
      <c r="H4" s="12">
        <f>H3+$B$45</f>
        <v>0.2</v>
      </c>
      <c r="I4" cm="1">
        <f t="array" ref="I4:I13">TRANSPOSE(TRANSPOSE(L48:L57))</f>
        <v>0.94621916931124306</v>
      </c>
    </row>
    <row r="5" spans="1:15" x14ac:dyDescent="0.2">
      <c r="A5">
        <f t="shared" ref="A5:A43" si="0">A4+$A$1</f>
        <v>0.1</v>
      </c>
      <c r="B5" s="10">
        <f t="shared" ref="B5:B42" si="1">($A$1^2+$A$1*C4+$A$1*B4+B4)/(-$A$1^2+$A$1+1)</f>
        <v>1.3947813829148492</v>
      </c>
      <c r="C5">
        <f t="shared" ref="C5:C42" si="2">($A$1*(B4-1)+C4)/(-$A$1^2+$A$1+1)</f>
        <v>3.8611545011915727</v>
      </c>
      <c r="F5">
        <v>0.1</v>
      </c>
      <c r="G5">
        <v>1.3947813829148492</v>
      </c>
      <c r="H5" s="12">
        <f>H4+$B$45</f>
        <v>0.4</v>
      </c>
      <c r="I5">
        <v>1.7184428230863054</v>
      </c>
    </row>
    <row r="6" spans="1:15" x14ac:dyDescent="0.2">
      <c r="A6">
        <f t="shared" si="0"/>
        <v>0.15000000000000002</v>
      </c>
      <c r="B6" s="10">
        <f t="shared" si="1"/>
        <v>1.5772714271925607</v>
      </c>
      <c r="C6">
        <f t="shared" si="2"/>
        <v>3.6873098055461426</v>
      </c>
      <c r="F6">
        <v>0.15000000000000002</v>
      </c>
      <c r="G6">
        <v>1.5772714271925607</v>
      </c>
      <c r="H6" s="12">
        <f>H5+$B$45</f>
        <v>0.60000000000000009</v>
      </c>
      <c r="I6">
        <v>2.3763873697417668</v>
      </c>
    </row>
    <row r="7" spans="1:15" x14ac:dyDescent="0.2">
      <c r="A7">
        <f t="shared" si="0"/>
        <v>0.2</v>
      </c>
      <c r="B7" s="10">
        <f t="shared" si="1"/>
        <v>1.7510693480565283</v>
      </c>
      <c r="C7">
        <f t="shared" si="2"/>
        <v>3.5308060588178343</v>
      </c>
      <c r="F7">
        <v>0.2</v>
      </c>
      <c r="G7">
        <v>1.7510693480565283</v>
      </c>
      <c r="H7" s="12">
        <f>H6+$B$45</f>
        <v>0.8</v>
      </c>
      <c r="I7">
        <v>2.9647560849959365</v>
      </c>
    </row>
    <row r="8" spans="1:15" x14ac:dyDescent="0.2">
      <c r="A8">
        <f t="shared" si="0"/>
        <v>0.25</v>
      </c>
      <c r="B8" s="10">
        <f t="shared" si="1"/>
        <v>1.917019589928975</v>
      </c>
      <c r="C8">
        <f t="shared" si="2"/>
        <v>3.3903653455778251</v>
      </c>
      <c r="F8">
        <v>0.25</v>
      </c>
      <c r="G8">
        <v>1.917019589928975</v>
      </c>
      <c r="H8" s="12">
        <f>H7+$B$45</f>
        <v>1</v>
      </c>
      <c r="I8">
        <v>3.517594346021927</v>
      </c>
    </row>
    <row r="9" spans="1:15" x14ac:dyDescent="0.2">
      <c r="A9">
        <f t="shared" si="0"/>
        <v>0.3</v>
      </c>
      <c r="B9" s="10">
        <f t="shared" si="1"/>
        <v>2.075903882854456</v>
      </c>
      <c r="C9">
        <f t="shared" si="2"/>
        <v>3.264813610521875</v>
      </c>
      <c r="F9">
        <v>0.3</v>
      </c>
      <c r="G9">
        <v>2.075903882854456</v>
      </c>
      <c r="H9" s="12">
        <f>H8+$B$45</f>
        <v>1.2</v>
      </c>
      <c r="I9">
        <v>4.0614654448985332</v>
      </c>
    </row>
    <row r="10" spans="1:15" x14ac:dyDescent="0.2">
      <c r="A10">
        <f t="shared" si="0"/>
        <v>0.35</v>
      </c>
      <c r="B10" s="10">
        <f t="shared" si="1"/>
        <v>2.2284463254377886</v>
      </c>
      <c r="C10">
        <f t="shared" si="2"/>
        <v>3.1530724984936795</v>
      </c>
      <c r="F10">
        <v>0.35</v>
      </c>
      <c r="G10">
        <v>2.2284463254377886</v>
      </c>
      <c r="H10" s="12">
        <f>H9+$B$45</f>
        <v>1.4</v>
      </c>
      <c r="I10">
        <v>4.6177769056120681</v>
      </c>
    </row>
    <row r="11" spans="1:15" x14ac:dyDescent="0.2">
      <c r="A11">
        <f t="shared" si="0"/>
        <v>0.39999999999999997</v>
      </c>
      <c r="B11" s="10">
        <f t="shared" si="1"/>
        <v>2.3753180680611519</v>
      </c>
      <c r="C11">
        <f t="shared" si="2"/>
        <v>3.0541518430076664</v>
      </c>
      <c r="F11">
        <v>0.39999999999999997</v>
      </c>
      <c r="G11">
        <v>2.3753180680611519</v>
      </c>
      <c r="H11" s="12">
        <f>H10+$B$45</f>
        <v>1.5999999999999999</v>
      </c>
      <c r="I11">
        <v>5.2044963518544876</v>
      </c>
    </row>
    <row r="12" spans="1:15" x14ac:dyDescent="0.2">
      <c r="A12">
        <f t="shared" si="0"/>
        <v>0.44999999999999996</v>
      </c>
      <c r="B12" s="10">
        <f t="shared" si="1"/>
        <v>2.51714162813738</v>
      </c>
      <c r="C12">
        <f t="shared" si="2"/>
        <v>2.9671427519341798</v>
      </c>
      <c r="F12">
        <v>0.44999999999999996</v>
      </c>
      <c r="G12">
        <v>2.51714162813738</v>
      </c>
      <c r="H12" s="12">
        <f>H11+$B$45</f>
        <v>1.7999999999999998</v>
      </c>
      <c r="I12">
        <v>5.8374303115748143</v>
      </c>
    </row>
    <row r="13" spans="1:15" x14ac:dyDescent="0.2">
      <c r="A13">
        <f t="shared" si="0"/>
        <v>0.49999999999999994</v>
      </c>
      <c r="B13" s="10">
        <f t="shared" si="1"/>
        <v>2.6544948666422403</v>
      </c>
      <c r="C13">
        <f t="shared" si="2"/>
        <v>2.8912112430793813</v>
      </c>
      <c r="F13">
        <v>0.49999999999999994</v>
      </c>
      <c r="G13">
        <v>2.6544948666422403</v>
      </c>
      <c r="H13" s="12">
        <f>H12+$B$45</f>
        <v>1.9999999999999998</v>
      </c>
      <c r="I13">
        <v>6.5311919263123448</v>
      </c>
    </row>
    <row r="14" spans="1:15" x14ac:dyDescent="0.2">
      <c r="A14">
        <f t="shared" si="0"/>
        <v>0.54999999999999993</v>
      </c>
      <c r="B14" s="10">
        <f t="shared" si="1"/>
        <v>2.7879146528535124</v>
      </c>
      <c r="C14">
        <f t="shared" si="2"/>
        <v>2.8255923861391863</v>
      </c>
      <c r="F14">
        <v>0.54999999999999993</v>
      </c>
      <c r="G14">
        <v>2.7879146528535124</v>
      </c>
    </row>
    <row r="15" spans="1:15" x14ac:dyDescent="0.2">
      <c r="A15">
        <f t="shared" si="0"/>
        <v>0.6</v>
      </c>
      <c r="B15" s="10">
        <f t="shared" si="1"/>
        <v>2.9179002420932516</v>
      </c>
      <c r="C15">
        <f t="shared" si="2"/>
        <v>2.7695849109566382</v>
      </c>
      <c r="F15">
        <v>0.6</v>
      </c>
      <c r="G15">
        <v>2.9179002420932516</v>
      </c>
    </row>
    <row r="16" spans="1:15" x14ac:dyDescent="0.2">
      <c r="A16">
        <f t="shared" si="0"/>
        <v>0.65</v>
      </c>
      <c r="B16" s="10">
        <f t="shared" si="1"/>
        <v>3.0449163893071223</v>
      </c>
      <c r="C16">
        <f t="shared" si="2"/>
        <v>2.7225462451888842</v>
      </c>
      <c r="F16">
        <v>0.65</v>
      </c>
      <c r="G16">
        <v>3.0449163893071223</v>
      </c>
    </row>
    <row r="17" spans="1:7" x14ac:dyDescent="0.2">
      <c r="A17">
        <f t="shared" si="0"/>
        <v>0.70000000000000007</v>
      </c>
      <c r="B17" s="10">
        <f t="shared" si="1"/>
        <v>3.1693962195077652</v>
      </c>
      <c r="C17">
        <f t="shared" si="2"/>
        <v>2.6838879474149548</v>
      </c>
      <c r="F17">
        <v>0.70000000000000007</v>
      </c>
      <c r="G17">
        <v>3.1693962195077652</v>
      </c>
    </row>
    <row r="18" spans="1:7" x14ac:dyDescent="0.2">
      <c r="A18">
        <f t="shared" si="0"/>
        <v>0.75000000000000011</v>
      </c>
      <c r="B18" s="10">
        <f t="shared" si="1"/>
        <v>3.2917438744455119</v>
      </c>
      <c r="C18">
        <f t="shared" si="2"/>
        <v>2.6530715044088771</v>
      </c>
      <c r="F18">
        <v>0.75000000000000011</v>
      </c>
      <c r="G18">
        <v>3.2917438744455119</v>
      </c>
    </row>
    <row r="19" spans="1:7" x14ac:dyDescent="0.2">
      <c r="A19">
        <f t="shared" si="0"/>
        <v>0.80000000000000016</v>
      </c>
      <c r="B19" s="10">
        <f t="shared" si="1"/>
        <v>3.412336953337987</v>
      </c>
      <c r="C19">
        <f t="shared" si="2"/>
        <v>2.629604463782568</v>
      </c>
      <c r="F19">
        <v>0.80000000000000016</v>
      </c>
      <c r="G19">
        <v>3.412336953337987</v>
      </c>
    </row>
    <row r="20" spans="1:7" x14ac:dyDescent="0.2">
      <c r="A20">
        <f t="shared" si="0"/>
        <v>0.8500000000000002</v>
      </c>
      <c r="B20" s="10">
        <f t="shared" si="1"/>
        <v>3.5315287640798241</v>
      </c>
      <c r="C20">
        <f t="shared" si="2"/>
        <v>2.6130368754864297</v>
      </c>
      <c r="F20">
        <v>0.8500000000000002</v>
      </c>
      <c r="G20">
        <v>3.5315287640798241</v>
      </c>
    </row>
    <row r="21" spans="1:7" x14ac:dyDescent="0.2">
      <c r="A21">
        <f t="shared" si="0"/>
        <v>0.90000000000000024</v>
      </c>
      <c r="B21" s="10">
        <f t="shared" si="1"/>
        <v>3.6496504000552368</v>
      </c>
      <c r="C21">
        <f t="shared" si="2"/>
        <v>2.60295801775812</v>
      </c>
      <c r="F21">
        <v>0.90000000000000024</v>
      </c>
      <c r="G21">
        <v>3.6496504000552368</v>
      </c>
    </row>
    <row r="22" spans="1:7" x14ac:dyDescent="0.2">
      <c r="A22">
        <f t="shared" si="0"/>
        <v>0.95000000000000029</v>
      </c>
      <c r="B22" s="10">
        <f t="shared" si="1"/>
        <v>3.7670126564806696</v>
      </c>
      <c r="C22">
        <f t="shared" si="2"/>
        <v>2.5989933850459686</v>
      </c>
      <c r="F22">
        <v>0.95000000000000029</v>
      </c>
      <c r="G22">
        <v>3.7670126564806696</v>
      </c>
    </row>
    <row r="23" spans="1:7" x14ac:dyDescent="0.2">
      <c r="A23">
        <f t="shared" si="0"/>
        <v>1.0000000000000002</v>
      </c>
      <c r="B23" s="10">
        <f t="shared" si="1"/>
        <v>3.8839077991040392</v>
      </c>
      <c r="C23">
        <f t="shared" si="2"/>
        <v>2.6008019172161543</v>
      </c>
      <c r="F23">
        <v>1.0000000000000002</v>
      </c>
      <c r="G23">
        <v>3.8839077991040392</v>
      </c>
    </row>
    <row r="24" spans="1:7" x14ac:dyDescent="0.2">
      <c r="A24">
        <f t="shared" si="0"/>
        <v>1.0500000000000003</v>
      </c>
      <c r="B24" s="10">
        <f t="shared" si="1"/>
        <v>4.0006111970736802</v>
      </c>
      <c r="C24">
        <f t="shared" si="2"/>
        <v>2.6080734509941625</v>
      </c>
      <c r="F24">
        <v>1.0500000000000003</v>
      </c>
      <c r="G24">
        <v>4.0006111970736802</v>
      </c>
    </row>
    <row r="25" spans="1:7" x14ac:dyDescent="0.2">
      <c r="A25">
        <f t="shared" si="0"/>
        <v>1.1000000000000003</v>
      </c>
      <c r="B25" s="10">
        <f t="shared" si="1"/>
        <v>4.1173828308570757</v>
      </c>
      <c r="C25">
        <f t="shared" si="2"/>
        <v>2.6205263761024669</v>
      </c>
      <c r="F25">
        <v>1.1000000000000003</v>
      </c>
      <c r="G25">
        <v>4.1173828308570757</v>
      </c>
    </row>
    <row r="26" spans="1:7" x14ac:dyDescent="0.2">
      <c r="A26">
        <f t="shared" si="0"/>
        <v>1.1500000000000004</v>
      </c>
      <c r="B26" s="10">
        <f t="shared" si="1"/>
        <v>4.2344686852304543</v>
      </c>
      <c r="C26">
        <f t="shared" si="2"/>
        <v>2.6379054799480484</v>
      </c>
      <c r="F26">
        <v>1.1500000000000004</v>
      </c>
      <c r="G26">
        <v>4.2344686852304543</v>
      </c>
    </row>
    <row r="27" spans="1:7" x14ac:dyDescent="0.2">
      <c r="A27">
        <f t="shared" si="0"/>
        <v>1.2000000000000004</v>
      </c>
      <c r="B27" s="10">
        <f t="shared" si="1"/>
        <v>4.3521020365694811</v>
      </c>
      <c r="C27">
        <f t="shared" si="2"/>
        <v>2.6599799659948418</v>
      </c>
      <c r="F27">
        <v>1.2000000000000004</v>
      </c>
      <c r="G27">
        <v>4.3521020365694811</v>
      </c>
    </row>
    <row r="28" spans="1:7" x14ac:dyDescent="0.2">
      <c r="A28">
        <f t="shared" si="0"/>
        <v>1.2500000000000004</v>
      </c>
      <c r="B28" s="10">
        <f t="shared" si="1"/>
        <v>4.4705046429431805</v>
      </c>
      <c r="C28">
        <f t="shared" si="2"/>
        <v>2.686541632136167</v>
      </c>
      <c r="F28">
        <v>1.2500000000000004</v>
      </c>
      <c r="G28">
        <v>4.4705046429431805</v>
      </c>
    </row>
    <row r="29" spans="1:7" x14ac:dyDescent="0.2">
      <c r="A29">
        <f>A28+$A$1</f>
        <v>1.3000000000000005</v>
      </c>
      <c r="B29" s="10">
        <f t="shared" si="1"/>
        <v>4.5898878448428961</v>
      </c>
      <c r="C29">
        <f t="shared" si="2"/>
        <v>2.7174031964687182</v>
      </c>
      <c r="F29">
        <v>1.3000000000000005</v>
      </c>
      <c r="G29">
        <v>4.5898878448428961</v>
      </c>
    </row>
    <row r="30" spans="1:7" x14ac:dyDescent="0.2">
      <c r="A30">
        <f t="shared" si="0"/>
        <v>1.3500000000000005</v>
      </c>
      <c r="B30" s="10">
        <f t="shared" si="1"/>
        <v>4.7104535837610229</v>
      </c>
      <c r="C30">
        <f t="shared" si="2"/>
        <v>2.7523967588701788</v>
      </c>
      <c r="F30">
        <v>1.3500000000000005</v>
      </c>
      <c r="G30">
        <v>4.7104535837610229</v>
      </c>
    </row>
    <row r="31" spans="1:7" x14ac:dyDescent="0.2">
      <c r="A31">
        <f t="shared" si="0"/>
        <v>1.4000000000000006</v>
      </c>
      <c r="B31" s="10">
        <f t="shared" si="1"/>
        <v>4.8323953452661117</v>
      </c>
      <c r="C31">
        <f t="shared" si="2"/>
        <v>2.7913723877037815</v>
      </c>
      <c r="F31">
        <v>1.4000000000000006</v>
      </c>
      <c r="G31">
        <v>4.8323953452661117</v>
      </c>
    </row>
    <row r="32" spans="1:7" x14ac:dyDescent="0.2">
      <c r="A32">
        <f t="shared" si="0"/>
        <v>1.4500000000000006</v>
      </c>
      <c r="B32" s="10">
        <f t="shared" si="1"/>
        <v>4.9558990326979631</v>
      </c>
      <c r="C32">
        <f t="shared" si="2"/>
        <v>2.8341968218214606</v>
      </c>
      <c r="F32">
        <v>1.4500000000000006</v>
      </c>
      <c r="G32">
        <v>4.9558990326979631</v>
      </c>
    </row>
    <row r="33" spans="1:13" x14ac:dyDescent="0.2">
      <c r="A33">
        <f t="shared" si="0"/>
        <v>1.5000000000000007</v>
      </c>
      <c r="B33" s="10">
        <f t="shared" si="1"/>
        <v>5.0811437771248782</v>
      </c>
      <c r="C33">
        <f t="shared" si="2"/>
        <v>2.880752278818393</v>
      </c>
      <c r="F33">
        <v>1.5000000000000007</v>
      </c>
      <c r="G33">
        <v>5.0811437771248782</v>
      </c>
    </row>
    <row r="34" spans="1:13" x14ac:dyDescent="0.2">
      <c r="A34">
        <f t="shared" si="0"/>
        <v>1.5500000000000007</v>
      </c>
      <c r="B34" s="10">
        <f t="shared" si="1"/>
        <v>5.2083026887620347</v>
      </c>
      <c r="C34">
        <f t="shared" si="2"/>
        <v>2.9309353612110565</v>
      </c>
      <c r="F34">
        <v>1.5500000000000007</v>
      </c>
      <c r="G34">
        <v>5.2083026887620347</v>
      </c>
    </row>
    <row r="35" spans="1:13" x14ac:dyDescent="0.2">
      <c r="A35">
        <f t="shared" si="0"/>
        <v>1.6000000000000008</v>
      </c>
      <c r="B35" s="10">
        <f t="shared" si="1"/>
        <v>5.3375435546419849</v>
      </c>
      <c r="C35">
        <f t="shared" si="2"/>
        <v>2.9846560528733095</v>
      </c>
      <c r="F35">
        <v>1.6000000000000008</v>
      </c>
      <c r="G35">
        <v>5.3375435546419849</v>
      </c>
    </row>
    <row r="36" spans="1:13" x14ac:dyDescent="0.2">
      <c r="A36">
        <f t="shared" si="0"/>
        <v>1.6500000000000008</v>
      </c>
      <c r="B36" s="10">
        <f t="shared" si="1"/>
        <v>5.4690294869527314</v>
      </c>
      <c r="C36">
        <f t="shared" si="2"/>
        <v>3.0418367986749728</v>
      </c>
      <c r="F36">
        <v>1.6500000000000008</v>
      </c>
      <c r="G36">
        <v>5.4690294869527314</v>
      </c>
    </row>
    <row r="37" spans="1:13" x14ac:dyDescent="0.2">
      <c r="A37">
        <f t="shared" si="0"/>
        <v>1.7000000000000008</v>
      </c>
      <c r="B37" s="10">
        <f t="shared" si="1"/>
        <v>5.6029195261131752</v>
      </c>
      <c r="C37">
        <f t="shared" si="2"/>
        <v>3.1024116608290826</v>
      </c>
      <c r="F37">
        <v>1.7000000000000008</v>
      </c>
      <c r="G37">
        <v>5.6029195261131752</v>
      </c>
    </row>
    <row r="38" spans="1:13" x14ac:dyDescent="0.2">
      <c r="A38">
        <f>A37+$A$1</f>
        <v>1.7500000000000009</v>
      </c>
      <c r="B38" s="10">
        <f t="shared" si="1"/>
        <v>5.7393692023375662</v>
      </c>
      <c r="C38">
        <f t="shared" si="2"/>
        <v>3.1663255459712509</v>
      </c>
      <c r="F38">
        <v>1.7500000000000009</v>
      </c>
      <c r="G38">
        <v>5.7393692023375662</v>
      </c>
    </row>
    <row r="39" spans="1:13" x14ac:dyDescent="0.2">
      <c r="A39">
        <f t="shared" si="0"/>
        <v>1.8000000000000009</v>
      </c>
      <c r="B39" s="10">
        <f t="shared" si="1"/>
        <v>5.8785310591477504</v>
      </c>
      <c r="C39">
        <f t="shared" si="2"/>
        <v>3.2335334974709067</v>
      </c>
      <c r="F39">
        <v>1.8000000000000009</v>
      </c>
      <c r="G39">
        <v>5.8785310591477504</v>
      </c>
    </row>
    <row r="40" spans="1:13" x14ac:dyDescent="0.2">
      <c r="A40">
        <f t="shared" si="0"/>
        <v>1.850000000000001</v>
      </c>
      <c r="B40" s="10">
        <f t="shared" si="1"/>
        <v>6.0205551420225021</v>
      </c>
      <c r="C40">
        <f t="shared" si="2"/>
        <v>3.3040000479128686</v>
      </c>
      <c r="F40">
        <v>1.850000000000001</v>
      </c>
      <c r="G40">
        <v>6.0205551420225021</v>
      </c>
    </row>
    <row r="41" spans="1:13" x14ac:dyDescent="0.2">
      <c r="A41">
        <f t="shared" si="0"/>
        <v>1.900000000000001</v>
      </c>
      <c r="B41" s="10">
        <f t="shared" si="1"/>
        <v>6.1655894551251977</v>
      </c>
      <c r="C41">
        <f t="shared" si="2"/>
        <v>3.3776986270916805</v>
      </c>
      <c r="F41">
        <v>1.900000000000001</v>
      </c>
      <c r="G41">
        <v>6.1655894551251977</v>
      </c>
    </row>
    <row r="42" spans="1:13" x14ac:dyDescent="0.2">
      <c r="A42">
        <f>A41+$A$1</f>
        <v>1.9500000000000011</v>
      </c>
      <c r="B42" s="10">
        <f t="shared" si="1"/>
        <v>6.3137803888228428</v>
      </c>
      <c r="C42">
        <f t="shared" si="2"/>
        <v>3.4546110212331973</v>
      </c>
      <c r="F42">
        <v>1.9500000000000011</v>
      </c>
      <c r="G42">
        <v>6.3137803888228428</v>
      </c>
    </row>
    <row r="43" spans="1:13" x14ac:dyDescent="0.2">
      <c r="A43">
        <f t="shared" si="0"/>
        <v>2.0000000000000009</v>
      </c>
      <c r="B43" s="10">
        <f t="shared" ref="B43" si="3">($A$1^2+$A$1*C42+$A$1*B42+B42)/(-$A$1^2+$A$1+1)</f>
        <v>6.4652731204994254</v>
      </c>
      <c r="C43">
        <f t="shared" ref="C43" si="4">($A$1*(B42-1)+C42)/(-$A$1^2+$A$1+1)</f>
        <v>3.53472687950056</v>
      </c>
      <c r="D43">
        <f>C43+B43-10</f>
        <v>-1.4210854715202004E-14</v>
      </c>
      <c r="F43">
        <v>2.0000000000000009</v>
      </c>
      <c r="G43">
        <v>6.4652731204994254</v>
      </c>
    </row>
    <row r="44" spans="1:13" s="1" customFormat="1" x14ac:dyDescent="0.2">
      <c r="A44" s="7" t="s">
        <v>38</v>
      </c>
      <c r="B44" s="1" t="s">
        <v>38</v>
      </c>
    </row>
    <row r="45" spans="1:13" x14ac:dyDescent="0.2">
      <c r="A45" t="s">
        <v>18</v>
      </c>
      <c r="B45">
        <v>0.2</v>
      </c>
    </row>
    <row r="46" spans="1:13" x14ac:dyDescent="0.2">
      <c r="A46" s="12" t="s">
        <v>4</v>
      </c>
      <c r="B46" s="13"/>
      <c r="C46" s="13"/>
      <c r="D46" s="13"/>
      <c r="E46" s="13"/>
      <c r="F46" s="13"/>
      <c r="G46" s="13" t="s">
        <v>35</v>
      </c>
      <c r="H46" s="13"/>
      <c r="I46" s="13"/>
      <c r="J46" s="13"/>
      <c r="K46" s="13"/>
      <c r="L46" t="s">
        <v>37</v>
      </c>
    </row>
    <row r="47" spans="1:13" x14ac:dyDescent="0.2">
      <c r="A47" s="12">
        <v>0</v>
      </c>
      <c r="B47" s="13"/>
      <c r="C47" s="13"/>
      <c r="D47" s="13"/>
      <c r="E47" s="13"/>
      <c r="F47" s="13"/>
      <c r="G47" s="13"/>
      <c r="H47" s="13"/>
      <c r="I47" s="13"/>
      <c r="J47" s="13"/>
      <c r="K47" s="13"/>
      <c r="L47">
        <v>1</v>
      </c>
      <c r="M47" t="s">
        <v>36</v>
      </c>
    </row>
    <row r="48" spans="1:13" x14ac:dyDescent="0.2">
      <c r="A48" s="12">
        <f>A47+$B$45</f>
        <v>0.2</v>
      </c>
      <c r="B48" s="13">
        <v>-2.04</v>
      </c>
      <c r="C48" s="13">
        <v>1.1000000000000001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cm="1">
        <f t="array" ref="L48:L57">MMULT(MINVERSE(B48:K57),M48:M57)</f>
        <v>0.94621916931124306</v>
      </c>
      <c r="M48" s="14">
        <v>-0.04</v>
      </c>
    </row>
    <row r="49" spans="1:13" x14ac:dyDescent="0.2">
      <c r="A49" s="12">
        <f>A48+$B$45</f>
        <v>0.4</v>
      </c>
      <c r="B49" s="13">
        <v>0.9</v>
      </c>
      <c r="C49" s="13">
        <v>-2.04</v>
      </c>
      <c r="D49" s="13">
        <v>1.1000000000000001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>
        <v>1.7184428230863054</v>
      </c>
      <c r="M49" s="14">
        <v>-0.04</v>
      </c>
    </row>
    <row r="50" spans="1:13" x14ac:dyDescent="0.2">
      <c r="A50" s="12">
        <f>A49+$B$45</f>
        <v>0.60000000000000009</v>
      </c>
      <c r="B50" s="13">
        <v>0</v>
      </c>
      <c r="C50" s="13">
        <v>0.9</v>
      </c>
      <c r="D50" s="13">
        <v>-2.04</v>
      </c>
      <c r="E50" s="13">
        <v>1.1000000000000001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>
        <v>2.3763873697417668</v>
      </c>
      <c r="M50" s="14">
        <v>-0.04</v>
      </c>
    </row>
    <row r="51" spans="1:13" x14ac:dyDescent="0.2">
      <c r="A51" s="12">
        <f>A50+$B$45</f>
        <v>0.8</v>
      </c>
      <c r="B51" s="13">
        <v>0</v>
      </c>
      <c r="C51" s="13">
        <v>0</v>
      </c>
      <c r="D51" s="13">
        <v>0.9</v>
      </c>
      <c r="E51" s="13">
        <v>-2.04</v>
      </c>
      <c r="F51" s="13">
        <v>1.1000000000000001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>
        <v>2.9647560849959365</v>
      </c>
      <c r="M51" s="14">
        <v>-0.04</v>
      </c>
    </row>
    <row r="52" spans="1:13" x14ac:dyDescent="0.2">
      <c r="A52" s="12">
        <f>A51+$B$45</f>
        <v>1</v>
      </c>
      <c r="B52" s="13">
        <v>0</v>
      </c>
      <c r="C52" s="13">
        <v>0</v>
      </c>
      <c r="D52" s="13">
        <v>0</v>
      </c>
      <c r="E52" s="13">
        <v>0.9</v>
      </c>
      <c r="F52" s="13">
        <v>-2.04</v>
      </c>
      <c r="G52" s="13">
        <v>1.1000000000000001</v>
      </c>
      <c r="H52" s="13">
        <v>0</v>
      </c>
      <c r="I52" s="13">
        <v>0</v>
      </c>
      <c r="J52" s="13">
        <v>0</v>
      </c>
      <c r="K52" s="13">
        <v>0</v>
      </c>
      <c r="L52">
        <v>3.517594346021927</v>
      </c>
      <c r="M52" s="14">
        <v>-0.04</v>
      </c>
    </row>
    <row r="53" spans="1:13" x14ac:dyDescent="0.2">
      <c r="A53" s="12">
        <f>A52+$B$45</f>
        <v>1.2</v>
      </c>
      <c r="B53" s="13">
        <v>0</v>
      </c>
      <c r="C53" s="13">
        <v>0</v>
      </c>
      <c r="D53" s="13">
        <v>0</v>
      </c>
      <c r="E53" s="13">
        <v>0</v>
      </c>
      <c r="F53" s="13">
        <v>0.9</v>
      </c>
      <c r="G53" s="13">
        <v>-2.04</v>
      </c>
      <c r="H53" s="13">
        <v>1.1000000000000001</v>
      </c>
      <c r="I53" s="13">
        <v>0</v>
      </c>
      <c r="J53" s="13">
        <v>0</v>
      </c>
      <c r="K53" s="13">
        <v>0</v>
      </c>
      <c r="L53">
        <v>4.0614654448985332</v>
      </c>
      <c r="M53" s="14">
        <v>-0.04</v>
      </c>
    </row>
    <row r="54" spans="1:13" x14ac:dyDescent="0.2">
      <c r="A54" s="12">
        <f>A53+$B$45</f>
        <v>1.4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0.9</v>
      </c>
      <c r="H54" s="13">
        <v>-2.04</v>
      </c>
      <c r="I54" s="13">
        <v>1.1000000000000001</v>
      </c>
      <c r="J54" s="13">
        <v>0</v>
      </c>
      <c r="K54" s="13">
        <v>0</v>
      </c>
      <c r="L54">
        <v>4.6177769056120681</v>
      </c>
      <c r="M54" s="14">
        <v>-0.04</v>
      </c>
    </row>
    <row r="55" spans="1:13" x14ac:dyDescent="0.2">
      <c r="A55" s="12">
        <f>A54+$B$45</f>
        <v>1.5999999999999999</v>
      </c>
      <c r="B55" s="13">
        <v>0</v>
      </c>
      <c r="C55" s="13">
        <v>0</v>
      </c>
      <c r="D55" s="13">
        <v>0</v>
      </c>
      <c r="E55" s="13">
        <v>0</v>
      </c>
      <c r="F55" s="13">
        <v>0</v>
      </c>
      <c r="G55" s="13">
        <v>0</v>
      </c>
      <c r="H55" s="13">
        <v>0.9</v>
      </c>
      <c r="I55" s="13">
        <v>-2.04</v>
      </c>
      <c r="J55" s="13">
        <v>1.1000000000000001</v>
      </c>
      <c r="K55" s="13">
        <v>0</v>
      </c>
      <c r="L55">
        <v>5.2044963518544876</v>
      </c>
      <c r="M55" s="14">
        <v>-0.04</v>
      </c>
    </row>
    <row r="56" spans="1:13" x14ac:dyDescent="0.2">
      <c r="A56" s="12">
        <f>A55+$B$45</f>
        <v>1.7999999999999998</v>
      </c>
      <c r="B56" s="13">
        <v>0</v>
      </c>
      <c r="C56" s="13">
        <v>0</v>
      </c>
      <c r="D56" s="13">
        <v>0</v>
      </c>
      <c r="E56" s="13">
        <v>0</v>
      </c>
      <c r="F56" s="13">
        <v>0</v>
      </c>
      <c r="G56" s="13">
        <v>0</v>
      </c>
      <c r="H56" s="13">
        <v>0</v>
      </c>
      <c r="I56" s="13">
        <v>0.9</v>
      </c>
      <c r="J56" s="13">
        <v>-2.04</v>
      </c>
      <c r="K56" s="13">
        <v>1.1000000000000001</v>
      </c>
      <c r="L56">
        <v>5.8374303115748143</v>
      </c>
      <c r="M56" s="14">
        <v>-0.04</v>
      </c>
    </row>
    <row r="57" spans="1:13" x14ac:dyDescent="0.2">
      <c r="A57" s="12">
        <f>A56+$B$45</f>
        <v>1.9999999999999998</v>
      </c>
      <c r="B57" s="13">
        <v>0</v>
      </c>
      <c r="C57" s="13">
        <v>0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-5</v>
      </c>
      <c r="K57" s="13">
        <v>6</v>
      </c>
      <c r="L57">
        <v>6.5311919263123448</v>
      </c>
      <c r="M57" s="14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B8C1-FEE1-144A-8135-1D9FF435C195}">
  <sheetPr codeName="Sheet5"/>
  <dimension ref="A1:F15"/>
  <sheetViews>
    <sheetView zoomScale="103" workbookViewId="0">
      <selection activeCell="F15" sqref="F15"/>
    </sheetView>
  </sheetViews>
  <sheetFormatPr baseColWidth="10" defaultRowHeight="16" x14ac:dyDescent="0.2"/>
  <sheetData>
    <row r="1" spans="1:6" x14ac:dyDescent="0.2">
      <c r="A1" t="s">
        <v>30</v>
      </c>
      <c r="B1" t="s">
        <v>25</v>
      </c>
      <c r="C1" s="6" t="s">
        <v>26</v>
      </c>
    </row>
    <row r="2" spans="1:6" x14ac:dyDescent="0.2">
      <c r="A2" t="s">
        <v>27</v>
      </c>
      <c r="B2" t="s">
        <v>28</v>
      </c>
      <c r="C2" t="s">
        <v>29</v>
      </c>
    </row>
    <row r="3" spans="1:6" x14ac:dyDescent="0.2">
      <c r="A3">
        <v>1</v>
      </c>
      <c r="B3">
        <v>0</v>
      </c>
      <c r="C3" s="2">
        <v>3.4E-5</v>
      </c>
      <c r="E3" t="s">
        <v>31</v>
      </c>
      <c r="F3">
        <v>1.4999999999999999E-2</v>
      </c>
    </row>
    <row r="4" spans="1:6" x14ac:dyDescent="0.2">
      <c r="A4">
        <v>0.9</v>
      </c>
      <c r="B4">
        <v>0.1</v>
      </c>
      <c r="C4" s="2">
        <v>3.6000000000000001E-5</v>
      </c>
      <c r="E4" t="s">
        <v>39</v>
      </c>
      <c r="F4">
        <v>20.372653449617978</v>
      </c>
    </row>
    <row r="5" spans="1:6" x14ac:dyDescent="0.2">
      <c r="A5">
        <v>0.8</v>
      </c>
      <c r="B5">
        <v>0.2</v>
      </c>
      <c r="C5" s="2">
        <v>3.6999999999999998E-5</v>
      </c>
      <c r="E5" t="s">
        <v>40</v>
      </c>
      <c r="F5">
        <v>3.63788448472557</v>
      </c>
    </row>
    <row r="6" spans="1:6" x14ac:dyDescent="0.2">
      <c r="A6">
        <v>0.7</v>
      </c>
      <c r="B6">
        <v>0.3</v>
      </c>
      <c r="C6" s="2">
        <v>3.8999999999999999E-5</v>
      </c>
    </row>
    <row r="7" spans="1:6" x14ac:dyDescent="0.2">
      <c r="A7">
        <v>0.6</v>
      </c>
      <c r="B7">
        <v>0.4</v>
      </c>
      <c r="C7" s="2">
        <v>4.0000000000000003E-5</v>
      </c>
    </row>
    <row r="9" spans="1:6" x14ac:dyDescent="0.2">
      <c r="A9" t="s">
        <v>27</v>
      </c>
      <c r="B9" t="s">
        <v>28</v>
      </c>
      <c r="C9" t="s">
        <v>41</v>
      </c>
      <c r="D9" t="s">
        <v>42</v>
      </c>
      <c r="E9" t="s">
        <v>43</v>
      </c>
      <c r="F9" t="s">
        <v>44</v>
      </c>
    </row>
    <row r="10" spans="1:6" x14ac:dyDescent="0.2">
      <c r="A10">
        <v>1</v>
      </c>
      <c r="B10">
        <v>0</v>
      </c>
      <c r="C10" s="2">
        <f>($F$3*A10)/(1+$F$4*A10+$F$5*B10)^2</f>
        <v>3.28378240338152E-5</v>
      </c>
      <c r="D10" s="2">
        <v>3.4E-5</v>
      </c>
      <c r="E10" s="2">
        <f>C10-D10</f>
        <v>-1.1621759661847996E-6</v>
      </c>
      <c r="F10" s="2">
        <f>E10^2</f>
        <v>1.3506529763775726E-12</v>
      </c>
    </row>
    <row r="11" spans="1:6" x14ac:dyDescent="0.2">
      <c r="A11">
        <v>0.9</v>
      </c>
      <c r="B11">
        <v>0.1</v>
      </c>
      <c r="C11" s="2">
        <f t="shared" ref="C11:C14" si="0">($F$3*A11)/(1+$F$4*A11+$F$5*B11)^2</f>
        <v>3.4788653798786885E-5</v>
      </c>
      <c r="D11" s="2">
        <v>3.6000000000000001E-5</v>
      </c>
      <c r="E11" s="2">
        <f t="shared" ref="E11:E14" si="1">C11-D11</f>
        <v>-1.211346201213116E-6</v>
      </c>
      <c r="F11" s="2">
        <f t="shared" ref="F11:F14" si="2">E11^2</f>
        <v>1.4673596191934469E-12</v>
      </c>
    </row>
    <row r="12" spans="1:6" x14ac:dyDescent="0.2">
      <c r="A12">
        <v>0.8</v>
      </c>
      <c r="B12">
        <v>0.2</v>
      </c>
      <c r="C12" s="2">
        <f t="shared" si="0"/>
        <v>3.6931503202191595E-5</v>
      </c>
      <c r="D12" s="2">
        <v>3.6999999999999998E-5</v>
      </c>
      <c r="E12" s="2">
        <f t="shared" si="1"/>
        <v>-6.8496797808403572E-8</v>
      </c>
      <c r="F12" s="2">
        <f t="shared" si="2"/>
        <v>4.6918113100053206E-15</v>
      </c>
    </row>
    <row r="13" spans="1:6" x14ac:dyDescent="0.2">
      <c r="A13">
        <v>0.7</v>
      </c>
      <c r="B13">
        <v>0.3</v>
      </c>
      <c r="C13" s="2">
        <f t="shared" si="0"/>
        <v>3.9267722173721074E-5</v>
      </c>
      <c r="D13" s="2">
        <v>3.8999999999999999E-5</v>
      </c>
      <c r="E13" s="2">
        <f t="shared" si="1"/>
        <v>2.6772217372107477E-7</v>
      </c>
      <c r="F13" s="2">
        <f t="shared" si="2"/>
        <v>7.1675162301937336E-14</v>
      </c>
    </row>
    <row r="14" spans="1:6" x14ac:dyDescent="0.2">
      <c r="A14">
        <v>0.6</v>
      </c>
      <c r="B14">
        <v>0.4</v>
      </c>
      <c r="C14" s="2">
        <f t="shared" si="0"/>
        <v>4.1770012614414709E-5</v>
      </c>
      <c r="D14" s="2">
        <v>4.0000000000000003E-5</v>
      </c>
      <c r="E14" s="2">
        <f t="shared" si="1"/>
        <v>1.7700126144147059E-6</v>
      </c>
      <c r="F14" s="2">
        <f t="shared" si="2"/>
        <v>3.1329446551871822E-12</v>
      </c>
    </row>
    <row r="15" spans="1:6" x14ac:dyDescent="0.2">
      <c r="E15" t="s">
        <v>45</v>
      </c>
      <c r="F15" s="2">
        <f>SUM(F10:F14)</f>
        <v>6.0273242243701438E-12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Problem 1</vt:lpstr>
      <vt:lpstr>Problem 2</vt:lpstr>
      <vt:lpstr>Problem 3</vt:lpstr>
      <vt:lpstr>Problem 4</vt:lpstr>
      <vt:lpstr>Problem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Roman-Gomez, Pedro</dc:creator>
  <cp:lastModifiedBy>Roman-Gomez, Pedro</cp:lastModifiedBy>
  <dcterms:created xsi:type="dcterms:W3CDTF">2025-12-06T18:15:41Z</dcterms:created>
  <dcterms:modified xsi:type="dcterms:W3CDTF">2025-12-09T23:35:19Z</dcterms:modified>
</cp:coreProperties>
</file>