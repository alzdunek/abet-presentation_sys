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7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iegonegrete/Downloads/"/>
    </mc:Choice>
  </mc:AlternateContent>
  <xr:revisionPtr revIDLastSave="0" documentId="13_ncr:1_{4F6FD811-029E-114D-A9FF-E7F5FC788EE7}" xr6:coauthVersionLast="47" xr6:coauthVersionMax="47" xr10:uidLastSave="{00000000-0000-0000-0000-000000000000}"/>
  <bookViews>
    <workbookView xWindow="12720" yWindow="940" windowWidth="15420" windowHeight="16900" xr2:uid="{F8EBD3F9-DC11-DB44-9667-32BC920BC5D0}"/>
  </bookViews>
  <sheets>
    <sheet name="Problem 1a and 1b" sheetId="1" r:id="rId1"/>
    <sheet name="Problem 1c" sheetId="7" r:id="rId2"/>
    <sheet name="Problem 2" sheetId="2" r:id="rId3"/>
    <sheet name="Problem 3" sheetId="8" r:id="rId4"/>
    <sheet name="Problem 4a" sheetId="4" r:id="rId5"/>
    <sheet name="Problem 4b" sheetId="9" r:id="rId6"/>
    <sheet name="Problem 5" sheetId="5" r:id="rId7"/>
  </sheets>
  <functionGroups builtInGroupCount="19"/>
  <definedNames>
    <definedName name="solver_adj" localSheetId="6" hidden="1">'Problem 5'!$B$8:$B$9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itr" localSheetId="6" hidden="1">2147483647</definedName>
    <definedName name="solver_lin" localSheetId="6" hidden="1">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0</definedName>
    <definedName name="solver_opt" localSheetId="6" hidden="1">'Problem 5'!$G$8</definedName>
    <definedName name="solver_pre" localSheetId="6" hidden="1">0.000001</definedName>
    <definedName name="solver_rbv" localSheetId="6" hidden="1">1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2</definedName>
    <definedName name="solver_val" localSheetId="6" hidden="1">0</definedName>
    <definedName name="solver_ver" localSheetId="6" hidden="1">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5" l="1"/>
  <c r="E3" i="5" s="1"/>
  <c r="F3" i="5" s="1"/>
  <c r="G3" i="5" s="1"/>
  <c r="D4" i="5"/>
  <c r="E4" i="5" s="1"/>
  <c r="F4" i="5" s="1"/>
  <c r="G4" i="5" s="1"/>
  <c r="D5" i="5"/>
  <c r="E5" i="5" s="1"/>
  <c r="F5" i="5" s="1"/>
  <c r="G5" i="5" s="1"/>
  <c r="D6" i="5"/>
  <c r="E6" i="5" s="1"/>
  <c r="F6" i="5" s="1"/>
  <c r="G6" i="5" s="1"/>
  <c r="D2" i="5"/>
  <c r="E2" i="5" s="1"/>
  <c r="F2" i="5" s="1"/>
  <c r="G2" i="5" s="1"/>
  <c r="B4" i="5"/>
  <c r="B5" i="5" s="1"/>
  <c r="B6" i="5" s="1"/>
  <c r="B3" i="5"/>
  <c r="A4" i="5"/>
  <c r="A5" i="5" s="1"/>
  <c r="A6" i="5" s="1"/>
  <c r="A3" i="5"/>
  <c r="B16" i="9" a="1"/>
  <c r="B16" i="9" s="1"/>
  <c r="A17" i="9"/>
  <c r="A18" i="9" s="1"/>
  <c r="A19" i="9" s="1"/>
  <c r="A20" i="9" s="1"/>
  <c r="A21" i="9" s="1"/>
  <c r="A22" i="9" s="1"/>
  <c r="A23" i="9" s="1"/>
  <c r="A24" i="9" s="1"/>
  <c r="A25" i="9" s="1"/>
  <c r="A16" i="9"/>
  <c r="C42" i="4"/>
  <c r="D42" i="4"/>
  <c r="C4" i="4"/>
  <c r="C5" i="4" s="1"/>
  <c r="D4" i="4"/>
  <c r="D5" i="4"/>
  <c r="D3" i="4"/>
  <c r="D2" i="4"/>
  <c r="C3" i="4" s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2" i="4"/>
  <c r="A4" i="4"/>
  <c r="A5" i="4"/>
  <c r="A3" i="4"/>
  <c r="A13" i="8"/>
  <c r="B13" i="8"/>
  <c r="C13" i="8"/>
  <c r="D13" i="8"/>
  <c r="A14" i="8"/>
  <c r="B14" i="8"/>
  <c r="C14" i="8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C28" i="8" s="1"/>
  <c r="C29" i="8" s="1"/>
  <c r="C30" i="8" s="1"/>
  <c r="C31" i="8" s="1"/>
  <c r="C32" i="8" s="1"/>
  <c r="C33" i="8" s="1"/>
  <c r="C34" i="8" s="1"/>
  <c r="C35" i="8" s="1"/>
  <c r="C36" i="8" s="1"/>
  <c r="C37" i="8" s="1"/>
  <c r="C38" i="8" s="1"/>
  <c r="C39" i="8" s="1"/>
  <c r="C40" i="8" s="1"/>
  <c r="C41" i="8" s="1"/>
  <c r="C42" i="8" s="1"/>
  <c r="C43" i="8" s="1"/>
  <c r="C44" i="8" s="1"/>
  <c r="C45" i="8" s="1"/>
  <c r="C46" i="8" s="1"/>
  <c r="C47" i="8" s="1"/>
  <c r="C48" i="8" s="1"/>
  <c r="C49" i="8" s="1"/>
  <c r="C50" i="8" s="1"/>
  <c r="C51" i="8" s="1"/>
  <c r="C52" i="8" s="1"/>
  <c r="C53" i="8" s="1"/>
  <c r="C54" i="8" s="1"/>
  <c r="C55" i="8" s="1"/>
  <c r="C56" i="8" s="1"/>
  <c r="C57" i="8" s="1"/>
  <c r="C58" i="8" s="1"/>
  <c r="C59" i="8" s="1"/>
  <c r="C60" i="8" s="1"/>
  <c r="C61" i="8" s="1"/>
  <c r="C62" i="8" s="1"/>
  <c r="C63" i="8" s="1"/>
  <c r="C64" i="8" s="1"/>
  <c r="C65" i="8" s="1"/>
  <c r="C66" i="8" s="1"/>
  <c r="C67" i="8" s="1"/>
  <c r="C68" i="8" s="1"/>
  <c r="C69" i="8" s="1"/>
  <c r="C70" i="8" s="1"/>
  <c r="C71" i="8" s="1"/>
  <c r="C72" i="8" s="1"/>
  <c r="C73" i="8" s="1"/>
  <c r="C74" i="8" s="1"/>
  <c r="C75" i="8" s="1"/>
  <c r="C76" i="8" s="1"/>
  <c r="C77" i="8" s="1"/>
  <c r="C78" i="8" s="1"/>
  <c r="C79" i="8" s="1"/>
  <c r="C80" i="8" s="1"/>
  <c r="C81" i="8" s="1"/>
  <c r="C82" i="8" s="1"/>
  <c r="C83" i="8" s="1"/>
  <c r="C84" i="8" s="1"/>
  <c r="C85" i="8" s="1"/>
  <c r="C86" i="8" s="1"/>
  <c r="C87" i="8" s="1"/>
  <c r="C88" i="8" s="1"/>
  <c r="C89" i="8" s="1"/>
  <c r="C90" i="8" s="1"/>
  <c r="C91" i="8" s="1"/>
  <c r="C92" i="8" s="1"/>
  <c r="C93" i="8" s="1"/>
  <c r="C94" i="8" s="1"/>
  <c r="C95" i="8" s="1"/>
  <c r="C96" i="8" s="1"/>
  <c r="C97" i="8" s="1"/>
  <c r="C98" i="8" s="1"/>
  <c r="C99" i="8" s="1"/>
  <c r="C100" i="8" s="1"/>
  <c r="C101" i="8" s="1"/>
  <c r="C102" i="8" s="1"/>
  <c r="C103" i="8" s="1"/>
  <c r="C104" i="8" s="1"/>
  <c r="C105" i="8" s="1"/>
  <c r="C106" i="8" s="1"/>
  <c r="C107" i="8" s="1"/>
  <c r="C108" i="8" s="1"/>
  <c r="C109" i="8" s="1"/>
  <c r="C110" i="8" s="1"/>
  <c r="C111" i="8" s="1"/>
  <c r="C112" i="8" s="1"/>
  <c r="C113" i="8" s="1"/>
  <c r="C114" i="8" s="1"/>
  <c r="C115" i="8" s="1"/>
  <c r="C116" i="8" s="1"/>
  <c r="C117" i="8" s="1"/>
  <c r="C118" i="8" s="1"/>
  <c r="C119" i="8" s="1"/>
  <c r="C120" i="8" s="1"/>
  <c r="C121" i="8" s="1"/>
  <c r="C122" i="8" s="1"/>
  <c r="C123" i="8" s="1"/>
  <c r="C124" i="8" s="1"/>
  <c r="C125" i="8" s="1"/>
  <c r="C126" i="8" s="1"/>
  <c r="C127" i="8" s="1"/>
  <c r="C128" i="8" s="1"/>
  <c r="C129" i="8" s="1"/>
  <c r="C130" i="8" s="1"/>
  <c r="C131" i="8" s="1"/>
  <c r="C132" i="8" s="1"/>
  <c r="C133" i="8" s="1"/>
  <c r="C134" i="8" s="1"/>
  <c r="C135" i="8" s="1"/>
  <c r="C136" i="8" s="1"/>
  <c r="C137" i="8" s="1"/>
  <c r="C138" i="8" s="1"/>
  <c r="C139" i="8" s="1"/>
  <c r="C140" i="8" s="1"/>
  <c r="C141" i="8" s="1"/>
  <c r="C142" i="8" s="1"/>
  <c r="C143" i="8" s="1"/>
  <c r="C144" i="8" s="1"/>
  <c r="C145" i="8" s="1"/>
  <c r="C146" i="8" s="1"/>
  <c r="C147" i="8" s="1"/>
  <c r="C148" i="8" s="1"/>
  <c r="C149" i="8" s="1"/>
  <c r="C150" i="8" s="1"/>
  <c r="C151" i="8" s="1"/>
  <c r="C152" i="8" s="1"/>
  <c r="C153" i="8" s="1"/>
  <c r="C154" i="8" s="1"/>
  <c r="C155" i="8" s="1"/>
  <c r="C156" i="8" s="1"/>
  <c r="C157" i="8" s="1"/>
  <c r="C158" i="8" s="1"/>
  <c r="C159" i="8" s="1"/>
  <c r="C160" i="8" s="1"/>
  <c r="C161" i="8" s="1"/>
  <c r="C162" i="8" s="1"/>
  <c r="C163" i="8" s="1"/>
  <c r="C164" i="8" s="1"/>
  <c r="C165" i="8" s="1"/>
  <c r="C166" i="8" s="1"/>
  <c r="C167" i="8" s="1"/>
  <c r="C168" i="8" s="1"/>
  <c r="C169" i="8" s="1"/>
  <c r="C170" i="8" s="1"/>
  <c r="C171" i="8" s="1"/>
  <c r="C172" i="8" s="1"/>
  <c r="C173" i="8" s="1"/>
  <c r="C174" i="8" s="1"/>
  <c r="C175" i="8" s="1"/>
  <c r="C176" i="8" s="1"/>
  <c r="C177" i="8" s="1"/>
  <c r="C178" i="8" s="1"/>
  <c r="C179" i="8" s="1"/>
  <c r="C180" i="8" s="1"/>
  <c r="C181" i="8" s="1"/>
  <c r="C182" i="8" s="1"/>
  <c r="C183" i="8" s="1"/>
  <c r="C184" i="8" s="1"/>
  <c r="C185" i="8" s="1"/>
  <c r="C186" i="8" s="1"/>
  <c r="C187" i="8" s="1"/>
  <c r="C188" i="8" s="1"/>
  <c r="C189" i="8" s="1"/>
  <c r="C190" i="8" s="1"/>
  <c r="C191" i="8" s="1"/>
  <c r="C192" i="8" s="1"/>
  <c r="C193" i="8" s="1"/>
  <c r="C194" i="8" s="1"/>
  <c r="C195" i="8" s="1"/>
  <c r="C196" i="8" s="1"/>
  <c r="C197" i="8" s="1"/>
  <c r="C198" i="8" s="1"/>
  <c r="C199" i="8" s="1"/>
  <c r="C200" i="8" s="1"/>
  <c r="C201" i="8" s="1"/>
  <c r="C202" i="8" s="1"/>
  <c r="C203" i="8" s="1"/>
  <c r="C204" i="8" s="1"/>
  <c r="C205" i="8" s="1"/>
  <c r="C206" i="8" s="1"/>
  <c r="C207" i="8" s="1"/>
  <c r="C208" i="8" s="1"/>
  <c r="C209" i="8" s="1"/>
  <c r="C210" i="8" s="1"/>
  <c r="C211" i="8" s="1"/>
  <c r="D14" i="8"/>
  <c r="D15" i="8" s="1"/>
  <c r="D16" i="8" s="1"/>
  <c r="D17" i="8" s="1"/>
  <c r="D18" i="8" s="1"/>
  <c r="D19" i="8" s="1"/>
  <c r="D20" i="8" s="1"/>
  <c r="D21" i="8" s="1"/>
  <c r="A15" i="8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B15" i="8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D12" i="8"/>
  <c r="C12" i="8"/>
  <c r="B12" i="8"/>
  <c r="A12" i="8"/>
  <c r="D11" i="8"/>
  <c r="C11" i="8"/>
  <c r="B8" i="8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9" i="2"/>
  <c r="A11" i="2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10" i="2"/>
  <c r="B5" i="2"/>
  <c r="B4" i="2"/>
  <c r="G8" i="5" l="1"/>
  <c r="C6" i="4"/>
  <c r="D6" i="4"/>
  <c r="A6" i="4"/>
  <c r="D22" i="8"/>
  <c r="D23" i="8" s="1"/>
  <c r="D24" i="8" s="1"/>
  <c r="D25" i="8" s="1"/>
  <c r="D26" i="8" s="1"/>
  <c r="D27" i="8" s="1"/>
  <c r="D28" i="8" s="1"/>
  <c r="D29" i="8" s="1"/>
  <c r="D30" i="8" s="1"/>
  <c r="D31" i="8" s="1"/>
  <c r="D32" i="8" s="1"/>
  <c r="D33" i="8" s="1"/>
  <c r="D34" i="8" s="1"/>
  <c r="D35" i="8" s="1"/>
  <c r="D36" i="8" s="1"/>
  <c r="D37" i="8" s="1"/>
  <c r="D38" i="8" s="1"/>
  <c r="D39" i="8" s="1"/>
  <c r="D40" i="8" s="1"/>
  <c r="D41" i="8" s="1"/>
  <c r="D42" i="8" s="1"/>
  <c r="D43" i="8" s="1"/>
  <c r="D44" i="8" s="1"/>
  <c r="D45" i="8" s="1"/>
  <c r="D46" i="8" s="1"/>
  <c r="D47" i="8" s="1"/>
  <c r="D48" i="8" s="1"/>
  <c r="D49" i="8" s="1"/>
  <c r="D50" i="8" s="1"/>
  <c r="D51" i="8" s="1"/>
  <c r="D52" i="8" s="1"/>
  <c r="D53" i="8" s="1"/>
  <c r="D54" i="8" s="1"/>
  <c r="D55" i="8" s="1"/>
  <c r="D56" i="8" s="1"/>
  <c r="D57" i="8" s="1"/>
  <c r="D58" i="8" s="1"/>
  <c r="D59" i="8" s="1"/>
  <c r="D60" i="8" s="1"/>
  <c r="D61" i="8" s="1"/>
  <c r="D62" i="8" s="1"/>
  <c r="D63" i="8" s="1"/>
  <c r="D64" i="8" s="1"/>
  <c r="D65" i="8" s="1"/>
  <c r="D66" i="8" s="1"/>
  <c r="D67" i="8" s="1"/>
  <c r="D68" i="8" s="1"/>
  <c r="D69" i="8" s="1"/>
  <c r="D70" i="8" s="1"/>
  <c r="D71" i="8" s="1"/>
  <c r="D72" i="8" s="1"/>
  <c r="D73" i="8" s="1"/>
  <c r="D74" i="8" s="1"/>
  <c r="D75" i="8" s="1"/>
  <c r="D76" i="8" s="1"/>
  <c r="D77" i="8" s="1"/>
  <c r="D78" i="8" s="1"/>
  <c r="D79" i="8" s="1"/>
  <c r="D80" i="8" s="1"/>
  <c r="D81" i="8" s="1"/>
  <c r="D82" i="8" s="1"/>
  <c r="D83" i="8" s="1"/>
  <c r="D84" i="8" s="1"/>
  <c r="D85" i="8" s="1"/>
  <c r="D86" i="8" s="1"/>
  <c r="D87" i="8" s="1"/>
  <c r="D88" i="8" s="1"/>
  <c r="D89" i="8" s="1"/>
  <c r="D90" i="8" s="1"/>
  <c r="D91" i="8" s="1"/>
  <c r="D92" i="8" s="1"/>
  <c r="D93" i="8" s="1"/>
  <c r="D94" i="8" s="1"/>
  <c r="D95" i="8" s="1"/>
  <c r="D96" i="8" s="1"/>
  <c r="D97" i="8" s="1"/>
  <c r="D98" i="8" s="1"/>
  <c r="D99" i="8" s="1"/>
  <c r="D100" i="8" s="1"/>
  <c r="D101" i="8" s="1"/>
  <c r="D102" i="8" s="1"/>
  <c r="D103" i="8" s="1"/>
  <c r="D104" i="8" s="1"/>
  <c r="D105" i="8" s="1"/>
  <c r="D106" i="8" s="1"/>
  <c r="D107" i="8" s="1"/>
  <c r="D108" i="8" s="1"/>
  <c r="D109" i="8" s="1"/>
  <c r="D110" i="8" s="1"/>
  <c r="D111" i="8" s="1"/>
  <c r="D112" i="8" s="1"/>
  <c r="D113" i="8" s="1"/>
  <c r="D114" i="8" s="1"/>
  <c r="D115" i="8" s="1"/>
  <c r="D116" i="8" s="1"/>
  <c r="D117" i="8" s="1"/>
  <c r="D118" i="8" s="1"/>
  <c r="D119" i="8" s="1"/>
  <c r="D120" i="8" s="1"/>
  <c r="D121" i="8" s="1"/>
  <c r="D122" i="8" s="1"/>
  <c r="D123" i="8" s="1"/>
  <c r="D124" i="8" s="1"/>
  <c r="D125" i="8" s="1"/>
  <c r="D126" i="8" s="1"/>
  <c r="D127" i="8" s="1"/>
  <c r="D128" i="8" s="1"/>
  <c r="D129" i="8" s="1"/>
  <c r="D130" i="8" s="1"/>
  <c r="D131" i="8" s="1"/>
  <c r="D132" i="8" s="1"/>
  <c r="D133" i="8" s="1"/>
  <c r="D134" i="8" s="1"/>
  <c r="D135" i="8" s="1"/>
  <c r="D136" i="8" s="1"/>
  <c r="D137" i="8" s="1"/>
  <c r="D138" i="8" s="1"/>
  <c r="D139" i="8" s="1"/>
  <c r="D140" i="8" s="1"/>
  <c r="D141" i="8" s="1"/>
  <c r="D142" i="8" s="1"/>
  <c r="D143" i="8" s="1"/>
  <c r="D144" i="8" s="1"/>
  <c r="D145" i="8" s="1"/>
  <c r="D146" i="8" s="1"/>
  <c r="D147" i="8" s="1"/>
  <c r="D148" i="8" s="1"/>
  <c r="D149" i="8" s="1"/>
  <c r="D150" i="8" s="1"/>
  <c r="D151" i="8" s="1"/>
  <c r="D152" i="8" s="1"/>
  <c r="D153" i="8" s="1"/>
  <c r="D154" i="8" s="1"/>
  <c r="D155" i="8" s="1"/>
  <c r="D156" i="8" s="1"/>
  <c r="D157" i="8" s="1"/>
  <c r="D158" i="8" s="1"/>
  <c r="D159" i="8" s="1"/>
  <c r="D160" i="8" s="1"/>
  <c r="D161" i="8" s="1"/>
  <c r="D162" i="8" s="1"/>
  <c r="D163" i="8" s="1"/>
  <c r="D164" i="8" s="1"/>
  <c r="D165" i="8" s="1"/>
  <c r="D166" i="8" s="1"/>
  <c r="D167" i="8" s="1"/>
  <c r="D168" i="8" s="1"/>
  <c r="D169" i="8" s="1"/>
  <c r="D170" i="8" s="1"/>
  <c r="D171" i="8" s="1"/>
  <c r="D172" i="8" s="1"/>
  <c r="D173" i="8" s="1"/>
  <c r="D174" i="8" s="1"/>
  <c r="D175" i="8" s="1"/>
  <c r="D176" i="8" s="1"/>
  <c r="D177" i="8" s="1"/>
  <c r="D178" i="8" s="1"/>
  <c r="D179" i="8" s="1"/>
  <c r="D180" i="8" s="1"/>
  <c r="D181" i="8" s="1"/>
  <c r="D182" i="8" s="1"/>
  <c r="D183" i="8" s="1"/>
  <c r="D184" i="8" s="1"/>
  <c r="D185" i="8" s="1"/>
  <c r="D186" i="8" s="1"/>
  <c r="D187" i="8" s="1"/>
  <c r="D188" i="8" s="1"/>
  <c r="D189" i="8" s="1"/>
  <c r="D190" i="8" s="1"/>
  <c r="D191" i="8" s="1"/>
  <c r="D192" i="8" s="1"/>
  <c r="D193" i="8" s="1"/>
  <c r="D194" i="8" s="1"/>
  <c r="D195" i="8" s="1"/>
  <c r="D196" i="8" s="1"/>
  <c r="D197" i="8" s="1"/>
  <c r="D198" i="8" s="1"/>
  <c r="D199" i="8" s="1"/>
  <c r="D200" i="8" s="1"/>
  <c r="D201" i="8" s="1"/>
  <c r="D202" i="8" s="1"/>
  <c r="D203" i="8" s="1"/>
  <c r="D204" i="8" s="1"/>
  <c r="D205" i="8" s="1"/>
  <c r="D206" i="8" s="1"/>
  <c r="D207" i="8" s="1"/>
  <c r="D208" i="8" s="1"/>
  <c r="D209" i="8" s="1"/>
  <c r="D210" i="8" s="1"/>
  <c r="D211" i="8" s="1"/>
  <c r="D7" i="4" l="1"/>
  <c r="C7" i="4"/>
  <c r="A7" i="4"/>
  <c r="C8" i="4" l="1"/>
  <c r="D8" i="4"/>
  <c r="A8" i="4"/>
  <c r="C9" i="4" l="1"/>
  <c r="D9" i="4"/>
  <c r="A9" i="4"/>
  <c r="C10" i="4" l="1"/>
  <c r="D10" i="4"/>
  <c r="A10" i="4"/>
  <c r="C11" i="4" l="1"/>
  <c r="D11" i="4"/>
  <c r="A11" i="4"/>
  <c r="C12" i="4" l="1"/>
  <c r="D12" i="4"/>
  <c r="A12" i="4"/>
  <c r="D13" i="4" l="1"/>
  <c r="C13" i="4"/>
  <c r="A13" i="4"/>
  <c r="C14" i="4" l="1"/>
  <c r="D14" i="4"/>
  <c r="A14" i="4"/>
  <c r="C15" i="4" l="1"/>
  <c r="D15" i="4"/>
  <c r="A15" i="4"/>
  <c r="C16" i="4" l="1"/>
  <c r="D16" i="4"/>
  <c r="A16" i="4"/>
  <c r="C17" i="4" l="1"/>
  <c r="D17" i="4"/>
  <c r="A17" i="4"/>
  <c r="D18" i="4" l="1"/>
  <c r="C18" i="4"/>
  <c r="A18" i="4"/>
  <c r="C19" i="4" l="1"/>
  <c r="D19" i="4"/>
  <c r="A19" i="4"/>
  <c r="C20" i="4" l="1"/>
  <c r="D20" i="4"/>
  <c r="A20" i="4"/>
  <c r="C21" i="4" l="1"/>
  <c r="D21" i="4"/>
  <c r="A21" i="4"/>
  <c r="C22" i="4" l="1"/>
  <c r="D22" i="4"/>
  <c r="A22" i="4"/>
  <c r="C23" i="4" l="1"/>
  <c r="D23" i="4"/>
  <c r="A23" i="4"/>
  <c r="C24" i="4" l="1"/>
  <c r="D24" i="4"/>
  <c r="A24" i="4"/>
  <c r="C25" i="4" l="1"/>
  <c r="D25" i="4"/>
  <c r="A25" i="4"/>
  <c r="C26" i="4" l="1"/>
  <c r="D26" i="4"/>
  <c r="A26" i="4"/>
  <c r="D27" i="4" l="1"/>
  <c r="C27" i="4"/>
  <c r="A27" i="4"/>
  <c r="C28" i="4" l="1"/>
  <c r="D28" i="4"/>
  <c r="A28" i="4"/>
  <c r="C29" i="4" l="1"/>
  <c r="D29" i="4"/>
  <c r="A29" i="4"/>
  <c r="C30" i="4" l="1"/>
  <c r="D30" i="4"/>
  <c r="A30" i="4"/>
  <c r="C31" i="4" l="1"/>
  <c r="D31" i="4"/>
  <c r="A31" i="4"/>
  <c r="C32" i="4" l="1"/>
  <c r="D32" i="4"/>
  <c r="A32" i="4"/>
  <c r="C33" i="4" l="1"/>
  <c r="D33" i="4"/>
  <c r="A33" i="4"/>
  <c r="C34" i="4" l="1"/>
  <c r="D34" i="4"/>
  <c r="A34" i="4"/>
  <c r="C35" i="4" l="1"/>
  <c r="D35" i="4"/>
  <c r="A35" i="4"/>
  <c r="C36" i="4" l="1"/>
  <c r="D36" i="4"/>
  <c r="A36" i="4"/>
  <c r="D37" i="4" l="1"/>
  <c r="C37" i="4"/>
  <c r="A37" i="4"/>
  <c r="D38" i="4" l="1"/>
  <c r="C38" i="4"/>
  <c r="A38" i="4"/>
  <c r="C39" i="4" l="1"/>
  <c r="D39" i="4"/>
  <c r="A39" i="4"/>
  <c r="C40" i="4" l="1"/>
  <c r="D40" i="4"/>
  <c r="A40" i="4"/>
  <c r="C41" i="4" l="1"/>
  <c r="D41" i="4"/>
  <c r="A41" i="4"/>
  <c r="A42" i="4" l="1"/>
  <c r="B7" i="1" l="1"/>
  <c r="B2" i="1"/>
  <c r="B4" i="1"/>
  <c r="B3" i="1"/>
  <c r="B5" i="1"/>
  <c r="B6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A61" i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25" i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<sst xmlns="http://schemas.openxmlformats.org/spreadsheetml/2006/main" count="81" uniqueCount="68">
  <si>
    <t>a</t>
  </si>
  <si>
    <t>b</t>
  </si>
  <si>
    <t>d</t>
  </si>
  <si>
    <t>c</t>
  </si>
  <si>
    <t>x</t>
  </si>
  <si>
    <t>x &gt;=</t>
  </si>
  <si>
    <t>f(x)</t>
  </si>
  <si>
    <t>x_0 (initial guess)</t>
  </si>
  <si>
    <t>tolerance</t>
  </si>
  <si>
    <t>x_0</t>
  </si>
  <si>
    <t>root</t>
  </si>
  <si>
    <t>iterations</t>
  </si>
  <si>
    <t>error</t>
  </si>
  <si>
    <t>iter</t>
  </si>
  <si>
    <t>x_n</t>
  </si>
  <si>
    <t>f(x_n)</t>
  </si>
  <si>
    <t>f'(x_n)</t>
  </si>
  <si>
    <t>x_{n+1}</t>
  </si>
  <si>
    <t>This is for Problem 1 (Part C) VBA</t>
  </si>
  <si>
    <t>tmax</t>
  </si>
  <si>
    <t>t</t>
  </si>
  <si>
    <t>B</t>
  </si>
  <si>
    <t>dx</t>
  </si>
  <si>
    <t>dt</t>
  </si>
  <si>
    <t>Nx</t>
  </si>
  <si>
    <t>Nt</t>
  </si>
  <si>
    <t>u(x,0)</t>
  </si>
  <si>
    <t>t=0</t>
  </si>
  <si>
    <t>t=0.01</t>
  </si>
  <si>
    <t>t=0.1</t>
  </si>
  <si>
    <t>t=1.0</t>
  </si>
  <si>
    <t>n</t>
  </si>
  <si>
    <t>b1</t>
  </si>
  <si>
    <t>b2</t>
  </si>
  <si>
    <t>b3</t>
  </si>
  <si>
    <t>y0</t>
  </si>
  <si>
    <t>z0</t>
  </si>
  <si>
    <t>step</t>
  </si>
  <si>
    <t>y_Euler</t>
  </si>
  <si>
    <t>z_Euler</t>
  </si>
  <si>
    <t>y_RK2</t>
  </si>
  <si>
    <t>z_RK2</t>
  </si>
  <si>
    <t>Part a</t>
  </si>
  <si>
    <t>Part b</t>
  </si>
  <si>
    <t>T=y1</t>
  </si>
  <si>
    <t>dT/dx=y2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</si>
  <si>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</si>
  <si>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</si>
  <si>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</si>
  <si>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</si>
  <si>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</si>
  <si>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</si>
  <si>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</si>
  <si>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</si>
  <si>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</si>
  <si>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</si>
  <si>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</t>
  </si>
  <si>
    <t>∆x</t>
  </si>
  <si>
    <t>PA</t>
  </si>
  <si>
    <t>PB</t>
  </si>
  <si>
    <t>r</t>
  </si>
  <si>
    <t>r_pred (formula)</t>
  </si>
  <si>
    <t>log10(r_pred)</t>
  </si>
  <si>
    <t>error^2</t>
  </si>
  <si>
    <t>kA</t>
  </si>
  <si>
    <t>kB</t>
  </si>
  <si>
    <t>k1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</si>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</sst>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sz val="12"/>
      <color rgb="FFFF0000"/>
      <name val="Aptos Narrow (Body)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1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'Problem 1a and 1b'!$B$1</c:f>
              <c:strCache>
                <c:ptCount val="1"/>
                <c:pt idx="0">
                  <c:v>f(x)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'Problem 1a and 1b'!$A$2:$A$192</c:f>
              <c:numCache>
                <c:formatCode>General</c:formatCode>
                <c:ptCount val="191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  <c:pt idx="30">
                  <c:v>4.0000000000000027</c:v>
                </c:pt>
                <c:pt idx="31">
                  <c:v>4.1000000000000023</c:v>
                </c:pt>
                <c:pt idx="32">
                  <c:v>4.200000000000002</c:v>
                </c:pt>
                <c:pt idx="33">
                  <c:v>4.3000000000000016</c:v>
                </c:pt>
                <c:pt idx="34">
                  <c:v>4.4000000000000012</c:v>
                </c:pt>
                <c:pt idx="35">
                  <c:v>4.5000000000000009</c:v>
                </c:pt>
                <c:pt idx="36">
                  <c:v>4.6000000000000005</c:v>
                </c:pt>
                <c:pt idx="37">
                  <c:v>4.7</c:v>
                </c:pt>
                <c:pt idx="38">
                  <c:v>4.8</c:v>
                </c:pt>
                <c:pt idx="39">
                  <c:v>4.8999999999999995</c:v>
                </c:pt>
                <c:pt idx="40">
                  <c:v>4.9999999999999991</c:v>
                </c:pt>
                <c:pt idx="41">
                  <c:v>5.0999999999999988</c:v>
                </c:pt>
                <c:pt idx="42">
                  <c:v>5.1999999999999984</c:v>
                </c:pt>
                <c:pt idx="43">
                  <c:v>5.299999999999998</c:v>
                </c:pt>
                <c:pt idx="44">
                  <c:v>5.3999999999999977</c:v>
                </c:pt>
                <c:pt idx="45">
                  <c:v>5.4999999999999973</c:v>
                </c:pt>
                <c:pt idx="46">
                  <c:v>5.599999999999997</c:v>
                </c:pt>
                <c:pt idx="47">
                  <c:v>5.6999999999999966</c:v>
                </c:pt>
                <c:pt idx="48">
                  <c:v>5.7999999999999963</c:v>
                </c:pt>
                <c:pt idx="49">
                  <c:v>5.8999999999999959</c:v>
                </c:pt>
                <c:pt idx="50">
                  <c:v>5.9999999999999956</c:v>
                </c:pt>
                <c:pt idx="51">
                  <c:v>6.0999999999999952</c:v>
                </c:pt>
                <c:pt idx="52">
                  <c:v>6.1999999999999948</c:v>
                </c:pt>
                <c:pt idx="53">
                  <c:v>6.2999999999999945</c:v>
                </c:pt>
                <c:pt idx="54">
                  <c:v>6.3999999999999941</c:v>
                </c:pt>
                <c:pt idx="55">
                  <c:v>6.4999999999999938</c:v>
                </c:pt>
                <c:pt idx="56">
                  <c:v>6.5999999999999934</c:v>
                </c:pt>
                <c:pt idx="57">
                  <c:v>6.6999999999999931</c:v>
                </c:pt>
                <c:pt idx="58">
                  <c:v>6.7999999999999927</c:v>
                </c:pt>
                <c:pt idx="59">
                  <c:v>6.8999999999999924</c:v>
                </c:pt>
                <c:pt idx="60">
                  <c:v>6.999999999999992</c:v>
                </c:pt>
                <c:pt idx="61">
                  <c:v>7.0999999999999917</c:v>
                </c:pt>
                <c:pt idx="62">
                  <c:v>7.1999999999999913</c:v>
                </c:pt>
                <c:pt idx="63">
                  <c:v>7.2999999999999909</c:v>
                </c:pt>
                <c:pt idx="64">
                  <c:v>7.3999999999999906</c:v>
                </c:pt>
                <c:pt idx="65">
                  <c:v>7.4999999999999902</c:v>
                </c:pt>
                <c:pt idx="66">
                  <c:v>7.5999999999999899</c:v>
                </c:pt>
                <c:pt idx="67">
                  <c:v>7.6999999999999895</c:v>
                </c:pt>
                <c:pt idx="68">
                  <c:v>7.7999999999999892</c:v>
                </c:pt>
                <c:pt idx="69">
                  <c:v>7.8999999999999888</c:v>
                </c:pt>
                <c:pt idx="70">
                  <c:v>7.9999999999999885</c:v>
                </c:pt>
                <c:pt idx="71">
                  <c:v>8.099999999999989</c:v>
                </c:pt>
                <c:pt idx="72">
                  <c:v>8.1999999999999886</c:v>
                </c:pt>
                <c:pt idx="73">
                  <c:v>8.2999999999999883</c:v>
                </c:pt>
                <c:pt idx="74">
                  <c:v>8.3999999999999879</c:v>
                </c:pt>
                <c:pt idx="75">
                  <c:v>8.4999999999999876</c:v>
                </c:pt>
                <c:pt idx="76">
                  <c:v>8.5999999999999872</c:v>
                </c:pt>
                <c:pt idx="77">
                  <c:v>8.6999999999999869</c:v>
                </c:pt>
                <c:pt idx="78">
                  <c:v>8.7999999999999865</c:v>
                </c:pt>
                <c:pt idx="79">
                  <c:v>8.8999999999999861</c:v>
                </c:pt>
                <c:pt idx="80">
                  <c:v>8.9999999999999858</c:v>
                </c:pt>
                <c:pt idx="81">
                  <c:v>9.0999999999999854</c:v>
                </c:pt>
                <c:pt idx="82">
                  <c:v>9.1999999999999851</c:v>
                </c:pt>
                <c:pt idx="83">
                  <c:v>9.2999999999999847</c:v>
                </c:pt>
                <c:pt idx="84">
                  <c:v>9.3999999999999844</c:v>
                </c:pt>
                <c:pt idx="85">
                  <c:v>9.499999999999984</c:v>
                </c:pt>
                <c:pt idx="86">
                  <c:v>9.5999999999999837</c:v>
                </c:pt>
                <c:pt idx="87">
                  <c:v>9.6999999999999833</c:v>
                </c:pt>
                <c:pt idx="88">
                  <c:v>9.7999999999999829</c:v>
                </c:pt>
                <c:pt idx="89">
                  <c:v>9.8999999999999826</c:v>
                </c:pt>
                <c:pt idx="90">
                  <c:v>9.9999999999999822</c:v>
                </c:pt>
                <c:pt idx="91">
                  <c:v>10.099999999999982</c:v>
                </c:pt>
                <c:pt idx="92">
                  <c:v>10.199999999999982</c:v>
                </c:pt>
                <c:pt idx="93">
                  <c:v>10.299999999999981</c:v>
                </c:pt>
                <c:pt idx="94">
                  <c:v>10.399999999999981</c:v>
                </c:pt>
                <c:pt idx="95">
                  <c:v>10.49999999999998</c:v>
                </c:pt>
                <c:pt idx="96">
                  <c:v>10.59999999999998</c:v>
                </c:pt>
                <c:pt idx="97">
                  <c:v>10.69999999999998</c:v>
                </c:pt>
                <c:pt idx="98">
                  <c:v>10.799999999999979</c:v>
                </c:pt>
                <c:pt idx="99">
                  <c:v>10.899999999999979</c:v>
                </c:pt>
                <c:pt idx="100">
                  <c:v>10.999999999999979</c:v>
                </c:pt>
                <c:pt idx="101">
                  <c:v>11.099999999999978</c:v>
                </c:pt>
                <c:pt idx="102">
                  <c:v>11.199999999999978</c:v>
                </c:pt>
                <c:pt idx="103">
                  <c:v>11.299999999999978</c:v>
                </c:pt>
                <c:pt idx="104">
                  <c:v>11.399999999999977</c:v>
                </c:pt>
                <c:pt idx="105">
                  <c:v>11.499999999999977</c:v>
                </c:pt>
                <c:pt idx="106">
                  <c:v>11.599999999999977</c:v>
                </c:pt>
                <c:pt idx="107">
                  <c:v>11.699999999999976</c:v>
                </c:pt>
                <c:pt idx="108">
                  <c:v>11.799999999999976</c:v>
                </c:pt>
                <c:pt idx="109">
                  <c:v>11.899999999999975</c:v>
                </c:pt>
                <c:pt idx="110">
                  <c:v>11.999999999999975</c:v>
                </c:pt>
                <c:pt idx="111">
                  <c:v>12.099999999999975</c:v>
                </c:pt>
                <c:pt idx="112">
                  <c:v>12.199999999999974</c:v>
                </c:pt>
                <c:pt idx="113">
                  <c:v>12.299999999999974</c:v>
                </c:pt>
                <c:pt idx="114">
                  <c:v>12.399999999999974</c:v>
                </c:pt>
                <c:pt idx="115">
                  <c:v>12.499999999999973</c:v>
                </c:pt>
                <c:pt idx="116">
                  <c:v>12.599999999999973</c:v>
                </c:pt>
                <c:pt idx="117">
                  <c:v>12.699999999999973</c:v>
                </c:pt>
                <c:pt idx="118">
                  <c:v>12.799999999999972</c:v>
                </c:pt>
                <c:pt idx="119">
                  <c:v>12.899999999999972</c:v>
                </c:pt>
                <c:pt idx="120">
                  <c:v>12.999999999999972</c:v>
                </c:pt>
                <c:pt idx="121">
                  <c:v>13.099999999999971</c:v>
                </c:pt>
                <c:pt idx="122">
                  <c:v>13.199999999999971</c:v>
                </c:pt>
                <c:pt idx="123">
                  <c:v>13.299999999999971</c:v>
                </c:pt>
                <c:pt idx="124">
                  <c:v>13.39999999999997</c:v>
                </c:pt>
                <c:pt idx="125">
                  <c:v>13.49999999999997</c:v>
                </c:pt>
                <c:pt idx="126">
                  <c:v>13.599999999999969</c:v>
                </c:pt>
                <c:pt idx="127">
                  <c:v>13.699999999999969</c:v>
                </c:pt>
                <c:pt idx="128">
                  <c:v>13.799999999999969</c:v>
                </c:pt>
                <c:pt idx="129">
                  <c:v>13.899999999999968</c:v>
                </c:pt>
                <c:pt idx="130">
                  <c:v>13.999999999999968</c:v>
                </c:pt>
                <c:pt idx="131">
                  <c:v>14.099999999999968</c:v>
                </c:pt>
                <c:pt idx="132">
                  <c:v>14.199999999999967</c:v>
                </c:pt>
                <c:pt idx="133">
                  <c:v>14.299999999999967</c:v>
                </c:pt>
                <c:pt idx="134">
                  <c:v>14.399999999999967</c:v>
                </c:pt>
                <c:pt idx="135">
                  <c:v>14.499999999999966</c:v>
                </c:pt>
                <c:pt idx="136">
                  <c:v>14.599999999999966</c:v>
                </c:pt>
                <c:pt idx="137">
                  <c:v>14.699999999999966</c:v>
                </c:pt>
                <c:pt idx="138">
                  <c:v>14.799999999999965</c:v>
                </c:pt>
                <c:pt idx="139">
                  <c:v>14.899999999999965</c:v>
                </c:pt>
                <c:pt idx="140">
                  <c:v>14.999999999999964</c:v>
                </c:pt>
                <c:pt idx="141">
                  <c:v>15.099999999999964</c:v>
                </c:pt>
                <c:pt idx="142">
                  <c:v>15.199999999999964</c:v>
                </c:pt>
                <c:pt idx="143">
                  <c:v>15.299999999999963</c:v>
                </c:pt>
                <c:pt idx="144">
                  <c:v>15.399999999999963</c:v>
                </c:pt>
                <c:pt idx="145">
                  <c:v>15.499999999999963</c:v>
                </c:pt>
                <c:pt idx="146">
                  <c:v>15.599999999999962</c:v>
                </c:pt>
                <c:pt idx="147">
                  <c:v>15.699999999999962</c:v>
                </c:pt>
                <c:pt idx="148">
                  <c:v>15.799999999999962</c:v>
                </c:pt>
                <c:pt idx="149">
                  <c:v>15.899999999999961</c:v>
                </c:pt>
                <c:pt idx="150">
                  <c:v>15.999999999999961</c:v>
                </c:pt>
                <c:pt idx="151">
                  <c:v>16.099999999999962</c:v>
                </c:pt>
                <c:pt idx="152">
                  <c:v>16.199999999999964</c:v>
                </c:pt>
                <c:pt idx="153">
                  <c:v>16.299999999999965</c:v>
                </c:pt>
                <c:pt idx="154">
                  <c:v>16.399999999999967</c:v>
                </c:pt>
                <c:pt idx="155">
                  <c:v>16.499999999999968</c:v>
                </c:pt>
                <c:pt idx="156">
                  <c:v>16.599999999999969</c:v>
                </c:pt>
                <c:pt idx="157">
                  <c:v>16.699999999999971</c:v>
                </c:pt>
                <c:pt idx="158">
                  <c:v>16.799999999999972</c:v>
                </c:pt>
                <c:pt idx="159">
                  <c:v>16.899999999999974</c:v>
                </c:pt>
                <c:pt idx="160">
                  <c:v>16.999999999999975</c:v>
                </c:pt>
                <c:pt idx="161">
                  <c:v>17.099999999999977</c:v>
                </c:pt>
                <c:pt idx="162">
                  <c:v>17.199999999999978</c:v>
                </c:pt>
                <c:pt idx="163">
                  <c:v>17.299999999999979</c:v>
                </c:pt>
                <c:pt idx="164">
                  <c:v>17.399999999999981</c:v>
                </c:pt>
                <c:pt idx="165">
                  <c:v>17.499999999999982</c:v>
                </c:pt>
                <c:pt idx="166">
                  <c:v>17.599999999999984</c:v>
                </c:pt>
                <c:pt idx="167">
                  <c:v>17.699999999999985</c:v>
                </c:pt>
                <c:pt idx="168">
                  <c:v>17.799999999999986</c:v>
                </c:pt>
                <c:pt idx="169">
                  <c:v>17.899999999999988</c:v>
                </c:pt>
                <c:pt idx="170">
                  <c:v>17.999999999999989</c:v>
                </c:pt>
                <c:pt idx="171">
                  <c:v>18.099999999999991</c:v>
                </c:pt>
                <c:pt idx="172">
                  <c:v>18.199999999999992</c:v>
                </c:pt>
                <c:pt idx="173">
                  <c:v>18.299999999999994</c:v>
                </c:pt>
                <c:pt idx="174">
                  <c:v>18.399999999999995</c:v>
                </c:pt>
                <c:pt idx="175">
                  <c:v>18.499999999999996</c:v>
                </c:pt>
                <c:pt idx="176">
                  <c:v>18.599999999999998</c:v>
                </c:pt>
                <c:pt idx="177">
                  <c:v>18.7</c:v>
                </c:pt>
                <c:pt idx="178">
                  <c:v>18.8</c:v>
                </c:pt>
                <c:pt idx="179">
                  <c:v>18.900000000000002</c:v>
                </c:pt>
                <c:pt idx="180">
                  <c:v>19.000000000000004</c:v>
                </c:pt>
                <c:pt idx="181">
                  <c:v>19.100000000000005</c:v>
                </c:pt>
                <c:pt idx="182">
                  <c:v>19.200000000000006</c:v>
                </c:pt>
                <c:pt idx="183">
                  <c:v>19.300000000000008</c:v>
                </c:pt>
                <c:pt idx="184">
                  <c:v>19.400000000000009</c:v>
                </c:pt>
                <c:pt idx="185">
                  <c:v>19.500000000000011</c:v>
                </c:pt>
                <c:pt idx="186">
                  <c:v>19.600000000000012</c:v>
                </c:pt>
                <c:pt idx="187">
                  <c:v>19.700000000000014</c:v>
                </c:pt>
                <c:pt idx="188">
                  <c:v>19.800000000000015</c:v>
                </c:pt>
                <c:pt idx="189">
                  <c:v>19.900000000000016</c:v>
                </c:pt>
                <c:pt idx="190">
                  <c:v>20.000000000000018</c:v>
                </c:pt>
              </c:numCache>
            </c:numRef>
          </c:xVal>
          <c:yVal>
            <c:numRef>
              <c:f>'Problem 1a and 1b'!$B$2:$B$192</c:f>
              <c:numCache>
                <c:formatCode>General</c:formatCode>
                <c:ptCount val="191"/>
                <c:pt idx="0">
                  <c:v>-30.374266112266113</c:v>
                </c:pt>
                <c:pt idx="1">
                  <c:v>-26.558760486218112</c:v>
                </c:pt>
                <c:pt idx="2">
                  <c:v>-23.402068273092368</c:v>
                </c:pt>
                <c:pt idx="3">
                  <c:v>-20.747131537242467</c:v>
                </c:pt>
                <c:pt idx="4">
                  <c:v>-18.483136144325567</c:v>
                </c:pt>
                <c:pt idx="5">
                  <c:v>-16.529659826721378</c:v>
                </c:pt>
                <c:pt idx="6">
                  <c:v>-14.826922215108826</c:v>
                </c:pt>
                <c:pt idx="7">
                  <c:v>-13.32956183195299</c:v>
                </c:pt>
                <c:pt idx="8">
                  <c:v>-12.002536259301291</c:v>
                </c:pt>
                <c:pt idx="9">
                  <c:v>-10.818345864661648</c:v>
                </c:pt>
                <c:pt idx="10">
                  <c:v>-9.7551080530071275</c:v>
                </c:pt>
                <c:pt idx="11">
                  <c:v>-8.7951928317398611</c:v>
                </c:pt>
                <c:pt idx="12">
                  <c:v>-7.9242376587334853</c:v>
                </c:pt>
                <c:pt idx="13">
                  <c:v>-7.1304240187598413</c:v>
                </c:pt>
                <c:pt idx="14">
                  <c:v>-6.4039380468529394</c:v>
                </c:pt>
                <c:pt idx="15">
                  <c:v>-5.7365627944760256</c:v>
                </c:pt>
                <c:pt idx="16">
                  <c:v>-5.1213661202185712</c:v>
                </c:pt>
                <c:pt idx="17">
                  <c:v>-4.5524590255168658</c:v>
                </c:pt>
                <c:pt idx="18">
                  <c:v>-4.0248065583945287</c:v>
                </c:pt>
                <c:pt idx="19">
                  <c:v>-3.5340784115279806</c:v>
                </c:pt>
                <c:pt idx="20">
                  <c:v>-3.0765298221922031</c:v>
                </c:pt>
                <c:pt idx="21">
                  <c:v>-2.6489058384778996</c:v>
                </c:pt>
                <c:pt idx="22">
                  <c:v>-2.2483637729285171</c:v>
                </c:pt>
                <c:pt idx="23">
                  <c:v>-1.8724099362725894</c:v>
                </c:pt>
                <c:pt idx="24">
                  <c:v>-1.5188476747034247</c:v>
                </c:pt>
                <c:pt idx="25">
                  <c:v>-1.1857344227118851</c:v>
                </c:pt>
                <c:pt idx="26">
                  <c:v>-0.87134599787883715</c:v>
                </c:pt>
                <c:pt idx="27">
                  <c:v>-0.57414675188568509</c:v>
                </c:pt>
                <c:pt idx="28">
                  <c:v>-0.29276448697500612</c:v>
                </c:pt>
                <c:pt idx="29">
                  <c:v>-2.5969273260825432E-2</c:v>
                </c:pt>
                <c:pt idx="30">
                  <c:v>0.22734452296820429</c:v>
                </c:pt>
                <c:pt idx="31">
                  <c:v>0.46817355381826076</c:v>
                </c:pt>
                <c:pt idx="32">
                  <c:v>0.6974185945401743</c:v>
                </c:pt>
                <c:pt idx="33">
                  <c:v>0.91589580173081941</c:v>
                </c:pt>
                <c:pt idx="34">
                  <c:v>1.1243464215747583</c:v>
                </c:pt>
                <c:pt idx="35">
                  <c:v>1.323445191493601</c:v>
                </c:pt>
                <c:pt idx="36">
                  <c:v>1.5138076358576527</c:v>
                </c:pt>
                <c:pt idx="37">
                  <c:v>1.6959964219538683</c:v>
                </c:pt>
                <c:pt idx="38">
                  <c:v>1.8705269144617098</c:v>
                </c:pt>
                <c:pt idx="39">
                  <c:v>2.0378720439224622</c:v>
                </c:pt>
                <c:pt idx="40">
                  <c:v>2.1984665860540087</c:v>
                </c:pt>
                <c:pt idx="41">
                  <c:v>2.3527109334448895</c:v>
                </c:pt>
                <c:pt idx="42">
                  <c:v>2.5009744285160753</c:v>
                </c:pt>
                <c:pt idx="43">
                  <c:v>2.6435983161578527</c:v>
                </c:pt>
                <c:pt idx="44">
                  <c:v>2.7808983657286497</c:v>
                </c:pt>
                <c:pt idx="45">
                  <c:v>2.9131672048200761</c:v>
                </c:pt>
                <c:pt idx="46">
                  <c:v>3.0406764010890175</c:v>
                </c:pt>
                <c:pt idx="47">
                  <c:v>3.1636783233250867</c:v>
                </c:pt>
                <c:pt idx="48">
                  <c:v>3.2824078085913602</c:v>
                </c:pt>
                <c:pt idx="49">
                  <c:v>3.3970836586113329</c:v>
                </c:pt>
                <c:pt idx="50">
                  <c:v>3.5079099854634848</c:v>
                </c:pt>
                <c:pt idx="51">
                  <c:v>3.6150774239957535</c:v>
                </c:pt>
                <c:pt idx="52">
                  <c:v>3.7187642261100748</c:v>
                </c:pt>
                <c:pt idx="53">
                  <c:v>3.8191372501305363</c:v>
                </c:pt>
                <c:pt idx="54">
                  <c:v>3.9163528568060286</c:v>
                </c:pt>
                <c:pt idx="55">
                  <c:v>4.0105577220674657</c:v>
                </c:pt>
                <c:pt idx="56">
                  <c:v>4.1018895754250764</c:v>
                </c:pt>
                <c:pt idx="57">
                  <c:v>4.1904778718237026</c:v>
                </c:pt>
                <c:pt idx="58">
                  <c:v>4.2764444038484903</c:v>
                </c:pt>
                <c:pt idx="59">
                  <c:v>4.35990386036943</c:v>
                </c:pt>
                <c:pt idx="60">
                  <c:v>4.4409643370131668</c:v>
                </c:pt>
                <c:pt idx="61">
                  <c:v>4.519727803239709</c:v>
                </c:pt>
                <c:pt idx="62">
                  <c:v>4.5962905302677637</c:v>
                </c:pt>
                <c:pt idx="63">
                  <c:v>4.6707434836246415</c:v>
                </c:pt>
                <c:pt idx="64">
                  <c:v>4.7431726836861232</c:v>
                </c:pt>
                <c:pt idx="65">
                  <c:v>4.8136595372107491</c:v>
                </c:pt>
                <c:pt idx="66">
                  <c:v>4.8822811425548718</c:v>
                </c:pt>
                <c:pt idx="67">
                  <c:v>4.9491105709743071</c:v>
                </c:pt>
                <c:pt idx="68">
                  <c:v>5.014217126170224</c:v>
                </c:pt>
                <c:pt idx="69">
                  <c:v>5.0776665840173294</c:v>
                </c:pt>
                <c:pt idx="70">
                  <c:v>5.1395214142175254</c:v>
                </c:pt>
                <c:pt idx="71">
                  <c:v>5.1998409854491818</c:v>
                </c:pt>
                <c:pt idx="72">
                  <c:v>5.2586817554281815</c:v>
                </c:pt>
                <c:pt idx="73">
                  <c:v>5.316097447159728</c:v>
                </c:pt>
                <c:pt idx="74">
                  <c:v>5.3721392125374354</c:v>
                </c:pt>
                <c:pt idx="75">
                  <c:v>5.4268557843368903</c:v>
                </c:pt>
                <c:pt idx="76">
                  <c:v>5.4802936175529444</c:v>
                </c:pt>
                <c:pt idx="77">
                  <c:v>5.5324970209423041</c:v>
                </c:pt>
                <c:pt idx="78">
                  <c:v>5.5835082795542661</c:v>
                </c:pt>
                <c:pt idx="79">
                  <c:v>5.6333677689617758</c:v>
                </c:pt>
                <c:pt idx="80">
                  <c:v>5.6821140618413484</c:v>
                </c:pt>
                <c:pt idx="81">
                  <c:v>5.7297840274931353</c:v>
                </c:pt>
                <c:pt idx="82">
                  <c:v>5.7764129248407805</c:v>
                </c:pt>
                <c:pt idx="83">
                  <c:v>5.8220344894040332</c:v>
                </c:pt>
                <c:pt idx="84">
                  <c:v>5.8666810146949793</c:v>
                </c:pt>
                <c:pt idx="85">
                  <c:v>5.9103834284506371</c:v>
                </c:pt>
                <c:pt idx="86">
                  <c:v>5.9531713640800312</c:v>
                </c:pt>
                <c:pt idx="87">
                  <c:v>5.9950732276726484</c:v>
                </c:pt>
                <c:pt idx="88">
                  <c:v>6.0361162608866463</c:v>
                </c:pt>
                <c:pt idx="89">
                  <c:v>6.0763266000094163</c:v>
                </c:pt>
                <c:pt idx="90">
                  <c:v>6.115729331459538</c:v>
                </c:pt>
                <c:pt idx="91">
                  <c:v>6.1543485439778252</c:v>
                </c:pt>
                <c:pt idx="92">
                  <c:v>6.1922073777355777</c:v>
                </c:pt>
                <c:pt idx="93">
                  <c:v>6.2293280705704648</c:v>
                </c:pt>
                <c:pt idx="94">
                  <c:v>6.2657320015440963</c:v>
                </c:pt>
                <c:pt idx="95">
                  <c:v>6.3014397320006124</c:v>
                </c:pt>
                <c:pt idx="96">
                  <c:v>6.3364710442919199</c:v>
                </c:pt>
                <c:pt idx="97">
                  <c:v>6.3708449783228698</c:v>
                </c:pt>
                <c:pt idx="98">
                  <c:v>6.4045798660582083</c:v>
                </c:pt>
                <c:pt idx="99">
                  <c:v>6.4376933641227065</c:v>
                </c:pt>
                <c:pt idx="100">
                  <c:v>6.4702024846162711</c:v>
                </c:pt>
                <c:pt idx="101">
                  <c:v>6.502123624257047</c:v>
                </c:pt>
                <c:pt idx="102">
                  <c:v>6.5334725919573993</c:v>
                </c:pt>
                <c:pt idx="103">
                  <c:v>6.5642646349302076</c:v>
                </c:pt>
                <c:pt idx="104">
                  <c:v>6.5945144634160577</c:v>
                </c:pt>
                <c:pt idx="105">
                  <c:v>6.6242362741155976</c:v>
                </c:pt>
                <c:pt idx="106">
                  <c:v>6.6534437724054349</c:v>
                </c:pt>
                <c:pt idx="107">
                  <c:v>6.6821501934106919</c:v>
                </c:pt>
                <c:pt idx="108">
                  <c:v>6.7103683220021892</c:v>
                </c:pt>
                <c:pt idx="109">
                  <c:v>6.7381105117818425</c:v>
                </c:pt>
                <c:pt idx="110">
                  <c:v>6.7653887031154127</c:v>
                </c:pt>
                <c:pt idx="111">
                  <c:v>6.7922144402679745</c:v>
                </c:pt>
                <c:pt idx="112">
                  <c:v>6.8185988876937236</c:v>
                </c:pt>
                <c:pt idx="113">
                  <c:v>6.8445528455284492</c:v>
                </c:pt>
                <c:pt idx="114">
                  <c:v>6.8700867643298071</c:v>
                </c:pt>
                <c:pt idx="115">
                  <c:v>6.8952107591076803</c:v>
                </c:pt>
                <c:pt idx="116">
                  <c:v>6.9199346226841776</c:v>
                </c:pt>
                <c:pt idx="117">
                  <c:v>6.9442678384203642</c:v>
                </c:pt>
                <c:pt idx="118">
                  <c:v>6.9682195923444539</c:v>
                </c:pt>
                <c:pt idx="119">
                  <c:v>6.9917987847140539</c:v>
                </c:pt>
                <c:pt idx="120">
                  <c:v>7.0150140410430417</c:v>
                </c:pt>
                <c:pt idx="121">
                  <c:v>7.0378737226217591</c:v>
                </c:pt>
                <c:pt idx="122">
                  <c:v>7.0603859365574841</c:v>
                </c:pt>
                <c:pt idx="123">
                  <c:v>7.0825585453605289</c:v>
                </c:pt>
                <c:pt idx="124">
                  <c:v>7.1043991760997374</c:v>
                </c:pt>
                <c:pt idx="125">
                  <c:v>7.1259152291498093</c:v>
                </c:pt>
                <c:pt idx="126">
                  <c:v>7.1471138865515176</c:v>
                </c:pt>
                <c:pt idx="127">
                  <c:v>7.1680021200046529</c:v>
                </c:pt>
                <c:pt idx="128">
                  <c:v>7.1885866985123847</c:v>
                </c:pt>
                <c:pt idx="129">
                  <c:v>7.2088741956946567</c:v>
                </c:pt>
                <c:pt idx="130">
                  <c:v>7.2288709967871903</c:v>
                </c:pt>
                <c:pt idx="131">
                  <c:v>7.2485833053417892</c:v>
                </c:pt>
                <c:pt idx="132">
                  <c:v>7.2680171496426595</c:v>
                </c:pt>
                <c:pt idx="133">
                  <c:v>7.2871783888527615</c:v>
                </c:pt>
                <c:pt idx="134">
                  <c:v>7.3060727189032733</c:v>
                </c:pt>
                <c:pt idx="135">
                  <c:v>7.3247056781386579</c:v>
                </c:pt>
                <c:pt idx="136">
                  <c:v>7.3430826527290893</c:v>
                </c:pt>
                <c:pt idx="137">
                  <c:v>7.3612088818612911</c:v>
                </c:pt>
                <c:pt idx="138">
                  <c:v>7.3790894627183672</c:v>
                </c:pt>
                <c:pt idx="139">
                  <c:v>7.3967293552585289</c:v>
                </c:pt>
                <c:pt idx="140">
                  <c:v>7.4141333868021135</c:v>
                </c:pt>
                <c:pt idx="141">
                  <c:v>7.4313062564358638</c:v>
                </c:pt>
                <c:pt idx="142">
                  <c:v>7.4482525392428371</c:v>
                </c:pt>
                <c:pt idx="143">
                  <c:v>7.4649766903660026</c:v>
                </c:pt>
                <c:pt idx="144">
                  <c:v>7.4814830489130646</c:v>
                </c:pt>
                <c:pt idx="145">
                  <c:v>7.4977758417097418</c:v>
                </c:pt>
                <c:pt idx="146">
                  <c:v>7.5138591869082738</c:v>
                </c:pt>
                <c:pt idx="147">
                  <c:v>7.5297370974576721</c:v>
                </c:pt>
                <c:pt idx="148">
                  <c:v>7.5454134844418261</c:v>
                </c:pt>
                <c:pt idx="149">
                  <c:v>7.5608921602913117</c:v>
                </c:pt>
                <c:pt idx="150">
                  <c:v>7.5761768418744451</c:v>
                </c:pt>
                <c:pt idx="151">
                  <c:v>7.5912711534728325</c:v>
                </c:pt>
                <c:pt idx="152">
                  <c:v>7.60617862964643</c:v>
                </c:pt>
                <c:pt idx="153">
                  <c:v>7.6209027179928608</c:v>
                </c:pt>
                <c:pt idx="154">
                  <c:v>7.6354467818055474</c:v>
                </c:pt>
                <c:pt idx="155">
                  <c:v>7.6498141026348971</c:v>
                </c:pt>
                <c:pt idx="156">
                  <c:v>7.6640078827567191</c:v>
                </c:pt>
                <c:pt idx="157">
                  <c:v>7.6780312475517061</c:v>
                </c:pt>
                <c:pt idx="158">
                  <c:v>7.6918872477997251</c:v>
                </c:pt>
                <c:pt idx="159">
                  <c:v>7.7055788618924623</c:v>
                </c:pt>
                <c:pt idx="160">
                  <c:v>7.7191089979677727</c:v>
                </c:pt>
                <c:pt idx="161">
                  <c:v>7.7324804959689466</c:v>
                </c:pt>
                <c:pt idx="162">
                  <c:v>7.7456961296319857</c:v>
                </c:pt>
                <c:pt idx="163">
                  <c:v>7.7587586084037685</c:v>
                </c:pt>
                <c:pt idx="164">
                  <c:v>7.7716705792939234</c:v>
                </c:pt>
                <c:pt idx="165">
                  <c:v>7.7844346286630532</c:v>
                </c:pt>
                <c:pt idx="166">
                  <c:v>7.7970532839498476</c:v>
                </c:pt>
                <c:pt idx="167">
                  <c:v>7.8095290153395158</c:v>
                </c:pt>
                <c:pt idx="168">
                  <c:v>7.8218642373758387</c:v>
                </c:pt>
                <c:pt idx="169">
                  <c:v>7.8340613105190684</c:v>
                </c:pt>
                <c:pt idx="170">
                  <c:v>7.84612254265177</c:v>
                </c:pt>
                <c:pt idx="171">
                  <c:v>7.8580501905346285</c:v>
                </c:pt>
                <c:pt idx="172">
                  <c:v>7.8698464612141503</c:v>
                </c:pt>
                <c:pt idx="173">
                  <c:v>7.8815135133841174</c:v>
                </c:pt>
                <c:pt idx="174">
                  <c:v>7.8930534587025178</c:v>
                </c:pt>
                <c:pt idx="175">
                  <c:v>7.9044683630656962</c:v>
                </c:pt>
                <c:pt idx="176">
                  <c:v>7.9157602478412947</c:v>
                </c:pt>
                <c:pt idx="177">
                  <c:v>7.9269310910615349</c:v>
                </c:pt>
                <c:pt idx="178">
                  <c:v>7.9379828285783631</c:v>
                </c:pt>
                <c:pt idx="179">
                  <c:v>7.948917355181802</c:v>
                </c:pt>
                <c:pt idx="180">
                  <c:v>7.9597365256829438</c:v>
                </c:pt>
                <c:pt idx="181">
                  <c:v>7.9704421559628233</c:v>
                </c:pt>
                <c:pt idx="182">
                  <c:v>7.9810360239884499</c:v>
                </c:pt>
                <c:pt idx="183">
                  <c:v>7.991519870797184</c:v>
                </c:pt>
                <c:pt idx="184">
                  <c:v>8.0018954014506054</c:v>
                </c:pt>
                <c:pt idx="185">
                  <c:v>8.0121642859589635</c:v>
                </c:pt>
                <c:pt idx="186">
                  <c:v>8.0223281601772705</c:v>
                </c:pt>
                <c:pt idx="187">
                  <c:v>8.0323886266740416</c:v>
                </c:pt>
                <c:pt idx="188">
                  <c:v>8.0423472555736506</c:v>
                </c:pt>
                <c:pt idx="189">
                  <c:v>8.0522055853732475</c:v>
                </c:pt>
                <c:pt idx="190">
                  <c:v>8.0619651237350993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00-8D41-9392-1235ABFDC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396943"/>
        <c:axId val="767698239"/>
      </c:scatterChart>
      <c:valAx>
        <c:axId val="784396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698239"/>
        <c:crosses val="autoZero"/>
        <c:crossBetween val="midCat"/>
      </c:valAx>
      <c:valAx>
        <c:axId val="76769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f(x)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3969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u(x,t)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'Problem 2'!$A$9:$A$29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'Problem 2'!$C$9:$C$29</c:f>
              <c:numCache>
                <c:formatCode>General</c:formatCode>
                <c:ptCount val="21"/>
                <c:pt idx="0">
                  <c:v>0</c:v>
                </c:pt>
                <c:pt idx="1">
                  <c:v>0.15643446504023101</c:v>
                </c:pt>
                <c:pt idx="2">
                  <c:v>0.3090169943749474</c:v>
                </c:pt>
                <c:pt idx="3">
                  <c:v>0.4539904997395468</c:v>
                </c:pt>
                <c:pt idx="4">
                  <c:v>0.58778525229247314</c:v>
                </c:pt>
                <c:pt idx="5">
                  <c:v>0.70710678118654746</c:v>
                </c:pt>
                <c:pt idx="6">
                  <c:v>0.80901699437494745</c:v>
                </c:pt>
                <c:pt idx="7">
                  <c:v>0.8910065241883679</c:v>
                </c:pt>
                <c:pt idx="8">
                  <c:v>0.95105651629515353</c:v>
                </c:pt>
                <c:pt idx="9">
                  <c:v>0.98768834059513766</c:v>
                </c:pt>
                <c:pt idx="10">
                  <c:v>1</c:v>
                </c:pt>
                <c:pt idx="11">
                  <c:v>0.98768834059513777</c:v>
                </c:pt>
                <c:pt idx="12">
                  <c:v>0.95105651629515364</c:v>
                </c:pt>
                <c:pt idx="13">
                  <c:v>0.8910065241883679</c:v>
                </c:pt>
                <c:pt idx="14">
                  <c:v>0.80901699437494745</c:v>
                </c:pt>
                <c:pt idx="15">
                  <c:v>0.70710678118654724</c:v>
                </c:pt>
                <c:pt idx="16">
                  <c:v>0.5877852522924728</c:v>
                </c:pt>
                <c:pt idx="17">
                  <c:v>0.45399049973954647</c:v>
                </c:pt>
                <c:pt idx="18">
                  <c:v>0.30901699437494667</c:v>
                </c:pt>
                <c:pt idx="19">
                  <c:v>0.15643446504023012</c:v>
                </c:pt>
                <c:pt idx="20">
                  <c:v>-7.6571373978538989E-16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05-334B-AA52-BCF8E9FD9E69}"/>
            </c:ext>
          </c:extLst>
        </c:ser>
        <c:ser>
          <c:idx val="1"/>
          <c:order val="1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'Problem 2'!$A$9:$A$29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'Problem 2'!$D$9:$D$29</c:f>
              <c:numCache>
                <c:formatCode>General</c:formatCode>
                <c:ptCount val="21"/>
                <c:pt idx="0">
                  <c:v>0</c:v>
                </c:pt>
                <c:pt idx="1">
                  <c:v>0.12998093480048806</c:v>
                </c:pt>
                <c:pt idx="2">
                  <c:v>0.26164358307693464</c:v>
                </c:pt>
                <c:pt idx="3">
                  <c:v>0.3902746662512831</c:v>
                </c:pt>
                <c:pt idx="4">
                  <c:v>0.51145506689700038</c:v>
                </c:pt>
                <c:pt idx="5">
                  <c:v>0.62128103914222188</c:v>
                </c:pt>
                <c:pt idx="6">
                  <c:v>0.71645601153756155</c:v>
                </c:pt>
                <c:pt idx="7">
                  <c:v>0.79429936160931458</c:v>
                </c:pt>
                <c:pt idx="8">
                  <c:v>0.85272615247387806</c:v>
                </c:pt>
                <c:pt idx="9">
                  <c:v>0.89023398209131732</c:v>
                </c:pt>
                <c:pt idx="10">
                  <c:v>0.90591537273421563</c:v>
                </c:pt>
                <c:pt idx="11">
                  <c:v>0.89951247055591699</c:v>
                </c:pt>
                <c:pt idx="12">
                  <c:v>0.87154810716175246</c:v>
                </c:pt>
                <c:pt idx="13">
                  <c:v>0.82359406239301314</c:v>
                </c:pt>
                <c:pt idx="14">
                  <c:v>0.75874430404264781</c:v>
                </c:pt>
                <c:pt idx="15">
                  <c:v>0.68229081203442632</c:v>
                </c:pt>
                <c:pt idx="16">
                  <c:v>0.60239486877571446</c:v>
                </c:pt>
                <c:pt idx="17">
                  <c:v>0.53024665668720861</c:v>
                </c:pt>
                <c:pt idx="18">
                  <c:v>0.4790520418179216</c:v>
                </c:pt>
                <c:pt idx="19">
                  <c:v>0.46153202003419941</c:v>
                </c:pt>
                <c:pt idx="20">
                  <c:v>0.5115320200341994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05-334B-AA52-BCF8E9FD9E69}"/>
            </c:ext>
          </c:extLst>
        </c:ser>
        <c:ser>
          <c:idx val="2"/>
          <c:order val="2"/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'Problem 2'!$A$9:$A$29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'Problem 2'!$E$9:$E$29</c:f>
              <c:numCache>
                <c:formatCode>General</c:formatCode>
                <c:ptCount val="21"/>
                <c:pt idx="0">
                  <c:v>0</c:v>
                </c:pt>
                <c:pt idx="1">
                  <c:v>5.1752962578538994E-2</c:v>
                </c:pt>
                <c:pt idx="2">
                  <c:v>0.10528142611435183</c:v>
                </c:pt>
                <c:pt idx="3">
                  <c:v>0.15979038661295714</c:v>
                </c:pt>
                <c:pt idx="4">
                  <c:v>0.21447345672234416</c:v>
                </c:pt>
                <c:pt idx="5">
                  <c:v>0.26854887283119294</c:v>
                </c:pt>
                <c:pt idx="6">
                  <c:v>0.32129490196155092</c:v>
                </c:pt>
                <c:pt idx="7">
                  <c:v>0.37208254590722173</c:v>
                </c:pt>
                <c:pt idx="8">
                  <c:v>0.42040347568624331</c:v>
                </c:pt>
                <c:pt idx="9">
                  <c:v>0.46589129269032203</c:v>
                </c:pt>
                <c:pt idx="10">
                  <c:v>0.50833450742262631</c:v>
                </c:pt>
                <c:pt idx="11">
                  <c:v>0.54768004771918311</c:v>
                </c:pt>
                <c:pt idx="12">
                  <c:v>0.58402664162030571</c:v>
                </c:pt>
                <c:pt idx="13">
                  <c:v>0.61760804116054602</c:v>
                </c:pt>
                <c:pt idx="14">
                  <c:v>0.64876672788080247</c:v>
                </c:pt>
                <c:pt idx="15">
                  <c:v>0.67791942584402298</c:v>
                </c:pt>
                <c:pt idx="16">
                  <c:v>0.70551639432982416</c:v>
                </c:pt>
                <c:pt idx="17">
                  <c:v>0.73199702877620487</c:v>
                </c:pt>
                <c:pt idx="18">
                  <c:v>0.75774471557723411</c:v>
                </c:pt>
                <c:pt idx="19">
                  <c:v>0.78304412157507242</c:v>
                </c:pt>
                <c:pt idx="20">
                  <c:v>0.83304412157507246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05-334B-AA52-BCF8E9FD9E69}"/>
            </c:ext>
          </c:extLst>
        </c:ser>
        <c:ser>
          <c:idx val="3"/>
          <c:order val="3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'Problem 2'!$A$9:$A$29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'Problem 2'!$F$9:$F$29</c:f>
              <c:numCache>
                <c:formatCode>General</c:formatCode>
                <c:ptCount val="21"/>
                <c:pt idx="0">
                  <c:v>0</c:v>
                </c:pt>
                <c:pt idx="1">
                  <c:v>1.0777739908641677E-2</c:v>
                </c:pt>
                <c:pt idx="2">
                  <c:v>2.2097436175398465E-2</c:v>
                </c:pt>
                <c:pt idx="3">
                  <c:v>3.3975685959823219E-2</c:v>
                </c:pt>
                <c:pt idx="4">
                  <c:v>4.6429575698728617E-2</c:v>
                </c:pt>
                <c:pt idx="5">
                  <c:v>5.9476799437739473E-2</c:v>
                </c:pt>
                <c:pt idx="6">
                  <c:v>7.3135790611111362E-2</c:v>
                </c:pt>
                <c:pt idx="7">
                  <c:v>8.7425867364601631E-2</c:v>
                </c:pt>
                <c:pt idx="8">
                  <c:v>0.1023673914248989</c:v>
                </c:pt>
                <c:pt idx="9">
                  <c:v>0.11798194042491163</c:v>
                </c:pt>
                <c:pt idx="10">
                  <c:v>0.1342924934979349</c:v>
                </c:pt>
                <c:pt idx="11">
                  <c:v>0.15132362985628231</c:v>
                </c:pt>
                <c:pt idx="12">
                  <c:v>0.1691017399723683</c:v>
                </c:pt>
                <c:pt idx="13">
                  <c:v>0.1876552488834993</c:v>
                </c:pt>
                <c:pt idx="14">
                  <c:v>0.20701485104687173</c:v>
                </c:pt>
                <c:pt idx="15">
                  <c:v>0.22721375607961636</c:v>
                </c:pt>
                <c:pt idx="16">
                  <c:v>0.24828794463134024</c:v>
                </c:pt>
                <c:pt idx="17">
                  <c:v>0.2702764335546981</c:v>
                </c:pt>
                <c:pt idx="18">
                  <c:v>0.29322154946427459</c:v>
                </c:pt>
                <c:pt idx="19">
                  <c:v>0.3171692097067057</c:v>
                </c:pt>
                <c:pt idx="20">
                  <c:v>0.36716920970670602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05-334B-AA52-BCF8E9FD9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5868607"/>
        <c:axId val="1196076959"/>
      </c:scatterChart>
      <c:valAx>
        <c:axId val="119586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076959"/>
        <c:crosses val="autoZero"/>
        <c:crossBetween val="midCat"/>
      </c:valAx>
      <c:valAx>
        <c:axId val="1196076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58686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</a:t>
            </a:r>
            <a:r>
              <a:rPr lang="en-US" baseline="0"/>
              <a:t> A: y &amp; z vs. t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'Problem 3'!$C$10</c:f>
              <c:strCache>
                <c:ptCount val="1"/>
                <c:pt idx="0">
                  <c:v>y_Euler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'Problem 3'!$B$11:$B$211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'Problem 3'!$C$11:$C$211</c:f>
              <c:numCache>
                <c:formatCode>General</c:formatCode>
                <c:ptCount val="201"/>
                <c:pt idx="0">
                  <c:v>0.03</c:v>
                </c:pt>
                <c:pt idx="1">
                  <c:v>3.1902287234042551E-2</c:v>
                </c:pt>
                <c:pt idx="2">
                  <c:v>3.3920968948441488E-2</c:v>
                </c:pt>
                <c:pt idx="3">
                  <c:v>3.606261538817794E-2</c:v>
                </c:pt>
                <c:pt idx="4">
                  <c:v>3.8334095897193346E-2</c:v>
                </c:pt>
                <c:pt idx="5">
                  <c:v>4.0742582965171512E-2</c:v>
                </c:pt>
                <c:pt idx="6">
                  <c:v>4.3295554858574142E-2</c:v>
                </c:pt>
                <c:pt idx="7">
                  <c:v>4.600079659317402E-2</c:v>
                </c:pt>
                <c:pt idx="8">
                  <c:v>4.886639898246093E-2</c:v>
                </c:pt>
                <c:pt idx="9">
                  <c:v>5.1900755473053499E-2</c:v>
                </c:pt>
                <c:pt idx="10">
                  <c:v>5.5112556455024539E-2</c:v>
                </c:pt>
                <c:pt idx="11">
                  <c:v>5.8510780712323282E-2</c:v>
                </c:pt>
                <c:pt idx="12">
                  <c:v>6.2104683656851151E-2</c:v>
                </c:pt>
                <c:pt idx="13">
                  <c:v>6.5903781969934794E-2</c:v>
                </c:pt>
                <c:pt idx="14">
                  <c:v>6.9917834257789871E-2</c:v>
                </c:pt>
                <c:pt idx="15">
                  <c:v>7.4156817314070714E-2</c:v>
                </c:pt>
                <c:pt idx="16">
                  <c:v>7.8630897573890232E-2</c:v>
                </c:pt>
                <c:pt idx="17">
                  <c:v>8.3350397341054983E-2</c:v>
                </c:pt>
                <c:pt idx="18">
                  <c:v>8.8325755375119913E-2</c:v>
                </c:pt>
                <c:pt idx="19">
                  <c:v>9.3567481438786695E-2</c:v>
                </c:pt>
                <c:pt idx="20">
                  <c:v>9.9086104430821637E-2</c:v>
                </c:pt>
                <c:pt idx="21">
                  <c:v>0.10489211376680795</c:v>
                </c:pt>
                <c:pt idx="22">
                  <c:v>0.11099589372146396</c:v>
                </c:pt>
                <c:pt idx="23">
                  <c:v>0.11740765051372172</c:v>
                </c:pt>
                <c:pt idx="24">
                  <c:v>0.12413733200094021</c:v>
                </c:pt>
                <c:pt idx="25">
                  <c:v>0.13119453995300348</c:v>
                </c:pt>
                <c:pt idx="26">
                  <c:v>0.13858843500180504</c:v>
                </c:pt>
                <c:pt idx="27">
                  <c:v>0.14632763450749312</c:v>
                </c:pt>
                <c:pt idx="28">
                  <c:v>0.1544201037500248</c:v>
                </c:pt>
                <c:pt idx="29">
                  <c:v>0.16287304104250033</c:v>
                </c:pt>
                <c:pt idx="30">
                  <c:v>0.17169275756998911</c:v>
                </c:pt>
                <c:pt idx="31">
                  <c:v>0.18088455298164238</c:v>
                </c:pt>
                <c:pt idx="32">
                  <c:v>0.19045258800116055</c:v>
                </c:pt>
                <c:pt idx="33">
                  <c:v>0.20039975556619374</c:v>
                </c:pt>
                <c:pt idx="34">
                  <c:v>0.21072755225468384</c:v>
                </c:pt>
                <c:pt idx="35">
                  <c:v>0.22143595199780083</c:v>
                </c:pt>
                <c:pt idx="36">
                  <c:v>0.2325232843059602</c:v>
                </c:pt>
                <c:pt idx="37">
                  <c:v>0.24398611943623444</c:v>
                </c:pt>
                <c:pt idx="38">
                  <c:v>0.25581916309518049</c:v>
                </c:pt>
                <c:pt idx="39">
                  <c:v>0.26801516338904241</c:v>
                </c:pt>
                <c:pt idx="40">
                  <c:v>0.2805648327917451</c:v>
                </c:pt>
                <c:pt idx="41">
                  <c:v>0.29345678788889734</c:v>
                </c:pt>
                <c:pt idx="42">
                  <c:v>0.30667750956322276</c:v>
                </c:pt>
                <c:pt idx="43">
                  <c:v>0.32021132610545483</c:v>
                </c:pt>
                <c:pt idx="44">
                  <c:v>0.33404042145952489</c:v>
                </c:pt>
                <c:pt idx="45">
                  <c:v>0.34814487044005982</c:v>
                </c:pt>
                <c:pt idx="46">
                  <c:v>0.36250270229611881</c:v>
                </c:pt>
                <c:pt idx="47">
                  <c:v>0.37708999344463667</c:v>
                </c:pt>
                <c:pt idx="48">
                  <c:v>0.39188098957193807</c:v>
                </c:pt>
                <c:pt idx="49">
                  <c:v>0.40684825661846785</c:v>
                </c:pt>
                <c:pt idx="50">
                  <c:v>0.42196285944151646</c:v>
                </c:pt>
                <c:pt idx="51">
                  <c:v>0.43719456621791664</c:v>
                </c:pt>
                <c:pt idx="52">
                  <c:v>0.45251207593088599</c:v>
                </c:pt>
                <c:pt idx="53">
                  <c:v>0.46788326561122623</c:v>
                </c:pt>
                <c:pt idx="54">
                  <c:v>0.48327545340168054</c:v>
                </c:pt>
                <c:pt idx="55">
                  <c:v>0.49865567301133179</c:v>
                </c:pt>
                <c:pt idx="56">
                  <c:v>0.51399095474801215</c:v>
                </c:pt>
                <c:pt idx="57">
                  <c:v>0.52924860807936691</c:v>
                </c:pt>
                <c:pt idx="58">
                  <c:v>0.54439650058985956</c:v>
                </c:pt>
                <c:pt idx="59">
                  <c:v>0.55940332827693284</c:v>
                </c:pt>
                <c:pt idx="60">
                  <c:v>0.57423887236256255</c:v>
                </c:pt>
                <c:pt idx="61">
                  <c:v>0.58887423817692641</c:v>
                </c:pt>
                <c:pt idx="62">
                  <c:v>0.60328207218236207</c:v>
                </c:pt>
                <c:pt idx="63">
                  <c:v>0.61743675382584906</c:v>
                </c:pt>
                <c:pt idx="64">
                  <c:v>0.63131455961009897</c:v>
                </c:pt>
                <c:pt idx="65">
                  <c:v>0.64489379752731801</c:v>
                </c:pt>
                <c:pt idx="66">
                  <c:v>0.65815491077509891</c:v>
                </c:pt>
                <c:pt idx="67">
                  <c:v>0.67108055044063564</c:v>
                </c:pt>
                <c:pt idx="68">
                  <c:v>0.68365561756974114</c:v>
                </c:pt>
                <c:pt idx="69">
                  <c:v>0.69586727570676077</c:v>
                </c:pt>
                <c:pt idx="70">
                  <c:v>0.70770493558079783</c:v>
                </c:pt>
                <c:pt idx="71">
                  <c:v>0.71916021410828146</c:v>
                </c:pt>
                <c:pt idx="72">
                  <c:v>0.73022687027286792</c:v>
                </c:pt>
                <c:pt idx="73">
                  <c:v>0.74090072072735003</c:v>
                </c:pt>
                <c:pt idx="74">
                  <c:v>0.75117953813997329</c:v>
                </c:pt>
                <c:pt idx="75">
                  <c:v>0.76106293538487346</c:v>
                </c:pt>
                <c:pt idx="76">
                  <c:v>0.77055223866227429</c:v>
                </c:pt>
                <c:pt idx="77">
                  <c:v>0.77965035254014525</c:v>
                </c:pt>
                <c:pt idx="78">
                  <c:v>0.78836161974839047</c:v>
                </c:pt>
                <c:pt idx="79">
                  <c:v>0.79669167834324406</c:v>
                </c:pt>
                <c:pt idx="80">
                  <c:v>0.80464731860732219</c:v>
                </c:pt>
                <c:pt idx="81">
                  <c:v>0.81223634177301884</c:v>
                </c:pt>
                <c:pt idx="82">
                  <c:v>0.81946742236580961</c:v>
                </c:pt>
                <c:pt idx="83">
                  <c:v>0.82634997567025348</c:v>
                </c:pt>
                <c:pt idx="84">
                  <c:v>0.83289403153409125</c:v>
                </c:pt>
                <c:pt idx="85">
                  <c:v>0.83911011545211167</c:v>
                </c:pt>
                <c:pt idx="86">
                  <c:v>0.84500913761694763</c:v>
                </c:pt>
                <c:pt idx="87">
                  <c:v>0.85060229039258428</c:v>
                </c:pt>
                <c:pt idx="88">
                  <c:v>0.85590095446055092</c:v>
                </c:pt>
                <c:pt idx="89">
                  <c:v>0.86091661370969086</c:v>
                </c:pt>
                <c:pt idx="90">
                  <c:v>0.86566077878813397</c:v>
                </c:pt>
                <c:pt idx="91">
                  <c:v>0.87014491910987257</c:v>
                </c:pt>
                <c:pt idx="92">
                  <c:v>0.87438040300672493</c:v>
                </c:pt>
                <c:pt idx="93">
                  <c:v>0.87837844563757572</c:v>
                </c:pt>
                <c:pt idx="94">
                  <c:v>0.88215006420840636</c:v>
                </c:pt>
                <c:pt idx="95">
                  <c:v>0.88570604001641906</c:v>
                </c:pt>
                <c:pt idx="96">
                  <c:v>0.8890568868071087</c:v>
                </c:pt>
                <c:pt idx="97">
                  <c:v>0.89221282492208687</c:v>
                </c:pt>
                <c:pt idx="98">
                  <c:v>0.89518376071556649</c:v>
                </c:pt>
                <c:pt idx="99">
                  <c:v>0.89797927072658434</c:v>
                </c:pt>
                <c:pt idx="100">
                  <c:v>0.90060859011036765</c:v>
                </c:pt>
                <c:pt idx="101">
                  <c:v>0.90308060485405606</c:v>
                </c:pt>
                <c:pt idx="102">
                  <c:v>0.90540384732778001</c:v>
                </c:pt>
                <c:pt idx="103">
                  <c:v>0.9075864947506066</c:v>
                </c:pt>
                <c:pt idx="104">
                  <c:v>0.90963637018100874</c:v>
                </c:pt>
                <c:pt idx="105">
                  <c:v>0.91156094567241441</c:v>
                </c:pt>
                <c:pt idx="106">
                  <c:v>0.91336734726531421</c:v>
                </c:pt>
                <c:pt idx="107">
                  <c:v>0.91506236151778142</c:v>
                </c:pt>
                <c:pt idx="108">
                  <c:v>0.91665244330564755</c:v>
                </c:pt>
                <c:pt idx="109">
                  <c:v>0.91814372465164307</c:v>
                </c:pt>
                <c:pt idx="110">
                  <c:v>0.91954202436932986</c:v>
                </c:pt>
                <c:pt idx="111">
                  <c:v>0.92085285833246611</c:v>
                </c:pt>
                <c:pt idx="112">
                  <c:v>0.92208145020346677</c:v>
                </c:pt>
                <c:pt idx="113">
                  <c:v>0.92323274247582465</c:v>
                </c:pt>
                <c:pt idx="114">
                  <c:v>0.92431140770474352</c:v>
                </c:pt>
                <c:pt idx="115">
                  <c:v>0.92532185981785142</c:v>
                </c:pt>
                <c:pt idx="116">
                  <c:v>0.92626826541377361</c:v>
                </c:pt>
                <c:pt idx="117">
                  <c:v>0.92715455497063326</c:v>
                </c:pt>
                <c:pt idx="118">
                  <c:v>0.92798443389931295</c:v>
                </c:pt>
                <c:pt idx="119">
                  <c:v>0.9287613933876514</c:v>
                </c:pt>
                <c:pt idx="120">
                  <c:v>0.9294887209917736</c:v>
                </c:pt>
                <c:pt idx="121">
                  <c:v>0.93016951093956934</c:v>
                </c:pt>
                <c:pt idx="122">
                  <c:v>0.93080667411904516</c:v>
                </c:pt>
                <c:pt idx="123">
                  <c:v>0.93140294773098242</c:v>
                </c:pt>
                <c:pt idx="124">
                  <c:v>0.93196090459113989</c:v>
                </c:pt>
                <c:pt idx="125">
                  <c:v>0.93248296207222658</c:v>
                </c:pt>
                <c:pt idx="126">
                  <c:v>0.93297139068013601</c:v>
                </c:pt>
                <c:pt idx="127">
                  <c:v>0.93342832226254713</c:v>
                </c:pt>
                <c:pt idx="128">
                  <c:v>0.93385575785103891</c:v>
                </c:pt>
                <c:pt idx="129">
                  <c:v>0.93425557514040347</c:v>
                </c:pt>
                <c:pt idx="130">
                  <c:v>0.93462953561092899</c:v>
                </c:pt>
                <c:pt idx="131">
                  <c:v>0.93497929130112811</c:v>
                </c:pt>
                <c:pt idx="132">
                  <c:v>0.93530639123974735</c:v>
                </c:pt>
                <c:pt idx="133">
                  <c:v>0.93561228754695958</c:v>
                </c:pt>
                <c:pt idx="134">
                  <c:v>0.93589834121545568</c:v>
                </c:pt>
                <c:pt idx="135">
                  <c:v>0.93616582758274391</c:v>
                </c:pt>
                <c:pt idx="136">
                  <c:v>0.93641594150637508</c:v>
                </c:pt>
                <c:pt idx="137">
                  <c:v>0.93664980225405725</c:v>
                </c:pt>
                <c:pt idx="138">
                  <c:v>0.93686845812074271</c:v>
                </c:pt>
                <c:pt idx="139">
                  <c:v>0.93707289078476763</c:v>
                </c:pt>
                <c:pt idx="140">
                  <c:v>0.93726401941503823</c:v>
                </c:pt>
                <c:pt idx="141">
                  <c:v>0.93744270454108791</c:v>
                </c:pt>
                <c:pt idx="142">
                  <c:v>0.93760975169759964</c:v>
                </c:pt>
                <c:pt idx="143">
                  <c:v>0.93776591485471006</c:v>
                </c:pt>
                <c:pt idx="144">
                  <c:v>0.93791189964509192</c:v>
                </c:pt>
                <c:pt idx="145">
                  <c:v>0.93804836639846334</c:v>
                </c:pt>
                <c:pt idx="146">
                  <c:v>0.93817593299380198</c:v>
                </c:pt>
                <c:pt idx="147">
                  <c:v>0.93829517753915581</c:v>
                </c:pt>
                <c:pt idx="148">
                  <c:v>0.93840664088854819</c:v>
                </c:pt>
                <c:pt idx="149">
                  <c:v>0.93851082900507343</c:v>
                </c:pt>
                <c:pt idx="150">
                  <c:v>0.93860821517887782</c:v>
                </c:pt>
                <c:pt idx="151">
                  <c:v>0.93869924210832434</c:v>
                </c:pt>
                <c:pt idx="152">
                  <c:v>0.93878432385224342</c:v>
                </c:pt>
                <c:pt idx="153">
                  <c:v>0.9388638476607869</c:v>
                </c:pt>
                <c:pt idx="154">
                  <c:v>0.93893817569202664</c:v>
                </c:pt>
                <c:pt idx="155">
                  <c:v>0.93900764662106972</c:v>
                </c:pt>
                <c:pt idx="156">
                  <c:v>0.93907257714811043</c:v>
                </c:pt>
                <c:pt idx="157">
                  <c:v>0.93913326341149317</c:v>
                </c:pt>
                <c:pt idx="158">
                  <c:v>0.93918998231153339</c:v>
                </c:pt>
                <c:pt idx="159">
                  <c:v>0.93924299275052481</c:v>
                </c:pt>
                <c:pt idx="160">
                  <c:v>0.93929253679405855</c:v>
                </c:pt>
                <c:pt idx="161">
                  <c:v>0.93933884075848995</c:v>
                </c:pt>
                <c:pt idx="162">
                  <c:v>0.93938211622911094</c:v>
                </c:pt>
                <c:pt idx="163">
                  <c:v>0.93942256101332411</c:v>
                </c:pt>
                <c:pt idx="164">
                  <c:v>0.93946036003286226</c:v>
                </c:pt>
                <c:pt idx="165">
                  <c:v>0.93949568615885892</c:v>
                </c:pt>
                <c:pt idx="166">
                  <c:v>0.93952870099335206</c:v>
                </c:pt>
                <c:pt idx="167">
                  <c:v>0.93955955560058502</c:v>
                </c:pt>
                <c:pt idx="168">
                  <c:v>0.93958839119127002</c:v>
                </c:pt>
                <c:pt idx="169">
                  <c:v>0.93961533976278577</c:v>
                </c:pt>
                <c:pt idx="170">
                  <c:v>0.93964052469810078</c:v>
                </c:pt>
                <c:pt idx="171">
                  <c:v>0.93966406132604186</c:v>
                </c:pt>
                <c:pt idx="172">
                  <c:v>0.93968605744536815</c:v>
                </c:pt>
                <c:pt idx="173">
                  <c:v>0.9397066138149569</c:v>
                </c:pt>
                <c:pt idx="174">
                  <c:v>0.93972582461226639</c:v>
                </c:pt>
                <c:pt idx="175">
                  <c:v>0.93974377786210406</c:v>
                </c:pt>
                <c:pt idx="176">
                  <c:v>0.93976055583760343</c:v>
                </c:pt>
                <c:pt idx="177">
                  <c:v>0.93977623543519284</c:v>
                </c:pt>
                <c:pt idx="178">
                  <c:v>0.93979088852522707</c:v>
                </c:pt>
                <c:pt idx="179">
                  <c:v>0.93980458227984764</c:v>
                </c:pt>
                <c:pt idx="180">
                  <c:v>0.93981737947953936</c:v>
                </c:pt>
                <c:pt idx="181">
                  <c:v>0.93982933879975539</c:v>
                </c:pt>
                <c:pt idx="182">
                  <c:v>0.93984051507889954</c:v>
                </c:pt>
                <c:pt idx="183">
                  <c:v>0.93985095956886855</c:v>
                </c:pt>
                <c:pt idx="184">
                  <c:v>0.93986072016928346</c:v>
                </c:pt>
                <c:pt idx="185">
                  <c:v>0.93986984164646548</c:v>
                </c:pt>
                <c:pt idx="186">
                  <c:v>0.93987836583814499</c:v>
                </c:pt>
                <c:pt idx="187">
                  <c:v>0.93988633184482739</c:v>
                </c:pt>
                <c:pt idx="188">
                  <c:v>0.93989377620868331</c:v>
                </c:pt>
                <c:pt idx="189">
                  <c:v>0.93990073308077104</c:v>
                </c:pt>
                <c:pt idx="190">
                  <c:v>0.93990723437735091</c:v>
                </c:pt>
                <c:pt idx="191">
                  <c:v>0.93991330992599864</c:v>
                </c:pt>
                <c:pt idx="192">
                  <c:v>0.9399189876021824</c:v>
                </c:pt>
                <c:pt idx="193">
                  <c:v>0.93992429345692341</c:v>
                </c:pt>
                <c:pt idx="194">
                  <c:v>0.93992925183612042</c:v>
                </c:pt>
                <c:pt idx="195">
                  <c:v>0.93993388549208079</c:v>
                </c:pt>
                <c:pt idx="196">
                  <c:v>0.93993821568776559</c:v>
                </c:pt>
                <c:pt idx="197">
                  <c:v>0.93994226229422417</c:v>
                </c:pt>
                <c:pt idx="198">
                  <c:v>0.93994604388166147</c:v>
                </c:pt>
                <c:pt idx="199">
                  <c:v>0.93994957780455335</c:v>
                </c:pt>
                <c:pt idx="200">
                  <c:v>0.93995288028119861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9-9542-A1BF-F7EEA593C4F8}"/>
            </c:ext>
          </c:extLst>
        </c:ser>
        <c:ser>
          <c:idx val="1"/>
          <c:order val="1"/>
          <c:tx>
            <c:strRef>
              <c:f>'Problem 3'!$D$10</c:f>
              <c:strCache>
                <c:ptCount val="1"/>
                <c:pt idx="0">
                  <c:v>z_Euler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'Problem 3'!$B$11:$B$211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'Problem 3'!$D$11:$D$211</c:f>
              <c:numCache>
                <c:formatCode>General</c:formatCode>
                <c:ptCount val="201"/>
                <c:pt idx="0">
                  <c:v>0</c:v>
                </c:pt>
                <c:pt idx="1">
                  <c:v>2.565E-4</c:v>
                </c:pt>
                <c:pt idx="2">
                  <c:v>5.2926455585106385E-4</c:v>
                </c:pt>
                <c:pt idx="3">
                  <c:v>8.1928884036023848E-4</c:v>
                </c:pt>
                <c:pt idx="4">
                  <c:v>1.1276242019291598E-3</c:v>
                </c:pt>
                <c:pt idx="5">
                  <c:v>1.455380721850163E-3</c:v>
                </c:pt>
                <c:pt idx="6">
                  <c:v>1.8037298062023794E-3</c:v>
                </c:pt>
                <c:pt idx="7">
                  <c:v>2.1739068002431883E-3</c:v>
                </c:pt>
                <c:pt idx="8">
                  <c:v>2.5672136111148263E-3</c:v>
                </c:pt>
                <c:pt idx="9">
                  <c:v>2.9850213224148674E-3</c:v>
                </c:pt>
                <c:pt idx="10">
                  <c:v>3.428772781709475E-3</c:v>
                </c:pt>
                <c:pt idx="11">
                  <c:v>3.8999851393999346E-3</c:v>
                </c:pt>
                <c:pt idx="12">
                  <c:v>4.4002523144902987E-3</c:v>
                </c:pt>
                <c:pt idx="13">
                  <c:v>4.9312473597563763E-3</c:v>
                </c:pt>
                <c:pt idx="14">
                  <c:v>5.4947246955993189E-3</c:v>
                </c:pt>
                <c:pt idx="15">
                  <c:v>6.0925221785034225E-3</c:v>
                </c:pt>
                <c:pt idx="16">
                  <c:v>6.7265629665387268E-3</c:v>
                </c:pt>
                <c:pt idx="17">
                  <c:v>7.3988571407954881E-3</c:v>
                </c:pt>
                <c:pt idx="18">
                  <c:v>8.1115030380615079E-3</c:v>
                </c:pt>
                <c:pt idx="19">
                  <c:v>8.8666882465187839E-3</c:v>
                </c:pt>
                <c:pt idx="20">
                  <c:v>9.6666902128204092E-3</c:v>
                </c:pt>
                <c:pt idx="21">
                  <c:v>1.0513876405703934E-2</c:v>
                </c:pt>
                <c:pt idx="22">
                  <c:v>1.1410703978410142E-2</c:v>
                </c:pt>
                <c:pt idx="23">
                  <c:v>1.2359718869728659E-2</c:v>
                </c:pt>
                <c:pt idx="24">
                  <c:v>1.336355428162098E-2</c:v>
                </c:pt>
                <c:pt idx="25">
                  <c:v>1.4424928470229019E-2</c:v>
                </c:pt>
                <c:pt idx="26">
                  <c:v>1.5546641786827199E-2</c:v>
                </c:pt>
                <c:pt idx="27">
                  <c:v>1.6731572906092632E-2</c:v>
                </c:pt>
                <c:pt idx="28">
                  <c:v>1.7982674181131697E-2</c:v>
                </c:pt>
                <c:pt idx="29">
                  <c:v>1.930296606819441E-2</c:v>
                </c:pt>
                <c:pt idx="30">
                  <c:v>2.0695530569107789E-2</c:v>
                </c:pt>
                <c:pt idx="31">
                  <c:v>2.2163503646331194E-2</c:v>
                </c:pt>
                <c:pt idx="32">
                  <c:v>2.3710066574324236E-2</c:v>
                </c:pt>
                <c:pt idx="33">
                  <c:v>2.533843620173416E-2</c:v>
                </c:pt>
                <c:pt idx="34">
                  <c:v>2.7051854111825115E-2</c:v>
                </c:pt>
                <c:pt idx="35">
                  <c:v>2.885357468360266E-2</c:v>
                </c:pt>
                <c:pt idx="36">
                  <c:v>3.0746852073183856E-2</c:v>
                </c:pt>
                <c:pt idx="37">
                  <c:v>3.2734926153999817E-2</c:v>
                </c:pt>
                <c:pt idx="38">
                  <c:v>3.4821007475179619E-2</c:v>
                </c:pt>
                <c:pt idx="39">
                  <c:v>3.700826131964341E-2</c:v>
                </c:pt>
                <c:pt idx="40">
                  <c:v>3.9299790966619723E-2</c:v>
                </c:pt>
                <c:pt idx="41">
                  <c:v>4.1698620286989146E-2</c:v>
                </c:pt>
                <c:pt idx="42">
                  <c:v>4.4207675823439221E-2</c:v>
                </c:pt>
                <c:pt idx="43">
                  <c:v>4.6829768530204777E-2</c:v>
                </c:pt>
                <c:pt idx="44">
                  <c:v>4.9567575368406412E-2</c:v>
                </c:pt>
                <c:pt idx="45">
                  <c:v>5.2423620971885347E-2</c:v>
                </c:pt>
                <c:pt idx="46">
                  <c:v>5.5400259614147858E-2</c:v>
                </c:pt>
                <c:pt idx="47">
                  <c:v>5.8499657718779671E-2</c:v>
                </c:pt>
                <c:pt idx="48">
                  <c:v>6.1723777162731315E-2</c:v>
                </c:pt>
                <c:pt idx="49">
                  <c:v>6.5074359623571387E-2</c:v>
                </c:pt>
                <c:pt idx="50">
                  <c:v>6.8552912217659287E-2</c:v>
                </c:pt>
                <c:pt idx="51">
                  <c:v>7.2160694665884248E-2</c:v>
                </c:pt>
                <c:pt idx="52">
                  <c:v>7.589870820704743E-2</c:v>
                </c:pt>
                <c:pt idx="53">
                  <c:v>7.9767686456256509E-2</c:v>
                </c:pt>
                <c:pt idx="54">
                  <c:v>8.3768088377232486E-2</c:v>
                </c:pt>
                <c:pt idx="55">
                  <c:v>8.7900093503816862E-2</c:v>
                </c:pt>
                <c:pt idx="56">
                  <c:v>9.2163599508063743E-2</c:v>
                </c:pt>
                <c:pt idx="57">
                  <c:v>9.6558222171159253E-2</c:v>
                </c:pt>
                <c:pt idx="58">
                  <c:v>0.10108329777023783</c:v>
                </c:pt>
                <c:pt idx="59">
                  <c:v>0.10573788785028114</c:v>
                </c:pt>
                <c:pt idx="60">
                  <c:v>0.11052078630704891</c:v>
                </c:pt>
                <c:pt idx="61">
                  <c:v>0.11543052866574882</c:v>
                </c:pt>
                <c:pt idx="62">
                  <c:v>0.12046540340216154</c:v>
                </c:pt>
                <c:pt idx="63">
                  <c:v>0.12562346511932074</c:v>
                </c:pt>
                <c:pt idx="64">
                  <c:v>0.13090254936453175</c:v>
                </c:pt>
                <c:pt idx="65">
                  <c:v>0.13630028884919809</c:v>
                </c:pt>
                <c:pt idx="66">
                  <c:v>0.14181413081805666</c:v>
                </c:pt>
                <c:pt idx="67">
                  <c:v>0.14744135530518376</c:v>
                </c:pt>
                <c:pt idx="68">
                  <c:v>0.15317909401145119</c:v>
                </c:pt>
                <c:pt idx="69">
                  <c:v>0.15902434954167247</c:v>
                </c:pt>
                <c:pt idx="70">
                  <c:v>0.16497401474896528</c:v>
                </c:pt>
                <c:pt idx="71">
                  <c:v>0.1710248919481811</c:v>
                </c:pt>
                <c:pt idx="72">
                  <c:v>0.17717371177880692</c:v>
                </c:pt>
                <c:pt idx="73">
                  <c:v>0.18341715151963994</c:v>
                </c:pt>
                <c:pt idx="74">
                  <c:v>0.18975185268185879</c:v>
                </c:pt>
                <c:pt idx="75">
                  <c:v>0.19617443773295556</c:v>
                </c:pt>
                <c:pt idx="76">
                  <c:v>0.20268152583049623</c:v>
                </c:pt>
                <c:pt idx="77">
                  <c:v>0.20926974747105867</c:v>
                </c:pt>
                <c:pt idx="78">
                  <c:v>0.21593575798527692</c:v>
                </c:pt>
                <c:pt idx="79">
                  <c:v>0.22267624983412565</c:v>
                </c:pt>
                <c:pt idx="80">
                  <c:v>0.22948796368396038</c:v>
                </c:pt>
                <c:pt idx="81">
                  <c:v>0.23636769825805298</c:v>
                </c:pt>
                <c:pt idx="82">
                  <c:v>0.2433123189802123</c:v>
                </c:pt>
                <c:pt idx="83">
                  <c:v>0.25031876544143999</c:v>
                </c:pt>
                <c:pt idx="84">
                  <c:v>0.25738405773342066</c:v>
                </c:pt>
                <c:pt idx="85">
                  <c:v>0.26450530170303715</c:v>
                </c:pt>
                <c:pt idx="86">
                  <c:v>0.27167969319015273</c:v>
                </c:pt>
                <c:pt idx="87">
                  <c:v>0.27890452131677762</c:v>
                </c:pt>
                <c:pt idx="88">
                  <c:v>0.28617717089963424</c:v>
                </c:pt>
                <c:pt idx="89">
                  <c:v>0.29349512406027195</c:v>
                </c:pt>
                <c:pt idx="90">
                  <c:v>0.3008559611074898</c:v>
                </c:pt>
                <c:pt idx="91">
                  <c:v>0.30825736076612836</c:v>
                </c:pt>
                <c:pt idx="92">
                  <c:v>0.31569709982451777</c:v>
                </c:pt>
                <c:pt idx="93">
                  <c:v>0.32317305227022525</c:v>
                </c:pt>
                <c:pt idx="94">
                  <c:v>0.33068318798042651</c:v>
                </c:pt>
                <c:pt idx="95">
                  <c:v>0.33822557102940837</c:v>
                </c:pt>
                <c:pt idx="96">
                  <c:v>0.34579835767154876</c:v>
                </c:pt>
                <c:pt idx="97">
                  <c:v>0.35339979405374955</c:v>
                </c:pt>
                <c:pt idx="98">
                  <c:v>0.36102821370683341</c:v>
                </c:pt>
                <c:pt idx="99">
                  <c:v>0.36868203486095152</c:v>
                </c:pt>
                <c:pt idx="100">
                  <c:v>0.37635975762566382</c:v>
                </c:pt>
                <c:pt idx="101">
                  <c:v>0.38405996107110746</c:v>
                </c:pt>
                <c:pt idx="102">
                  <c:v>0.39178130024260965</c:v>
                </c:pt>
                <c:pt idx="103">
                  <c:v>0.39952250313726217</c:v>
                </c:pt>
                <c:pt idx="104">
                  <c:v>0.40728236766737985</c:v>
                </c:pt>
                <c:pt idx="105">
                  <c:v>0.4150597586324275</c:v>
                </c:pt>
                <c:pt idx="106">
                  <c:v>0.42285360471792666</c:v>
                </c:pt>
                <c:pt idx="107">
                  <c:v>0.43066289553704507</c:v>
                </c:pt>
                <c:pt idx="108">
                  <c:v>0.43848667872802211</c:v>
                </c:pt>
                <c:pt idx="109">
                  <c:v>0.44632405711828538</c:v>
                </c:pt>
                <c:pt idx="110">
                  <c:v>0.4541741859640569</c:v>
                </c:pt>
                <c:pt idx="111">
                  <c:v>0.46203627027241467</c:v>
                </c:pt>
                <c:pt idx="112">
                  <c:v>0.46990956221115726</c:v>
                </c:pt>
                <c:pt idx="113">
                  <c:v>0.4777933586103969</c:v>
                </c:pt>
                <c:pt idx="114">
                  <c:v>0.48568699855856517</c:v>
                </c:pt>
                <c:pt idx="115">
                  <c:v>0.49358986109444075</c:v>
                </c:pt>
                <c:pt idx="116">
                  <c:v>0.50150136299588333</c:v>
                </c:pt>
                <c:pt idx="117">
                  <c:v>0.50942095666517107</c:v>
                </c:pt>
                <c:pt idx="118">
                  <c:v>0.51734812811016995</c:v>
                </c:pt>
                <c:pt idx="119">
                  <c:v>0.52528239502000906</c:v>
                </c:pt>
                <c:pt idx="120">
                  <c:v>0.53322330493347347</c:v>
                </c:pt>
                <c:pt idx="121">
                  <c:v>0.54117043349795313</c:v>
                </c:pt>
                <c:pt idx="122">
                  <c:v>0.54912338281648643</c:v>
                </c:pt>
                <c:pt idx="123">
                  <c:v>0.55708177988020424</c:v>
                </c:pt>
                <c:pt idx="124">
                  <c:v>0.56504527508330415</c:v>
                </c:pt>
                <c:pt idx="125">
                  <c:v>0.5730135408175584</c:v>
                </c:pt>
                <c:pt idx="126">
                  <c:v>0.58098627014327597</c:v>
                </c:pt>
                <c:pt idx="127">
                  <c:v>0.58896317553359112</c:v>
                </c:pt>
                <c:pt idx="128">
                  <c:v>0.59694398768893586</c:v>
                </c:pt>
                <c:pt idx="129">
                  <c:v>0.60492845441856224</c:v>
                </c:pt>
                <c:pt idx="130">
                  <c:v>0.61291633958601266</c:v>
                </c:pt>
                <c:pt idx="131">
                  <c:v>0.62090742211548611</c:v>
                </c:pt>
                <c:pt idx="132">
                  <c:v>0.6289014950561107</c:v>
                </c:pt>
                <c:pt idx="133">
                  <c:v>0.63689836470121053</c:v>
                </c:pt>
                <c:pt idx="134">
                  <c:v>0.64489784975973707</c:v>
                </c:pt>
                <c:pt idx="135">
                  <c:v>0.65289978057712927</c:v>
                </c:pt>
                <c:pt idx="136">
                  <c:v>0.66090399840296177</c:v>
                </c:pt>
                <c:pt idx="137">
                  <c:v>0.66891035470284133</c:v>
                </c:pt>
                <c:pt idx="138">
                  <c:v>0.6769187105121135</c:v>
                </c:pt>
                <c:pt idx="139">
                  <c:v>0.68492893582904579</c:v>
                </c:pt>
                <c:pt idx="140">
                  <c:v>0.69294090904525552</c:v>
                </c:pt>
                <c:pt idx="141">
                  <c:v>0.70095451641125406</c:v>
                </c:pt>
                <c:pt idx="142">
                  <c:v>0.7089696515350804</c:v>
                </c:pt>
                <c:pt idx="143">
                  <c:v>0.71698621491209491</c:v>
                </c:pt>
                <c:pt idx="144">
                  <c:v>0.72500411348410265</c:v>
                </c:pt>
                <c:pt idx="145">
                  <c:v>0.73302326022606823</c:v>
                </c:pt>
                <c:pt idx="146">
                  <c:v>0.74104357375877505</c:v>
                </c:pt>
                <c:pt idx="147">
                  <c:v>0.74906497798587202</c:v>
                </c:pt>
                <c:pt idx="148">
                  <c:v>0.75708740175383182</c:v>
                </c:pt>
                <c:pt idx="149">
                  <c:v>0.7651107785334289</c:v>
                </c:pt>
                <c:pt idx="150">
                  <c:v>0.77313504612142225</c:v>
                </c:pt>
                <c:pt idx="151">
                  <c:v>0.78116014636120168</c:v>
                </c:pt>
                <c:pt idx="152">
                  <c:v>0.7891860248812278</c:v>
                </c:pt>
                <c:pt idx="153">
                  <c:v>0.79721263085016447</c:v>
                </c:pt>
                <c:pt idx="154">
                  <c:v>0.80523991674766415</c:v>
                </c:pt>
                <c:pt idx="155">
                  <c:v>0.81326783814983095</c:v>
                </c:pt>
                <c:pt idx="156">
                  <c:v>0.8212963535284411</c:v>
                </c:pt>
                <c:pt idx="157">
                  <c:v>0.82932542406305743</c:v>
                </c:pt>
                <c:pt idx="158">
                  <c:v>0.83735501346522567</c:v>
                </c:pt>
                <c:pt idx="159">
                  <c:v>0.84538508781398924</c:v>
                </c:pt>
                <c:pt idx="160">
                  <c:v>0.85341561540200628</c:v>
                </c:pt>
                <c:pt idx="161">
                  <c:v>0.86144656659159546</c:v>
                </c:pt>
                <c:pt idx="162">
                  <c:v>0.86947791368008054</c:v>
                </c:pt>
                <c:pt idx="163">
                  <c:v>0.87750963077383948</c:v>
                </c:pt>
                <c:pt idx="164">
                  <c:v>0.88554169367050339</c:v>
                </c:pt>
                <c:pt idx="165">
                  <c:v>0.89357407974878433</c:v>
                </c:pt>
                <c:pt idx="166">
                  <c:v>0.90160676786544258</c:v>
                </c:pt>
                <c:pt idx="167">
                  <c:v>0.90963973825893574</c:v>
                </c:pt>
                <c:pt idx="168">
                  <c:v>0.91767297245932078</c:v>
                </c:pt>
                <c:pt idx="169">
                  <c:v>0.92570645320400613</c:v>
                </c:pt>
                <c:pt idx="170">
                  <c:v>0.933740164358978</c:v>
                </c:pt>
                <c:pt idx="171">
                  <c:v>0.94177409084514674</c:v>
                </c:pt>
                <c:pt idx="172">
                  <c:v>0.94980821856948439</c:v>
                </c:pt>
                <c:pt idx="173">
                  <c:v>0.95784253436064226</c:v>
                </c:pt>
                <c:pt idx="174">
                  <c:v>0.96587702590876012</c:v>
                </c:pt>
                <c:pt idx="175">
                  <c:v>0.97391168170919495</c:v>
                </c:pt>
                <c:pt idx="176">
                  <c:v>0.98194649100991593</c:v>
                </c:pt>
                <c:pt idx="177">
                  <c:v>0.98998144376232744</c:v>
                </c:pt>
                <c:pt idx="178">
                  <c:v>0.99801653057529838</c:v>
                </c:pt>
                <c:pt idx="179">
                  <c:v>1.0060517426721891</c:v>
                </c:pt>
                <c:pt idx="180">
                  <c:v>1.0140870718506818</c:v>
                </c:pt>
                <c:pt idx="181">
                  <c:v>1.0221225104452318</c:v>
                </c:pt>
                <c:pt idx="182">
                  <c:v>1.0301580512919697</c:v>
                </c:pt>
                <c:pt idx="183">
                  <c:v>1.0381936876958944</c:v>
                </c:pt>
                <c:pt idx="184">
                  <c:v>1.0462294134002081</c:v>
                </c:pt>
                <c:pt idx="185">
                  <c:v>1.0542652225576554</c:v>
                </c:pt>
                <c:pt idx="186">
                  <c:v>1.0623011097037327</c:v>
                </c:pt>
                <c:pt idx="187">
                  <c:v>1.0703370697316488</c:v>
                </c:pt>
                <c:pt idx="188">
                  <c:v>1.0783730978689221</c:v>
                </c:pt>
                <c:pt idx="189">
                  <c:v>1.0864091896555064</c:v>
                </c:pt>
                <c:pt idx="190">
                  <c:v>1.094445340923347</c:v>
                </c:pt>
                <c:pt idx="191">
                  <c:v>1.1024815477772734</c:v>
                </c:pt>
                <c:pt idx="192">
                  <c:v>1.1105178065771406</c:v>
                </c:pt>
                <c:pt idx="193">
                  <c:v>1.1185541139211392</c:v>
                </c:pt>
                <c:pt idx="194">
                  <c:v>1.126590466630196</c:v>
                </c:pt>
                <c:pt idx="195">
                  <c:v>1.1346268617333948</c:v>
                </c:pt>
                <c:pt idx="196">
                  <c:v>1.1426632964543522</c:v>
                </c:pt>
                <c:pt idx="197">
                  <c:v>1.1506997681984825</c:v>
                </c:pt>
                <c:pt idx="198">
                  <c:v>1.1587362745410981</c:v>
                </c:pt>
                <c:pt idx="199">
                  <c:v>1.1667728132162862</c:v>
                </c:pt>
                <c:pt idx="200">
                  <c:v>1.1748093821065151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59-9542-A1BF-F7EEA593C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413087"/>
        <c:axId val="1463876895"/>
      </c:scatterChart>
      <c:valAx>
        <c:axId val="1464413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3876895"/>
        <c:crosses val="autoZero"/>
        <c:crossBetween val="midCat"/>
      </c:valAx>
      <c:valAx>
        <c:axId val="1463876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4130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BE: T(x)</a:t>
            </a:r>
            <a:r>
              <a:rPr lang="en-US" baseline="0"/>
              <a:t> vs. 0≤ x ≤ 2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'Problem 4a'!$C$1</c:f>
              <c:strCache>
                <c:ptCount val="1"/>
                <c:pt idx="0">
                  <c:v>T=y1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'Problem 4a'!$B$2:$B$42</c:f>
              <c:numCache>
                <c:formatCode>General</c:formatCode>
                <c:ptCount val="4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0.30000000000000004</c:v>
                </c:pt>
                <c:pt idx="7">
                  <c:v>0.35000000000000003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0.60000000000000009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</c:v>
                </c:pt>
                <c:pt idx="16">
                  <c:v>0.8</c:v>
                </c:pt>
                <c:pt idx="17">
                  <c:v>0.85000000000000009</c:v>
                </c:pt>
                <c:pt idx="18">
                  <c:v>0.9</c:v>
                </c:pt>
                <c:pt idx="19">
                  <c:v>0.95000000000000007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1.1500000000000001</c:v>
                </c:pt>
                <c:pt idx="24">
                  <c:v>1.2000000000000002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1.4000000000000001</c:v>
                </c:pt>
                <c:pt idx="29">
                  <c:v>1.4500000000000002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1.6500000000000001</c:v>
                </c:pt>
                <c:pt idx="34">
                  <c:v>1.7000000000000002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1.9000000000000001</c:v>
                </c:pt>
                <c:pt idx="39">
                  <c:v>1.9500000000000002</c:v>
                </c:pt>
                <c:pt idx="40">
                  <c:v>2</c:v>
                </c:pt>
              </c:numCache>
            </c:numRef>
          </c:xVal>
          <c:yVal>
            <c:numRef>
              <c:f>'Problem 4a'!$C$2:$C$42</c:f>
              <c:numCache>
                <c:formatCode>General</c:formatCode>
                <c:ptCount val="41"/>
                <c:pt idx="0">
                  <c:v>1</c:v>
                </c:pt>
                <c:pt idx="1">
                  <c:v>1.1683333174224342</c:v>
                </c:pt>
                <c:pt idx="2">
                  <c:v>1.3294351319484392</c:v>
                </c:pt>
                <c:pt idx="3">
                  <c:v>1.4840178549612086</c:v>
                </c:pt>
                <c:pt idx="4">
                  <c:v>1.6327460341021849</c:v>
                </c:pt>
                <c:pt idx="5">
                  <c:v>1.7762401097358189</c:v>
                </c:pt>
                <c:pt idx="6">
                  <c:v>1.9150798958054835</c:v>
                </c:pt>
                <c:pt idx="7">
                  <c:v>2.0498078058858447</c:v>
                </c:pt>
                <c:pt idx="8">
                  <c:v>2.1809318436854395</c:v>
                </c:pt>
                <c:pt idx="9">
                  <c:v>2.3089283758179535</c:v>
                </c:pt>
                <c:pt idx="10">
                  <c:v>2.4342447033330457</c:v>
                </c:pt>
                <c:pt idx="11">
                  <c:v>2.5573014472694893</c:v>
                </c:pt>
                <c:pt idx="12">
                  <c:v>2.6784947623574293</c:v>
                </c:pt>
                <c:pt idx="13">
                  <c:v>2.7981983919458147</c:v>
                </c:pt>
                <c:pt idx="14">
                  <c:v>2.9167655762591793</c:v>
                </c:pt>
                <c:pt idx="15">
                  <c:v>3.0345308251890244</c:v>
                </c:pt>
                <c:pt idx="16">
                  <c:v>3.1518115659936234</c:v>
                </c:pt>
                <c:pt idx="17">
                  <c:v>3.2689096755111255</c:v>
                </c:pt>
                <c:pt idx="18">
                  <c:v>3.3861129057796502</c:v>
                </c:pt>
                <c:pt idx="19">
                  <c:v>3.5036962113003889</c:v>
                </c:pt>
                <c:pt idx="20">
                  <c:v>3.6219229855715009</c:v>
                </c:pt>
                <c:pt idx="21">
                  <c:v>3.7410462139581746</c:v>
                </c:pt>
                <c:pt idx="22">
                  <c:v>3.8613095494441589</c:v>
                </c:pt>
                <c:pt idx="23">
                  <c:v>3.9829483173292139</c:v>
                </c:pt>
                <c:pt idx="24">
                  <c:v>4.1061904544923431</c:v>
                </c:pt>
                <c:pt idx="25">
                  <c:v>4.2312573884296798</c:v>
                </c:pt>
                <c:pt idx="26">
                  <c:v>4.3583648608959429</c:v>
                </c:pt>
                <c:pt idx="27">
                  <c:v>4.4877237006272104</c:v>
                </c:pt>
                <c:pt idx="28">
                  <c:v>4.6195405492981756</c:v>
                </c:pt>
                <c:pt idx="29">
                  <c:v>4.7540185445671117</c:v>
                </c:pt>
                <c:pt idx="30">
                  <c:v>4.8913579637846336</c:v>
                </c:pt>
                <c:pt idx="31">
                  <c:v>5.0317568316862884</c:v>
                </c:pt>
                <c:pt idx="32">
                  <c:v>5.1754114951525132</c:v>
                </c:pt>
                <c:pt idx="33">
                  <c:v>5.3225171679010632</c:v>
                </c:pt>
                <c:pt idx="34">
                  <c:v>5.4732684477753368</c:v>
                </c:pt>
                <c:pt idx="35">
                  <c:v>5.6278598091058498</c:v>
                </c:pt>
                <c:pt idx="36">
                  <c:v>5.7864860724502671</c:v>
                </c:pt>
                <c:pt idx="37">
                  <c:v>5.9493428538588997</c:v>
                </c:pt>
                <c:pt idx="38">
                  <c:v>6.1166269956663273</c:v>
                </c:pt>
                <c:pt idx="39">
                  <c:v>6.2885369806750084</c:v>
                </c:pt>
                <c:pt idx="40">
                  <c:v>6.4652733314724964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5F-564E-BE14-051808B41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32"/>
        <c:axId val="218308544"/>
      </c:scatterChart>
      <c:valAx>
        <c:axId val="218306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308544"/>
        <c:crosses val="autoZero"/>
        <c:crossBetween val="midCat"/>
      </c:valAx>
      <c:valAx>
        <c:axId val="21830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T(x)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30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FDM:</a:t>
            </a:r>
            <a:r>
              <a:rPr lang="en-US" baseline="0"/>
              <a:t> T(x) vs. 0≤ x≤ 2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'Problem 4b'!$B$14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'Problem 4b'!$A$15:$A$25</c:f>
              <c:numCache>
                <c:formatCode>General</c:formatCode>
                <c:ptCount val="1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</c:numCache>
            </c:numRef>
          </c:xVal>
          <c:yVal>
            <c:numRef>
              <c:f>'Problem 4b'!$B$15:$B$25</c:f>
              <c:numCache>
                <c:formatCode>General</c:formatCode>
                <c:ptCount val="11"/>
                <c:pt idx="0">
                  <c:v>1</c:v>
                </c:pt>
                <c:pt idx="1">
                  <c:v>1.6598235309124749</c:v>
                </c:pt>
                <c:pt idx="2">
                  <c:v>2.2236727300558625</c:v>
                </c:pt>
                <c:pt idx="3">
                  <c:v>2.7295010831752107</c:v>
                </c:pt>
                <c:pt idx="4">
                  <c:v>3.2062515932974121</c:v>
                </c:pt>
                <c:pt idx="5">
                  <c:v>3.6765475231536637</c:v>
                </c:pt>
                <c:pt idx="6">
                  <c:v>4.1586641029689124</c:v>
                </c:pt>
                <c:pt idx="7">
                  <c:v>4.6679836356529849</c:v>
                </c:pt>
                <c:pt idx="8">
                  <c:v>5.2180808400546068</c:v>
                </c:pt>
                <c:pt idx="9">
                  <c:v>5.8215451287488262</c:v>
                </c:pt>
                <c:pt idx="10">
                  <c:v>6.4906175514531466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AD-8744-AF45-55EC6E0ED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7404927"/>
        <c:axId val="1067406639"/>
      </c:scatterChart>
      <c:valAx>
        <c:axId val="10674049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406639"/>
        <c:crosses val="autoZero"/>
        <c:crossBetween val="midCat"/>
      </c:valAx>
      <c:valAx>
        <c:axId val="1067406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T(x)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4049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log10(r_exp)</a:t>
            </a:r>
            <a:r>
              <a:rPr lang="en-US" baseline="0"/>
              <a:t> vs. log10(r_pred)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'Problem 5'!$D$1</c:f>
              <c:strCache>
                <c:ptCount val="1"/>
                <c:pt idx="0">
                  <c:v>r_pred (formula)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0.13535104986876639"/>
                  <c:y val="-0.170483741615631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'Problem 5'!$C$2:$C$6</c:f>
              <c:numCache>
                <c:formatCode>0.00E+00</c:formatCode>
                <c:ptCount val="5"/>
                <c:pt idx="0">
                  <c:v>3.4E-5</c:v>
                </c:pt>
                <c:pt idx="1">
                  <c:v>3.6000000000000001E-5</c:v>
                </c:pt>
                <c:pt idx="2">
                  <c:v>3.6999999999999998E-5</c:v>
                </c:pt>
                <c:pt idx="3">
                  <c:v>3.8999999999999999E-5</c:v>
                </c:pt>
                <c:pt idx="4">
                  <c:v>4.0000000000000003E-5</c:v>
                </c:pt>
              </c:numCache>
            </c:numRef>
          </c:xVal>
          <c:yVal>
            <c:numRef>
              <c:f>'Problem 5'!$D$2:$D$6</c:f>
              <c:numCache>
                <c:formatCode>General</c:formatCode>
                <c:ptCount val="5"/>
                <c:pt idx="0">
                  <c:v>3.4083681078313822E-5</c:v>
                </c:pt>
                <c:pt idx="1">
                  <c:v>3.5616291230072114E-5</c:v>
                </c:pt>
                <c:pt idx="2">
                  <c:v>3.7204269312175965E-5</c:v>
                </c:pt>
                <c:pt idx="3">
                  <c:v>3.8802071214261937E-5</c:v>
                </c:pt>
                <c:pt idx="4">
                  <c:v>4.0318700969214588E-5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43-1443-A57A-B0F6AD7D6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98032"/>
        <c:axId val="759766736"/>
      </c:scatterChart>
      <c:valAx>
        <c:axId val="759698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766736"/>
        <c:crosses val="autoZero"/>
        <c:crossBetween val="midCat"/>
      </c:valAx>
      <c:valAx>
        <c:axId val="75976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98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5</xdr:row>
      <xdr:rowOff>165100</xdr:rowOff>
    </xdr:from>
    <xdr:ext cx="1297728" cy="44377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E77EC12-A792-8004-4042-51E49467E372}"/>
                </a:ext>
              </a:extLst>
            </xdr:cNvPr>
            <xdr:cNvSpPr txBox="1"/>
          </xdr:nvSpPr>
          <xdr:spPr>
            <a:xfrm>
              <a:off x="2514600" y="1181100"/>
              <a:ext cx="1297728" cy="4437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den>
                        </m:f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𝑐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E77EC12-A792-8004-4042-51E49467E372}"/>
                </a:ext>
              </a:extLst>
            </xdr:cNvPr>
            <xdr:cNvSpPr txBox="1"/>
          </xdr:nvSpPr>
          <xdr:spPr>
            <a:xfrm>
              <a:off x="2514600" y="1181100"/>
              <a:ext cx="1297728" cy="4437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(𝑎+𝑏/𝑥)=𝑑/((𝑥−𝑐))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4</xdr:col>
      <xdr:colOff>723900</xdr:colOff>
      <xdr:row>6</xdr:row>
      <xdr:rowOff>114300</xdr:rowOff>
    </xdr:from>
    <xdr:to>
      <xdr:col>6</xdr:col>
      <xdr:colOff>51308</xdr:colOff>
      <xdr:row>7</xdr:row>
      <xdr:rowOff>103632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C5D4A447-19E1-6915-4478-0C7552E7E5E1}"/>
            </a:ext>
          </a:extLst>
        </xdr:cNvPr>
        <xdr:cNvSpPr/>
      </xdr:nvSpPr>
      <xdr:spPr>
        <a:xfrm>
          <a:off x="4025900" y="1333500"/>
          <a:ext cx="978408" cy="192532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</xdr:col>
      <xdr:colOff>127000</xdr:colOff>
      <xdr:row>5</xdr:row>
      <xdr:rowOff>177800</xdr:rowOff>
    </xdr:from>
    <xdr:ext cx="1604606" cy="44377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F62D354-4DFB-9FC7-D8DA-E517E0127272}"/>
                </a:ext>
              </a:extLst>
            </xdr:cNvPr>
            <xdr:cNvSpPr txBox="1"/>
          </xdr:nvSpPr>
          <xdr:spPr>
            <a:xfrm>
              <a:off x="5080000" y="1193800"/>
              <a:ext cx="1604606" cy="4437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𝑐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F62D354-4DFB-9FC7-D8DA-E517E0127272}"/>
                </a:ext>
              </a:extLst>
            </xdr:cNvPr>
            <xdr:cNvSpPr txBox="1"/>
          </xdr:nvSpPr>
          <xdr:spPr>
            <a:xfrm>
              <a:off x="5080000" y="1193800"/>
              <a:ext cx="1604606" cy="4437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𝑓(𝑥)=𝑎+𝑏/𝑥−𝑑/((𝑥−𝑐))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2</xdr:col>
      <xdr:colOff>311150</xdr:colOff>
      <xdr:row>9</xdr:row>
      <xdr:rowOff>63500</xdr:rowOff>
    </xdr:from>
    <xdr:to>
      <xdr:col>7</xdr:col>
      <xdr:colOff>755650</xdr:colOff>
      <xdr:row>22</xdr:row>
      <xdr:rowOff>165100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B76FDC5-2F42-2E57-84A4-4E77079C68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88900</xdr:colOff>
      <xdr:row>9</xdr:row>
      <xdr:rowOff>76200</xdr:rowOff>
    </xdr:from>
    <xdr:ext cx="1604606" cy="44377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7D31701-EABD-1449-9F03-E89D02487B28}"/>
                </a:ext>
              </a:extLst>
            </xdr:cNvPr>
            <xdr:cNvSpPr txBox="1"/>
          </xdr:nvSpPr>
          <xdr:spPr>
            <a:xfrm>
              <a:off x="3390900" y="1905000"/>
              <a:ext cx="1604606" cy="4437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𝑐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7D31701-EABD-1449-9F03-E89D02487B28}"/>
                </a:ext>
              </a:extLst>
            </xdr:cNvPr>
            <xdr:cNvSpPr txBox="1"/>
          </xdr:nvSpPr>
          <xdr:spPr>
            <a:xfrm>
              <a:off x="3390900" y="1905000"/>
              <a:ext cx="1604606" cy="4437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𝑓(𝑥)=𝑎+𝑏/𝑥−𝑑/((𝑥−𝑐))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482600</xdr:colOff>
      <xdr:row>15</xdr:row>
      <xdr:rowOff>88900</xdr:rowOff>
    </xdr:from>
    <xdr:ext cx="1336263" cy="44480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80EAC06-6330-044B-AF31-A3E79DAB0B67}"/>
                </a:ext>
              </a:extLst>
            </xdr:cNvPr>
            <xdr:cNvSpPr txBox="1"/>
          </xdr:nvSpPr>
          <xdr:spPr>
            <a:xfrm>
              <a:off x="482600" y="3136900"/>
              <a:ext cx="1336263" cy="4448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_1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′(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80EAC06-6330-044B-AF31-A3E79DAB0B67}"/>
                </a:ext>
              </a:extLst>
            </xdr:cNvPr>
            <xdr:cNvSpPr txBox="1"/>
          </xdr:nvSpPr>
          <xdr:spPr>
            <a:xfrm>
              <a:off x="482600" y="3136900"/>
              <a:ext cx="1336263" cy="4448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𝑥_(𝑛_1)=𝑥_𝑛−(𝑓(𝑥_𝑛))/(𝑓′(𝑥_𝑛))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2</xdr:col>
      <xdr:colOff>203200</xdr:colOff>
      <xdr:row>16</xdr:row>
      <xdr:rowOff>38100</xdr:rowOff>
    </xdr:from>
    <xdr:to>
      <xdr:col>3</xdr:col>
      <xdr:colOff>356108</xdr:colOff>
      <xdr:row>17</xdr:row>
      <xdr:rowOff>25400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AB604C2A-A55F-344A-90B8-752841FF089C}"/>
            </a:ext>
          </a:extLst>
        </xdr:cNvPr>
        <xdr:cNvSpPr/>
      </xdr:nvSpPr>
      <xdr:spPr>
        <a:xfrm>
          <a:off x="1854200" y="3289300"/>
          <a:ext cx="978408" cy="1905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355600</xdr:colOff>
      <xdr:row>15</xdr:row>
      <xdr:rowOff>101600</xdr:rowOff>
    </xdr:from>
    <xdr:ext cx="1723164" cy="44377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27EA98BD-6C2B-6440-B2B3-62974C8734FA}"/>
                </a:ext>
              </a:extLst>
            </xdr:cNvPr>
            <xdr:cNvSpPr txBox="1"/>
          </xdr:nvSpPr>
          <xdr:spPr>
            <a:xfrm>
              <a:off x="2832100" y="3149600"/>
              <a:ext cx="1723164" cy="4437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=−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)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27EA98BD-6C2B-6440-B2B3-62974C8734FA}"/>
                </a:ext>
              </a:extLst>
            </xdr:cNvPr>
            <xdr:cNvSpPr txBox="1"/>
          </xdr:nvSpPr>
          <xdr:spPr>
            <a:xfrm>
              <a:off x="2832100" y="3149600"/>
              <a:ext cx="1723164" cy="4437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𝑓^′ (𝑥)=−𝑏/𝑥^2 +𝑑/〖(𝑥−𝑐)〗^2 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158750</xdr:colOff>
      <xdr:row>7</xdr:row>
      <xdr:rowOff>190500</xdr:rowOff>
    </xdr:from>
    <xdr:to>
      <xdr:col>18</xdr:col>
      <xdr:colOff>241300</xdr:colOff>
      <xdr:row>30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8025537-1A9A-AD4E-3403-423D6E770B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8</xdr:row>
      <xdr:rowOff>177800</xdr:rowOff>
    </xdr:from>
    <xdr:to>
      <xdr:col>14</xdr:col>
      <xdr:colOff>749300</xdr:colOff>
      <xdr:row>22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C1D4CF-D465-0883-5349-7DB191019A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762000</xdr:colOff>
      <xdr:row>1</xdr:row>
      <xdr:rowOff>88900</xdr:rowOff>
    </xdr:from>
    <xdr:ext cx="1411733" cy="44140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1FB1721-DF97-01D7-4919-67D9AA0F613A}"/>
                </a:ext>
              </a:extLst>
            </xdr:cNvPr>
            <xdr:cNvSpPr txBox="1"/>
          </xdr:nvSpPr>
          <xdr:spPr>
            <a:xfrm>
              <a:off x="2413000" y="292100"/>
              <a:ext cx="1411733" cy="4414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sub>
                    </m:sSub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den>
                    </m:f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1FB1721-DF97-01D7-4919-67D9AA0F613A}"/>
                </a:ext>
              </a:extLst>
            </xdr:cNvPr>
            <xdr:cNvSpPr txBox="1"/>
          </xdr:nvSpPr>
          <xdr:spPr>
            <a:xfrm>
              <a:off x="2413000" y="292100"/>
              <a:ext cx="1411733" cy="4414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𝑓_𝑦 (𝑦)=𝑏_1 𝑦−𝑏_1/𝑏_2  𝑦^2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5</xdr:col>
      <xdr:colOff>152400</xdr:colOff>
      <xdr:row>1</xdr:row>
      <xdr:rowOff>177800</xdr:rowOff>
    </xdr:from>
    <xdr:ext cx="924164" cy="26603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DD24CF4-8968-908D-09FC-DCF5E56D50DE}"/>
                </a:ext>
              </a:extLst>
            </xdr:cNvPr>
            <xdr:cNvSpPr txBox="1"/>
          </xdr:nvSpPr>
          <xdr:spPr>
            <a:xfrm>
              <a:off x="4279900" y="381000"/>
              <a:ext cx="924164" cy="2660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𝑧</m:t>
                        </m:r>
                      </m:sub>
                    </m:sSub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𝑦</m:t>
                    </m:r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DD24CF4-8968-908D-09FC-DCF5E56D50DE}"/>
                </a:ext>
              </a:extLst>
            </xdr:cNvPr>
            <xdr:cNvSpPr txBox="1"/>
          </xdr:nvSpPr>
          <xdr:spPr>
            <a:xfrm>
              <a:off x="4279900" y="381000"/>
              <a:ext cx="924164" cy="2660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𝑓_𝑧 (𝑦)=𝑏_3 𝑦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177800</xdr:rowOff>
    </xdr:from>
    <xdr:to>
      <xdr:col>10</xdr:col>
      <xdr:colOff>381000</xdr:colOff>
      <xdr:row>17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38F12B-EAF3-BE86-70C5-A8BA69E325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12</xdr:row>
      <xdr:rowOff>184150</xdr:rowOff>
    </xdr:from>
    <xdr:to>
      <xdr:col>9</xdr:col>
      <xdr:colOff>57150</xdr:colOff>
      <xdr:row>26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7FC456-96D3-431C-959F-3AA428278B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171450</xdr:colOff>
      <xdr:row>9</xdr:row>
      <xdr:rowOff>44450</xdr:rowOff>
    </xdr:from>
    <xdr:to>
      <xdr:col>7</xdr:col>
      <xdr:colOff>184150</xdr:colOff>
      <xdr:row>22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FF45E9-14FE-8A98-6A5D-94AA5DC608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622300</xdr:colOff>
      <xdr:row>0</xdr:row>
      <xdr:rowOff>152400</xdr:rowOff>
    </xdr:from>
    <xdr:ext cx="3306739" cy="55444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43A3526-BEBA-168A-4684-1E48F00091D7}"/>
                </a:ext>
              </a:extLst>
            </xdr:cNvPr>
            <xdr:cNvSpPr txBox="1"/>
          </xdr:nvSpPr>
          <xdr:spPr>
            <a:xfrm>
              <a:off x="6832600" y="152400"/>
              <a:ext cx="3306739" cy="5544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𝑆𝑆𝐸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[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𝑙𝑜𝑔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10</m:t>
                            </m:r>
                          </m:sub>
                        </m:sSub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𝑒𝑥𝑝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e>
                        </m:d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𝑙𝑜𝑔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10</m:t>
                            </m:r>
                          </m:sub>
                        </m:sSub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𝑝𝑟𝑒𝑑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e>
                        </m:d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]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nary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43A3526-BEBA-168A-4684-1E48F00091D7}"/>
                </a:ext>
              </a:extLst>
            </xdr:cNvPr>
            <xdr:cNvSpPr txBox="1"/>
          </xdr:nvSpPr>
          <xdr:spPr>
            <a:xfrm>
              <a:off x="6832600" y="152400"/>
              <a:ext cx="3306739" cy="5544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𝑆𝑆𝐸(𝑘_𝐴,𝑘_𝐵 )=∑24_(𝑖=1)^𝑛▒〖[〖𝑙𝑜𝑔〗_10 (𝑟_(𝑒𝑥𝑝,𝑖) )−〖𝑙𝑜𝑔〗_10 (𝑟_(𝑝𝑟𝑒𝑑,𝑖) ) ]^2 〗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25400</xdr:colOff>
      <xdr:row>4</xdr:row>
      <xdr:rowOff>165100</xdr:rowOff>
    </xdr:from>
    <xdr:ext cx="2478948" cy="27808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2E1E42D1-D22B-51EC-B996-E8BF5D255FE8}"/>
                </a:ext>
              </a:extLst>
            </xdr:cNvPr>
            <xdr:cNvSpPr txBox="1"/>
          </xdr:nvSpPr>
          <xdr:spPr>
            <a:xfrm>
              <a:off x="7061200" y="977900"/>
              <a:ext cx="2478948" cy="2780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𝑝𝑟𝑒𝑑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𝐴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/(1+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𝐴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𝐵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2E1E42D1-D22B-51EC-B996-E8BF5D255FE8}"/>
                </a:ext>
              </a:extLst>
            </xdr:cNvPr>
            <xdr:cNvSpPr txBox="1"/>
          </xdr:nvSpPr>
          <xdr:spPr>
            <a:xfrm>
              <a:off x="7061200" y="977900"/>
              <a:ext cx="2478948" cy="2780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𝑟_(𝑝𝑟𝑒𝑑,𝑖)=𝑘_1 𝑃_(𝐴,𝑖)/(1+𝑘_𝐴 𝑃_(𝐴,𝑖)+𝑘_𝐵 𝑃_(𝐵,𝑖) )^2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03A5C-CC71-8B47-87AE-4A71866D9640}">
  <sheetPr codeName="Sheet1"/>
  <dimension ref="A1:H192"/>
  <sheetViews>
    <sheetView tabSelected="1" workbookViewId="0">
      <selection activeCell="H2" sqref="H2"/>
    </sheetView>
  </sheetViews>
  <sheetFormatPr baseColWidth="10" defaultRowHeight="16" x14ac:dyDescent="0.2"/>
  <cols>
    <col min="7" max="7" width="15" bestFit="1" customWidth="1"/>
  </cols>
  <sheetData>
    <row r="1" spans="1:8" x14ac:dyDescent="0.2">
      <c r="A1" t="s">
        <v>4</v>
      </c>
      <c r="B1" t="s">
        <v>6</v>
      </c>
      <c r="D1" t="s">
        <v>0</v>
      </c>
      <c r="E1">
        <v>10</v>
      </c>
      <c r="G1" t="s">
        <v>7</v>
      </c>
      <c r="H1">
        <v>3.95</v>
      </c>
    </row>
    <row r="2" spans="1:8" x14ac:dyDescent="0.2">
      <c r="A2">
        <v>1</v>
      </c>
      <c r="B2">
        <f>$E$1+$E$2/A2-$E$4/(A2-$E$3)</f>
        <v>-30.374266112266113</v>
      </c>
      <c r="D2" t="s">
        <v>1</v>
      </c>
      <c r="E2">
        <v>4.2380000000000004</v>
      </c>
    </row>
    <row r="3" spans="1:8" x14ac:dyDescent="0.2">
      <c r="A3">
        <f>A2+0.1</f>
        <v>1.1000000000000001</v>
      </c>
      <c r="B3">
        <f>$E$1+$E$2/A3-$E$4/(A3-$E$3)</f>
        <v>-26.558760486218112</v>
      </c>
      <c r="D3" t="s">
        <v>3</v>
      </c>
      <c r="E3">
        <v>3.7999999999999999E-2</v>
      </c>
    </row>
    <row r="4" spans="1:8" x14ac:dyDescent="0.2">
      <c r="A4">
        <f t="shared" ref="A4:A67" si="0">A3+0.1</f>
        <v>1.2000000000000002</v>
      </c>
      <c r="B4">
        <f>$E$1+$E$2/A4-$E$4/(A4-$E$3)</f>
        <v>-23.402068273092368</v>
      </c>
      <c r="D4" t="s">
        <v>2</v>
      </c>
      <c r="E4">
        <v>42.917000000000002</v>
      </c>
    </row>
    <row r="5" spans="1:8" x14ac:dyDescent="0.2">
      <c r="A5">
        <f t="shared" si="0"/>
        <v>1.3000000000000003</v>
      </c>
      <c r="B5">
        <f t="shared" ref="B3:B66" si="1">$E$1+$E$2/A5-$E$4/(A5-$E$3)</f>
        <v>-20.747131537242467</v>
      </c>
      <c r="D5" t="s">
        <v>5</v>
      </c>
      <c r="E5">
        <v>1</v>
      </c>
    </row>
    <row r="6" spans="1:8" x14ac:dyDescent="0.2">
      <c r="A6">
        <f t="shared" si="0"/>
        <v>1.4000000000000004</v>
      </c>
      <c r="B6">
        <f t="shared" si="1"/>
        <v>-18.483136144325567</v>
      </c>
    </row>
    <row r="7" spans="1:8" x14ac:dyDescent="0.2">
      <c r="A7">
        <f t="shared" si="0"/>
        <v>1.5000000000000004</v>
      </c>
      <c r="B7">
        <f t="shared" si="1"/>
        <v>-16.529659826721378</v>
      </c>
    </row>
    <row r="8" spans="1:8" x14ac:dyDescent="0.2">
      <c r="A8">
        <f t="shared" si="0"/>
        <v>1.6000000000000005</v>
      </c>
      <c r="B8">
        <f t="shared" si="1"/>
        <v>-14.826922215108826</v>
      </c>
    </row>
    <row r="9" spans="1:8" x14ac:dyDescent="0.2">
      <c r="A9">
        <f t="shared" si="0"/>
        <v>1.7000000000000006</v>
      </c>
      <c r="B9">
        <f t="shared" si="1"/>
        <v>-13.32956183195299</v>
      </c>
    </row>
    <row r="10" spans="1:8" x14ac:dyDescent="0.2">
      <c r="A10">
        <f t="shared" si="0"/>
        <v>1.8000000000000007</v>
      </c>
      <c r="B10">
        <f t="shared" si="1"/>
        <v>-12.002536259301291</v>
      </c>
    </row>
    <row r="11" spans="1:8" x14ac:dyDescent="0.2">
      <c r="A11">
        <f t="shared" si="0"/>
        <v>1.9000000000000008</v>
      </c>
      <c r="B11">
        <f t="shared" si="1"/>
        <v>-10.818345864661648</v>
      </c>
    </row>
    <row r="12" spans="1:8" x14ac:dyDescent="0.2">
      <c r="A12">
        <f t="shared" si="0"/>
        <v>2.0000000000000009</v>
      </c>
      <c r="B12">
        <f t="shared" si="1"/>
        <v>-9.7551080530071275</v>
      </c>
    </row>
    <row r="13" spans="1:8" x14ac:dyDescent="0.2">
      <c r="A13">
        <f t="shared" si="0"/>
        <v>2.100000000000001</v>
      </c>
      <c r="B13">
        <f t="shared" si="1"/>
        <v>-8.7951928317398611</v>
      </c>
    </row>
    <row r="14" spans="1:8" x14ac:dyDescent="0.2">
      <c r="A14">
        <f t="shared" si="0"/>
        <v>2.2000000000000011</v>
      </c>
      <c r="B14">
        <f t="shared" si="1"/>
        <v>-7.9242376587334853</v>
      </c>
    </row>
    <row r="15" spans="1:8" x14ac:dyDescent="0.2">
      <c r="A15">
        <f t="shared" si="0"/>
        <v>2.3000000000000012</v>
      </c>
      <c r="B15">
        <f t="shared" si="1"/>
        <v>-7.1304240187598413</v>
      </c>
    </row>
    <row r="16" spans="1:8" x14ac:dyDescent="0.2">
      <c r="A16">
        <f t="shared" si="0"/>
        <v>2.4000000000000012</v>
      </c>
      <c r="B16">
        <f t="shared" si="1"/>
        <v>-6.4039380468529394</v>
      </c>
    </row>
    <row r="17" spans="1:2" x14ac:dyDescent="0.2">
      <c r="A17">
        <f t="shared" si="0"/>
        <v>2.5000000000000013</v>
      </c>
      <c r="B17">
        <f t="shared" si="1"/>
        <v>-5.7365627944760256</v>
      </c>
    </row>
    <row r="18" spans="1:2" x14ac:dyDescent="0.2">
      <c r="A18">
        <f t="shared" si="0"/>
        <v>2.6000000000000014</v>
      </c>
      <c r="B18">
        <f t="shared" si="1"/>
        <v>-5.1213661202185712</v>
      </c>
    </row>
    <row r="19" spans="1:2" x14ac:dyDescent="0.2">
      <c r="A19">
        <f t="shared" si="0"/>
        <v>2.7000000000000015</v>
      </c>
      <c r="B19">
        <f t="shared" si="1"/>
        <v>-4.5524590255168658</v>
      </c>
    </row>
    <row r="20" spans="1:2" x14ac:dyDescent="0.2">
      <c r="A20">
        <f t="shared" si="0"/>
        <v>2.8000000000000016</v>
      </c>
      <c r="B20">
        <f t="shared" si="1"/>
        <v>-4.0248065583945287</v>
      </c>
    </row>
    <row r="21" spans="1:2" x14ac:dyDescent="0.2">
      <c r="A21">
        <f t="shared" si="0"/>
        <v>2.9000000000000017</v>
      </c>
      <c r="B21">
        <f t="shared" si="1"/>
        <v>-3.5340784115279806</v>
      </c>
    </row>
    <row r="22" spans="1:2" x14ac:dyDescent="0.2">
      <c r="A22">
        <f t="shared" si="0"/>
        <v>3.0000000000000018</v>
      </c>
      <c r="B22">
        <f t="shared" si="1"/>
        <v>-3.0765298221922031</v>
      </c>
    </row>
    <row r="23" spans="1:2" x14ac:dyDescent="0.2">
      <c r="A23">
        <f t="shared" si="0"/>
        <v>3.1000000000000019</v>
      </c>
      <c r="B23">
        <f t="shared" si="1"/>
        <v>-2.6489058384778996</v>
      </c>
    </row>
    <row r="24" spans="1:2" x14ac:dyDescent="0.2">
      <c r="A24">
        <f t="shared" si="0"/>
        <v>3.200000000000002</v>
      </c>
      <c r="B24">
        <f t="shared" si="1"/>
        <v>-2.2483637729285171</v>
      </c>
    </row>
    <row r="25" spans="1:2" x14ac:dyDescent="0.2">
      <c r="A25">
        <f t="shared" si="0"/>
        <v>3.300000000000002</v>
      </c>
      <c r="B25">
        <f t="shared" si="1"/>
        <v>-1.8724099362725894</v>
      </c>
    </row>
    <row r="26" spans="1:2" x14ac:dyDescent="0.2">
      <c r="A26">
        <f t="shared" si="0"/>
        <v>3.4000000000000021</v>
      </c>
      <c r="B26">
        <f t="shared" si="1"/>
        <v>-1.5188476747034247</v>
      </c>
    </row>
    <row r="27" spans="1:2" x14ac:dyDescent="0.2">
      <c r="A27">
        <f t="shared" si="0"/>
        <v>3.5000000000000022</v>
      </c>
      <c r="B27">
        <f t="shared" si="1"/>
        <v>-1.1857344227118851</v>
      </c>
    </row>
    <row r="28" spans="1:2" x14ac:dyDescent="0.2">
      <c r="A28">
        <f t="shared" si="0"/>
        <v>3.6000000000000023</v>
      </c>
      <c r="B28">
        <f t="shared" si="1"/>
        <v>-0.87134599787883715</v>
      </c>
    </row>
    <row r="29" spans="1:2" x14ac:dyDescent="0.2">
      <c r="A29">
        <f t="shared" si="0"/>
        <v>3.7000000000000024</v>
      </c>
      <c r="B29">
        <f t="shared" si="1"/>
        <v>-0.57414675188568509</v>
      </c>
    </row>
    <row r="30" spans="1:2" x14ac:dyDescent="0.2">
      <c r="A30">
        <f t="shared" si="0"/>
        <v>3.8000000000000025</v>
      </c>
      <c r="B30">
        <f t="shared" si="1"/>
        <v>-0.29276448697500612</v>
      </c>
    </row>
    <row r="31" spans="1:2" x14ac:dyDescent="0.2">
      <c r="A31" s="4">
        <f t="shared" si="0"/>
        <v>3.9000000000000026</v>
      </c>
      <c r="B31" s="4">
        <f t="shared" si="1"/>
        <v>-2.5969273260825432E-2</v>
      </c>
    </row>
    <row r="32" spans="1:2" x14ac:dyDescent="0.2">
      <c r="A32" s="4">
        <f t="shared" si="0"/>
        <v>4.0000000000000027</v>
      </c>
      <c r="B32" s="4">
        <f t="shared" si="1"/>
        <v>0.22734452296820429</v>
      </c>
    </row>
    <row r="33" spans="1:2" x14ac:dyDescent="0.2">
      <c r="A33">
        <f t="shared" si="0"/>
        <v>4.1000000000000023</v>
      </c>
      <c r="B33">
        <f t="shared" si="1"/>
        <v>0.46817355381826076</v>
      </c>
    </row>
    <row r="34" spans="1:2" x14ac:dyDescent="0.2">
      <c r="A34">
        <f t="shared" si="0"/>
        <v>4.200000000000002</v>
      </c>
      <c r="B34">
        <f t="shared" si="1"/>
        <v>0.6974185945401743</v>
      </c>
    </row>
    <row r="35" spans="1:2" x14ac:dyDescent="0.2">
      <c r="A35">
        <f t="shared" si="0"/>
        <v>4.3000000000000016</v>
      </c>
      <c r="B35">
        <f t="shared" si="1"/>
        <v>0.91589580173081941</v>
      </c>
    </row>
    <row r="36" spans="1:2" x14ac:dyDescent="0.2">
      <c r="A36">
        <f t="shared" si="0"/>
        <v>4.4000000000000012</v>
      </c>
      <c r="B36">
        <f t="shared" si="1"/>
        <v>1.1243464215747583</v>
      </c>
    </row>
    <row r="37" spans="1:2" x14ac:dyDescent="0.2">
      <c r="A37">
        <f t="shared" si="0"/>
        <v>4.5000000000000009</v>
      </c>
      <c r="B37">
        <f t="shared" si="1"/>
        <v>1.323445191493601</v>
      </c>
    </row>
    <row r="38" spans="1:2" x14ac:dyDescent="0.2">
      <c r="A38">
        <f t="shared" si="0"/>
        <v>4.6000000000000005</v>
      </c>
      <c r="B38">
        <f t="shared" si="1"/>
        <v>1.5138076358576527</v>
      </c>
    </row>
    <row r="39" spans="1:2" x14ac:dyDescent="0.2">
      <c r="A39">
        <f t="shared" si="0"/>
        <v>4.7</v>
      </c>
      <c r="B39">
        <f t="shared" si="1"/>
        <v>1.6959964219538683</v>
      </c>
    </row>
    <row r="40" spans="1:2" x14ac:dyDescent="0.2">
      <c r="A40">
        <f t="shared" si="0"/>
        <v>4.8</v>
      </c>
      <c r="B40">
        <f t="shared" si="1"/>
        <v>1.8705269144617098</v>
      </c>
    </row>
    <row r="41" spans="1:2" x14ac:dyDescent="0.2">
      <c r="A41">
        <f t="shared" si="0"/>
        <v>4.8999999999999995</v>
      </c>
      <c r="B41">
        <f t="shared" si="1"/>
        <v>2.0378720439224622</v>
      </c>
    </row>
    <row r="42" spans="1:2" x14ac:dyDescent="0.2">
      <c r="A42">
        <f t="shared" si="0"/>
        <v>4.9999999999999991</v>
      </c>
      <c r="B42">
        <f t="shared" si="1"/>
        <v>2.1984665860540087</v>
      </c>
    </row>
    <row r="43" spans="1:2" x14ac:dyDescent="0.2">
      <c r="A43">
        <f t="shared" si="0"/>
        <v>5.0999999999999988</v>
      </c>
      <c r="B43">
        <f t="shared" si="1"/>
        <v>2.3527109334448895</v>
      </c>
    </row>
    <row r="44" spans="1:2" x14ac:dyDescent="0.2">
      <c r="A44">
        <f t="shared" si="0"/>
        <v>5.1999999999999984</v>
      </c>
      <c r="B44">
        <f t="shared" si="1"/>
        <v>2.5009744285160753</v>
      </c>
    </row>
    <row r="45" spans="1:2" x14ac:dyDescent="0.2">
      <c r="A45">
        <f t="shared" si="0"/>
        <v>5.299999999999998</v>
      </c>
      <c r="B45">
        <f t="shared" si="1"/>
        <v>2.6435983161578527</v>
      </c>
    </row>
    <row r="46" spans="1:2" x14ac:dyDescent="0.2">
      <c r="A46">
        <f t="shared" si="0"/>
        <v>5.3999999999999977</v>
      </c>
      <c r="B46">
        <f t="shared" si="1"/>
        <v>2.7808983657286497</v>
      </c>
    </row>
    <row r="47" spans="1:2" x14ac:dyDescent="0.2">
      <c r="A47">
        <f t="shared" si="0"/>
        <v>5.4999999999999973</v>
      </c>
      <c r="B47">
        <f t="shared" si="1"/>
        <v>2.9131672048200761</v>
      </c>
    </row>
    <row r="48" spans="1:2" x14ac:dyDescent="0.2">
      <c r="A48">
        <f t="shared" si="0"/>
        <v>5.599999999999997</v>
      </c>
      <c r="B48">
        <f t="shared" si="1"/>
        <v>3.0406764010890175</v>
      </c>
    </row>
    <row r="49" spans="1:2" x14ac:dyDescent="0.2">
      <c r="A49">
        <f t="shared" si="0"/>
        <v>5.6999999999999966</v>
      </c>
      <c r="B49">
        <f t="shared" si="1"/>
        <v>3.1636783233250867</v>
      </c>
    </row>
    <row r="50" spans="1:2" x14ac:dyDescent="0.2">
      <c r="A50">
        <f t="shared" si="0"/>
        <v>5.7999999999999963</v>
      </c>
      <c r="B50">
        <f t="shared" si="1"/>
        <v>3.2824078085913602</v>
      </c>
    </row>
    <row r="51" spans="1:2" x14ac:dyDescent="0.2">
      <c r="A51">
        <f t="shared" si="0"/>
        <v>5.8999999999999959</v>
      </c>
      <c r="B51">
        <f t="shared" si="1"/>
        <v>3.3970836586113329</v>
      </c>
    </row>
    <row r="52" spans="1:2" x14ac:dyDescent="0.2">
      <c r="A52">
        <f t="shared" si="0"/>
        <v>5.9999999999999956</v>
      </c>
      <c r="B52">
        <f t="shared" si="1"/>
        <v>3.5079099854634848</v>
      </c>
    </row>
    <row r="53" spans="1:2" x14ac:dyDescent="0.2">
      <c r="A53">
        <f t="shared" si="0"/>
        <v>6.0999999999999952</v>
      </c>
      <c r="B53">
        <f t="shared" si="1"/>
        <v>3.6150774239957535</v>
      </c>
    </row>
    <row r="54" spans="1:2" x14ac:dyDescent="0.2">
      <c r="A54">
        <f t="shared" si="0"/>
        <v>6.1999999999999948</v>
      </c>
      <c r="B54">
        <f t="shared" si="1"/>
        <v>3.7187642261100748</v>
      </c>
    </row>
    <row r="55" spans="1:2" x14ac:dyDescent="0.2">
      <c r="A55">
        <f t="shared" si="0"/>
        <v>6.2999999999999945</v>
      </c>
      <c r="B55">
        <f t="shared" si="1"/>
        <v>3.8191372501305363</v>
      </c>
    </row>
    <row r="56" spans="1:2" x14ac:dyDescent="0.2">
      <c r="A56">
        <f t="shared" si="0"/>
        <v>6.3999999999999941</v>
      </c>
      <c r="B56">
        <f t="shared" si="1"/>
        <v>3.9163528568060286</v>
      </c>
    </row>
    <row r="57" spans="1:2" x14ac:dyDescent="0.2">
      <c r="A57">
        <f t="shared" si="0"/>
        <v>6.4999999999999938</v>
      </c>
      <c r="B57">
        <f t="shared" si="1"/>
        <v>4.0105577220674657</v>
      </c>
    </row>
    <row r="58" spans="1:2" x14ac:dyDescent="0.2">
      <c r="A58">
        <f t="shared" si="0"/>
        <v>6.5999999999999934</v>
      </c>
      <c r="B58">
        <f t="shared" si="1"/>
        <v>4.1018895754250764</v>
      </c>
    </row>
    <row r="59" spans="1:2" x14ac:dyDescent="0.2">
      <c r="A59">
        <f t="shared" si="0"/>
        <v>6.6999999999999931</v>
      </c>
      <c r="B59">
        <f t="shared" si="1"/>
        <v>4.1904778718237026</v>
      </c>
    </row>
    <row r="60" spans="1:2" x14ac:dyDescent="0.2">
      <c r="A60">
        <f t="shared" si="0"/>
        <v>6.7999999999999927</v>
      </c>
      <c r="B60">
        <f t="shared" si="1"/>
        <v>4.2764444038484903</v>
      </c>
    </row>
    <row r="61" spans="1:2" x14ac:dyDescent="0.2">
      <c r="A61">
        <f t="shared" si="0"/>
        <v>6.8999999999999924</v>
      </c>
      <c r="B61">
        <f t="shared" si="1"/>
        <v>4.35990386036943</v>
      </c>
    </row>
    <row r="62" spans="1:2" x14ac:dyDescent="0.2">
      <c r="A62">
        <f t="shared" si="0"/>
        <v>6.999999999999992</v>
      </c>
      <c r="B62">
        <f t="shared" si="1"/>
        <v>4.4409643370131668</v>
      </c>
    </row>
    <row r="63" spans="1:2" x14ac:dyDescent="0.2">
      <c r="A63">
        <f t="shared" si="0"/>
        <v>7.0999999999999917</v>
      </c>
      <c r="B63">
        <f t="shared" si="1"/>
        <v>4.519727803239709</v>
      </c>
    </row>
    <row r="64" spans="1:2" x14ac:dyDescent="0.2">
      <c r="A64">
        <f t="shared" si="0"/>
        <v>7.1999999999999913</v>
      </c>
      <c r="B64">
        <f t="shared" si="1"/>
        <v>4.5962905302677637</v>
      </c>
    </row>
    <row r="65" spans="1:2" x14ac:dyDescent="0.2">
      <c r="A65">
        <f t="shared" si="0"/>
        <v>7.2999999999999909</v>
      </c>
      <c r="B65">
        <f t="shared" si="1"/>
        <v>4.6707434836246415</v>
      </c>
    </row>
    <row r="66" spans="1:2" x14ac:dyDescent="0.2">
      <c r="A66">
        <f t="shared" si="0"/>
        <v>7.3999999999999906</v>
      </c>
      <c r="B66">
        <f t="shared" si="1"/>
        <v>4.7431726836861232</v>
      </c>
    </row>
    <row r="67" spans="1:2" x14ac:dyDescent="0.2">
      <c r="A67">
        <f t="shared" si="0"/>
        <v>7.4999999999999902</v>
      </c>
      <c r="B67">
        <f t="shared" ref="B67:B130" si="2">$E$1+$E$2/A67-$E$4/(A67-$E$3)</f>
        <v>4.8136595372107491</v>
      </c>
    </row>
    <row r="68" spans="1:2" x14ac:dyDescent="0.2">
      <c r="A68">
        <f t="shared" ref="A68:A131" si="3">A67+0.1</f>
        <v>7.5999999999999899</v>
      </c>
      <c r="B68">
        <f t="shared" si="2"/>
        <v>4.8822811425548718</v>
      </c>
    </row>
    <row r="69" spans="1:2" x14ac:dyDescent="0.2">
      <c r="A69">
        <f t="shared" si="3"/>
        <v>7.6999999999999895</v>
      </c>
      <c r="B69">
        <f t="shared" si="2"/>
        <v>4.9491105709743071</v>
      </c>
    </row>
    <row r="70" spans="1:2" x14ac:dyDescent="0.2">
      <c r="A70">
        <f t="shared" si="3"/>
        <v>7.7999999999999892</v>
      </c>
      <c r="B70">
        <f t="shared" si="2"/>
        <v>5.014217126170224</v>
      </c>
    </row>
    <row r="71" spans="1:2" x14ac:dyDescent="0.2">
      <c r="A71">
        <f t="shared" si="3"/>
        <v>7.8999999999999888</v>
      </c>
      <c r="B71">
        <f t="shared" si="2"/>
        <v>5.0776665840173294</v>
      </c>
    </row>
    <row r="72" spans="1:2" x14ac:dyDescent="0.2">
      <c r="A72">
        <f t="shared" si="3"/>
        <v>7.9999999999999885</v>
      </c>
      <c r="B72">
        <f t="shared" si="2"/>
        <v>5.1395214142175254</v>
      </c>
    </row>
    <row r="73" spans="1:2" x14ac:dyDescent="0.2">
      <c r="A73">
        <f t="shared" si="3"/>
        <v>8.099999999999989</v>
      </c>
      <c r="B73">
        <f t="shared" si="2"/>
        <v>5.1998409854491818</v>
      </c>
    </row>
    <row r="74" spans="1:2" x14ac:dyDescent="0.2">
      <c r="A74">
        <f t="shared" si="3"/>
        <v>8.1999999999999886</v>
      </c>
      <c r="B74">
        <f t="shared" si="2"/>
        <v>5.2586817554281815</v>
      </c>
    </row>
    <row r="75" spans="1:2" x14ac:dyDescent="0.2">
      <c r="A75">
        <f t="shared" si="3"/>
        <v>8.2999999999999883</v>
      </c>
      <c r="B75">
        <f t="shared" si="2"/>
        <v>5.316097447159728</v>
      </c>
    </row>
    <row r="76" spans="1:2" x14ac:dyDescent="0.2">
      <c r="A76">
        <f t="shared" si="3"/>
        <v>8.3999999999999879</v>
      </c>
      <c r="B76">
        <f t="shared" si="2"/>
        <v>5.3721392125374354</v>
      </c>
    </row>
    <row r="77" spans="1:2" x14ac:dyDescent="0.2">
      <c r="A77">
        <f t="shared" si="3"/>
        <v>8.4999999999999876</v>
      </c>
      <c r="B77">
        <f t="shared" si="2"/>
        <v>5.4268557843368903</v>
      </c>
    </row>
    <row r="78" spans="1:2" x14ac:dyDescent="0.2">
      <c r="A78">
        <f t="shared" si="3"/>
        <v>8.5999999999999872</v>
      </c>
      <c r="B78">
        <f t="shared" si="2"/>
        <v>5.4802936175529444</v>
      </c>
    </row>
    <row r="79" spans="1:2" x14ac:dyDescent="0.2">
      <c r="A79">
        <f t="shared" si="3"/>
        <v>8.6999999999999869</v>
      </c>
      <c r="B79">
        <f t="shared" si="2"/>
        <v>5.5324970209423041</v>
      </c>
    </row>
    <row r="80" spans="1:2" x14ac:dyDescent="0.2">
      <c r="A80">
        <f t="shared" si="3"/>
        <v>8.7999999999999865</v>
      </c>
      <c r="B80">
        <f t="shared" si="2"/>
        <v>5.5835082795542661</v>
      </c>
    </row>
    <row r="81" spans="1:2" x14ac:dyDescent="0.2">
      <c r="A81">
        <f t="shared" si="3"/>
        <v>8.8999999999999861</v>
      </c>
      <c r="B81">
        <f t="shared" si="2"/>
        <v>5.6333677689617758</v>
      </c>
    </row>
    <row r="82" spans="1:2" x14ac:dyDescent="0.2">
      <c r="A82">
        <f t="shared" si="3"/>
        <v>8.9999999999999858</v>
      </c>
      <c r="B82">
        <f t="shared" si="2"/>
        <v>5.6821140618413484</v>
      </c>
    </row>
    <row r="83" spans="1:2" x14ac:dyDescent="0.2">
      <c r="A83">
        <f t="shared" si="3"/>
        <v>9.0999999999999854</v>
      </c>
      <c r="B83">
        <f t="shared" si="2"/>
        <v>5.7297840274931353</v>
      </c>
    </row>
    <row r="84" spans="1:2" x14ac:dyDescent="0.2">
      <c r="A84">
        <f t="shared" si="3"/>
        <v>9.1999999999999851</v>
      </c>
      <c r="B84">
        <f t="shared" si="2"/>
        <v>5.7764129248407805</v>
      </c>
    </row>
    <row r="85" spans="1:2" x14ac:dyDescent="0.2">
      <c r="A85">
        <f t="shared" si="3"/>
        <v>9.2999999999999847</v>
      </c>
      <c r="B85">
        <f t="shared" si="2"/>
        <v>5.8220344894040332</v>
      </c>
    </row>
    <row r="86" spans="1:2" x14ac:dyDescent="0.2">
      <c r="A86">
        <f t="shared" si="3"/>
        <v>9.3999999999999844</v>
      </c>
      <c r="B86">
        <f t="shared" si="2"/>
        <v>5.8666810146949793</v>
      </c>
    </row>
    <row r="87" spans="1:2" x14ac:dyDescent="0.2">
      <c r="A87">
        <f t="shared" si="3"/>
        <v>9.499999999999984</v>
      </c>
      <c r="B87">
        <f t="shared" si="2"/>
        <v>5.9103834284506371</v>
      </c>
    </row>
    <row r="88" spans="1:2" x14ac:dyDescent="0.2">
      <c r="A88">
        <f t="shared" si="3"/>
        <v>9.5999999999999837</v>
      </c>
      <c r="B88">
        <f t="shared" si="2"/>
        <v>5.9531713640800312</v>
      </c>
    </row>
    <row r="89" spans="1:2" x14ac:dyDescent="0.2">
      <c r="A89">
        <f t="shared" si="3"/>
        <v>9.6999999999999833</v>
      </c>
      <c r="B89">
        <f t="shared" si="2"/>
        <v>5.9950732276726484</v>
      </c>
    </row>
    <row r="90" spans="1:2" x14ac:dyDescent="0.2">
      <c r="A90">
        <f t="shared" si="3"/>
        <v>9.7999999999999829</v>
      </c>
      <c r="B90">
        <f t="shared" si="2"/>
        <v>6.0361162608866463</v>
      </c>
    </row>
    <row r="91" spans="1:2" x14ac:dyDescent="0.2">
      <c r="A91">
        <f t="shared" si="3"/>
        <v>9.8999999999999826</v>
      </c>
      <c r="B91">
        <f t="shared" si="2"/>
        <v>6.0763266000094163</v>
      </c>
    </row>
    <row r="92" spans="1:2" x14ac:dyDescent="0.2">
      <c r="A92">
        <f t="shared" si="3"/>
        <v>9.9999999999999822</v>
      </c>
      <c r="B92">
        <f t="shared" si="2"/>
        <v>6.115729331459538</v>
      </c>
    </row>
    <row r="93" spans="1:2" x14ac:dyDescent="0.2">
      <c r="A93">
        <f t="shared" si="3"/>
        <v>10.099999999999982</v>
      </c>
      <c r="B93">
        <f t="shared" si="2"/>
        <v>6.1543485439778252</v>
      </c>
    </row>
    <row r="94" spans="1:2" x14ac:dyDescent="0.2">
      <c r="A94">
        <f t="shared" si="3"/>
        <v>10.199999999999982</v>
      </c>
      <c r="B94">
        <f t="shared" si="2"/>
        <v>6.1922073777355777</v>
      </c>
    </row>
    <row r="95" spans="1:2" x14ac:dyDescent="0.2">
      <c r="A95">
        <f t="shared" si="3"/>
        <v>10.299999999999981</v>
      </c>
      <c r="B95">
        <f t="shared" si="2"/>
        <v>6.2293280705704648</v>
      </c>
    </row>
    <row r="96" spans="1:2" x14ac:dyDescent="0.2">
      <c r="A96">
        <f t="shared" si="3"/>
        <v>10.399999999999981</v>
      </c>
      <c r="B96">
        <f t="shared" si="2"/>
        <v>6.2657320015440963</v>
      </c>
    </row>
    <row r="97" spans="1:2" x14ac:dyDescent="0.2">
      <c r="A97">
        <f t="shared" si="3"/>
        <v>10.49999999999998</v>
      </c>
      <c r="B97">
        <f t="shared" si="2"/>
        <v>6.3014397320006124</v>
      </c>
    </row>
    <row r="98" spans="1:2" x14ac:dyDescent="0.2">
      <c r="A98">
        <f t="shared" si="3"/>
        <v>10.59999999999998</v>
      </c>
      <c r="B98">
        <f t="shared" si="2"/>
        <v>6.3364710442919199</v>
      </c>
    </row>
    <row r="99" spans="1:2" x14ac:dyDescent="0.2">
      <c r="A99">
        <f t="shared" si="3"/>
        <v>10.69999999999998</v>
      </c>
      <c r="B99">
        <f t="shared" si="2"/>
        <v>6.3708449783228698</v>
      </c>
    </row>
    <row r="100" spans="1:2" x14ac:dyDescent="0.2">
      <c r="A100">
        <f t="shared" si="3"/>
        <v>10.799999999999979</v>
      </c>
      <c r="B100">
        <f t="shared" si="2"/>
        <v>6.4045798660582083</v>
      </c>
    </row>
    <row r="101" spans="1:2" x14ac:dyDescent="0.2">
      <c r="A101">
        <f t="shared" si="3"/>
        <v>10.899999999999979</v>
      </c>
      <c r="B101">
        <f t="shared" si="2"/>
        <v>6.4376933641227065</v>
      </c>
    </row>
    <row r="102" spans="1:2" x14ac:dyDescent="0.2">
      <c r="A102">
        <f t="shared" si="3"/>
        <v>10.999999999999979</v>
      </c>
      <c r="B102">
        <f t="shared" si="2"/>
        <v>6.4702024846162711</v>
      </c>
    </row>
    <row r="103" spans="1:2" x14ac:dyDescent="0.2">
      <c r="A103">
        <f t="shared" si="3"/>
        <v>11.099999999999978</v>
      </c>
      <c r="B103">
        <f t="shared" si="2"/>
        <v>6.502123624257047</v>
      </c>
    </row>
    <row r="104" spans="1:2" x14ac:dyDescent="0.2">
      <c r="A104">
        <f t="shared" si="3"/>
        <v>11.199999999999978</v>
      </c>
      <c r="B104">
        <f t="shared" si="2"/>
        <v>6.5334725919573993</v>
      </c>
    </row>
    <row r="105" spans="1:2" x14ac:dyDescent="0.2">
      <c r="A105">
        <f t="shared" si="3"/>
        <v>11.299999999999978</v>
      </c>
      <c r="B105">
        <f t="shared" si="2"/>
        <v>6.5642646349302076</v>
      </c>
    </row>
    <row r="106" spans="1:2" x14ac:dyDescent="0.2">
      <c r="A106">
        <f t="shared" si="3"/>
        <v>11.399999999999977</v>
      </c>
      <c r="B106">
        <f t="shared" si="2"/>
        <v>6.5945144634160577</v>
      </c>
    </row>
    <row r="107" spans="1:2" x14ac:dyDescent="0.2">
      <c r="A107">
        <f t="shared" si="3"/>
        <v>11.499999999999977</v>
      </c>
      <c r="B107">
        <f t="shared" si="2"/>
        <v>6.6242362741155976</v>
      </c>
    </row>
    <row r="108" spans="1:2" x14ac:dyDescent="0.2">
      <c r="A108">
        <f t="shared" si="3"/>
        <v>11.599999999999977</v>
      </c>
      <c r="B108">
        <f t="shared" si="2"/>
        <v>6.6534437724054349</v>
      </c>
    </row>
    <row r="109" spans="1:2" x14ac:dyDescent="0.2">
      <c r="A109">
        <f t="shared" si="3"/>
        <v>11.699999999999976</v>
      </c>
      <c r="B109">
        <f t="shared" si="2"/>
        <v>6.6821501934106919</v>
      </c>
    </row>
    <row r="110" spans="1:2" x14ac:dyDescent="0.2">
      <c r="A110">
        <f t="shared" si="3"/>
        <v>11.799999999999976</v>
      </c>
      <c r="B110">
        <f t="shared" si="2"/>
        <v>6.7103683220021892</v>
      </c>
    </row>
    <row r="111" spans="1:2" x14ac:dyDescent="0.2">
      <c r="A111">
        <f t="shared" si="3"/>
        <v>11.899999999999975</v>
      </c>
      <c r="B111">
        <f t="shared" si="2"/>
        <v>6.7381105117818425</v>
      </c>
    </row>
    <row r="112" spans="1:2" x14ac:dyDescent="0.2">
      <c r="A112">
        <f t="shared" si="3"/>
        <v>11.999999999999975</v>
      </c>
      <c r="B112">
        <f t="shared" si="2"/>
        <v>6.7653887031154127</v>
      </c>
    </row>
    <row r="113" spans="1:2" x14ac:dyDescent="0.2">
      <c r="A113">
        <f t="shared" si="3"/>
        <v>12.099999999999975</v>
      </c>
      <c r="B113">
        <f t="shared" si="2"/>
        <v>6.7922144402679745</v>
      </c>
    </row>
    <row r="114" spans="1:2" x14ac:dyDescent="0.2">
      <c r="A114">
        <f t="shared" si="3"/>
        <v>12.199999999999974</v>
      </c>
      <c r="B114">
        <f t="shared" si="2"/>
        <v>6.8185988876937236</v>
      </c>
    </row>
    <row r="115" spans="1:2" x14ac:dyDescent="0.2">
      <c r="A115">
        <f t="shared" si="3"/>
        <v>12.299999999999974</v>
      </c>
      <c r="B115">
        <f t="shared" si="2"/>
        <v>6.8445528455284492</v>
      </c>
    </row>
    <row r="116" spans="1:2" x14ac:dyDescent="0.2">
      <c r="A116">
        <f t="shared" si="3"/>
        <v>12.399999999999974</v>
      </c>
      <c r="B116">
        <f t="shared" si="2"/>
        <v>6.8700867643298071</v>
      </c>
    </row>
    <row r="117" spans="1:2" x14ac:dyDescent="0.2">
      <c r="A117">
        <f t="shared" si="3"/>
        <v>12.499999999999973</v>
      </c>
      <c r="B117">
        <f t="shared" si="2"/>
        <v>6.8952107591076803</v>
      </c>
    </row>
    <row r="118" spans="1:2" x14ac:dyDescent="0.2">
      <c r="A118">
        <f t="shared" si="3"/>
        <v>12.599999999999973</v>
      </c>
      <c r="B118">
        <f t="shared" si="2"/>
        <v>6.9199346226841776</v>
      </c>
    </row>
    <row r="119" spans="1:2" x14ac:dyDescent="0.2">
      <c r="A119">
        <f t="shared" si="3"/>
        <v>12.699999999999973</v>
      </c>
      <c r="B119">
        <f t="shared" si="2"/>
        <v>6.9442678384203642</v>
      </c>
    </row>
    <row r="120" spans="1:2" x14ac:dyDescent="0.2">
      <c r="A120">
        <f t="shared" si="3"/>
        <v>12.799999999999972</v>
      </c>
      <c r="B120">
        <f t="shared" si="2"/>
        <v>6.9682195923444539</v>
      </c>
    </row>
    <row r="121" spans="1:2" x14ac:dyDescent="0.2">
      <c r="A121">
        <f t="shared" si="3"/>
        <v>12.899999999999972</v>
      </c>
      <c r="B121">
        <f t="shared" si="2"/>
        <v>6.9917987847140539</v>
      </c>
    </row>
    <row r="122" spans="1:2" x14ac:dyDescent="0.2">
      <c r="A122">
        <f t="shared" si="3"/>
        <v>12.999999999999972</v>
      </c>
      <c r="B122">
        <f t="shared" si="2"/>
        <v>7.0150140410430417</v>
      </c>
    </row>
    <row r="123" spans="1:2" x14ac:dyDescent="0.2">
      <c r="A123">
        <f t="shared" si="3"/>
        <v>13.099999999999971</v>
      </c>
      <c r="B123">
        <f t="shared" si="2"/>
        <v>7.0378737226217591</v>
      </c>
    </row>
    <row r="124" spans="1:2" x14ac:dyDescent="0.2">
      <c r="A124">
        <f t="shared" si="3"/>
        <v>13.199999999999971</v>
      </c>
      <c r="B124">
        <f t="shared" si="2"/>
        <v>7.0603859365574841</v>
      </c>
    </row>
    <row r="125" spans="1:2" x14ac:dyDescent="0.2">
      <c r="A125">
        <f t="shared" si="3"/>
        <v>13.299999999999971</v>
      </c>
      <c r="B125">
        <f t="shared" si="2"/>
        <v>7.0825585453605289</v>
      </c>
    </row>
    <row r="126" spans="1:2" x14ac:dyDescent="0.2">
      <c r="A126">
        <f t="shared" si="3"/>
        <v>13.39999999999997</v>
      </c>
      <c r="B126">
        <f t="shared" si="2"/>
        <v>7.1043991760997374</v>
      </c>
    </row>
    <row r="127" spans="1:2" x14ac:dyDescent="0.2">
      <c r="A127">
        <f t="shared" si="3"/>
        <v>13.49999999999997</v>
      </c>
      <c r="B127">
        <f t="shared" si="2"/>
        <v>7.1259152291498093</v>
      </c>
    </row>
    <row r="128" spans="1:2" x14ac:dyDescent="0.2">
      <c r="A128">
        <f t="shared" si="3"/>
        <v>13.599999999999969</v>
      </c>
      <c r="B128">
        <f t="shared" si="2"/>
        <v>7.1471138865515176</v>
      </c>
    </row>
    <row r="129" spans="1:2" x14ac:dyDescent="0.2">
      <c r="A129">
        <f t="shared" si="3"/>
        <v>13.699999999999969</v>
      </c>
      <c r="B129">
        <f t="shared" si="2"/>
        <v>7.1680021200046529</v>
      </c>
    </row>
    <row r="130" spans="1:2" x14ac:dyDescent="0.2">
      <c r="A130">
        <f t="shared" si="3"/>
        <v>13.799999999999969</v>
      </c>
      <c r="B130">
        <f t="shared" si="2"/>
        <v>7.1885866985123847</v>
      </c>
    </row>
    <row r="131" spans="1:2" x14ac:dyDescent="0.2">
      <c r="A131">
        <f t="shared" si="3"/>
        <v>13.899999999999968</v>
      </c>
      <c r="B131">
        <f t="shared" ref="B131:B192" si="4">$E$1+$E$2/A131-$E$4/(A131-$E$3)</f>
        <v>7.2088741956946567</v>
      </c>
    </row>
    <row r="132" spans="1:2" x14ac:dyDescent="0.2">
      <c r="A132">
        <f t="shared" ref="A132:A195" si="5">A131+0.1</f>
        <v>13.999999999999968</v>
      </c>
      <c r="B132">
        <f t="shared" si="4"/>
        <v>7.2288709967871903</v>
      </c>
    </row>
    <row r="133" spans="1:2" x14ac:dyDescent="0.2">
      <c r="A133">
        <f t="shared" si="5"/>
        <v>14.099999999999968</v>
      </c>
      <c r="B133">
        <f t="shared" si="4"/>
        <v>7.2485833053417892</v>
      </c>
    </row>
    <row r="134" spans="1:2" x14ac:dyDescent="0.2">
      <c r="A134">
        <f t="shared" si="5"/>
        <v>14.199999999999967</v>
      </c>
      <c r="B134">
        <f t="shared" si="4"/>
        <v>7.2680171496426595</v>
      </c>
    </row>
    <row r="135" spans="1:2" x14ac:dyDescent="0.2">
      <c r="A135">
        <f t="shared" si="5"/>
        <v>14.299999999999967</v>
      </c>
      <c r="B135">
        <f t="shared" si="4"/>
        <v>7.2871783888527615</v>
      </c>
    </row>
    <row r="136" spans="1:2" x14ac:dyDescent="0.2">
      <c r="A136">
        <f t="shared" si="5"/>
        <v>14.399999999999967</v>
      </c>
      <c r="B136">
        <f t="shared" si="4"/>
        <v>7.3060727189032733</v>
      </c>
    </row>
    <row r="137" spans="1:2" x14ac:dyDescent="0.2">
      <c r="A137">
        <f t="shared" si="5"/>
        <v>14.499999999999966</v>
      </c>
      <c r="B137">
        <f t="shared" si="4"/>
        <v>7.3247056781386579</v>
      </c>
    </row>
    <row r="138" spans="1:2" x14ac:dyDescent="0.2">
      <c r="A138">
        <f t="shared" si="5"/>
        <v>14.599999999999966</v>
      </c>
      <c r="B138">
        <f t="shared" si="4"/>
        <v>7.3430826527290893</v>
      </c>
    </row>
    <row r="139" spans="1:2" x14ac:dyDescent="0.2">
      <c r="A139">
        <f t="shared" si="5"/>
        <v>14.699999999999966</v>
      </c>
      <c r="B139">
        <f t="shared" si="4"/>
        <v>7.3612088818612911</v>
      </c>
    </row>
    <row r="140" spans="1:2" x14ac:dyDescent="0.2">
      <c r="A140">
        <f t="shared" si="5"/>
        <v>14.799999999999965</v>
      </c>
      <c r="B140">
        <f t="shared" si="4"/>
        <v>7.3790894627183672</v>
      </c>
    </row>
    <row r="141" spans="1:2" x14ac:dyDescent="0.2">
      <c r="A141">
        <f t="shared" si="5"/>
        <v>14.899999999999965</v>
      </c>
      <c r="B141">
        <f t="shared" si="4"/>
        <v>7.3967293552585289</v>
      </c>
    </row>
    <row r="142" spans="1:2" x14ac:dyDescent="0.2">
      <c r="A142">
        <f t="shared" si="5"/>
        <v>14.999999999999964</v>
      </c>
      <c r="B142">
        <f t="shared" si="4"/>
        <v>7.4141333868021135</v>
      </c>
    </row>
    <row r="143" spans="1:2" x14ac:dyDescent="0.2">
      <c r="A143">
        <f t="shared" si="5"/>
        <v>15.099999999999964</v>
      </c>
      <c r="B143">
        <f t="shared" si="4"/>
        <v>7.4313062564358638</v>
      </c>
    </row>
    <row r="144" spans="1:2" x14ac:dyDescent="0.2">
      <c r="A144">
        <f t="shared" si="5"/>
        <v>15.199999999999964</v>
      </c>
      <c r="B144">
        <f t="shared" si="4"/>
        <v>7.4482525392428371</v>
      </c>
    </row>
    <row r="145" spans="1:2" x14ac:dyDescent="0.2">
      <c r="A145">
        <f t="shared" si="5"/>
        <v>15.299999999999963</v>
      </c>
      <c r="B145">
        <f t="shared" si="4"/>
        <v>7.4649766903660026</v>
      </c>
    </row>
    <row r="146" spans="1:2" x14ac:dyDescent="0.2">
      <c r="A146">
        <f t="shared" si="5"/>
        <v>15.399999999999963</v>
      </c>
      <c r="B146">
        <f t="shared" si="4"/>
        <v>7.4814830489130646</v>
      </c>
    </row>
    <row r="147" spans="1:2" x14ac:dyDescent="0.2">
      <c r="A147">
        <f t="shared" si="5"/>
        <v>15.499999999999963</v>
      </c>
      <c r="B147">
        <f t="shared" si="4"/>
        <v>7.4977758417097418</v>
      </c>
    </row>
    <row r="148" spans="1:2" x14ac:dyDescent="0.2">
      <c r="A148">
        <f t="shared" si="5"/>
        <v>15.599999999999962</v>
      </c>
      <c r="B148">
        <f t="shared" si="4"/>
        <v>7.5138591869082738</v>
      </c>
    </row>
    <row r="149" spans="1:2" x14ac:dyDescent="0.2">
      <c r="A149">
        <f t="shared" si="5"/>
        <v>15.699999999999962</v>
      </c>
      <c r="B149">
        <f t="shared" si="4"/>
        <v>7.5297370974576721</v>
      </c>
    </row>
    <row r="150" spans="1:2" x14ac:dyDescent="0.2">
      <c r="A150">
        <f t="shared" si="5"/>
        <v>15.799999999999962</v>
      </c>
      <c r="B150">
        <f t="shared" si="4"/>
        <v>7.5454134844418261</v>
      </c>
    </row>
    <row r="151" spans="1:2" x14ac:dyDescent="0.2">
      <c r="A151">
        <f t="shared" si="5"/>
        <v>15.899999999999961</v>
      </c>
      <c r="B151">
        <f t="shared" si="4"/>
        <v>7.5608921602913117</v>
      </c>
    </row>
    <row r="152" spans="1:2" x14ac:dyDescent="0.2">
      <c r="A152">
        <f t="shared" si="5"/>
        <v>15.999999999999961</v>
      </c>
      <c r="B152">
        <f t="shared" si="4"/>
        <v>7.5761768418744451</v>
      </c>
    </row>
    <row r="153" spans="1:2" x14ac:dyDescent="0.2">
      <c r="A153">
        <f t="shared" si="5"/>
        <v>16.099999999999962</v>
      </c>
      <c r="B153">
        <f t="shared" si="4"/>
        <v>7.5912711534728325</v>
      </c>
    </row>
    <row r="154" spans="1:2" x14ac:dyDescent="0.2">
      <c r="A154">
        <f t="shared" si="5"/>
        <v>16.199999999999964</v>
      </c>
      <c r="B154">
        <f t="shared" si="4"/>
        <v>7.60617862964643</v>
      </c>
    </row>
    <row r="155" spans="1:2" x14ac:dyDescent="0.2">
      <c r="A155">
        <f t="shared" si="5"/>
        <v>16.299999999999965</v>
      </c>
      <c r="B155">
        <f t="shared" si="4"/>
        <v>7.6209027179928608</v>
      </c>
    </row>
    <row r="156" spans="1:2" x14ac:dyDescent="0.2">
      <c r="A156">
        <f t="shared" si="5"/>
        <v>16.399999999999967</v>
      </c>
      <c r="B156">
        <f t="shared" si="4"/>
        <v>7.6354467818055474</v>
      </c>
    </row>
    <row r="157" spans="1:2" x14ac:dyDescent="0.2">
      <c r="A157">
        <f t="shared" si="5"/>
        <v>16.499999999999968</v>
      </c>
      <c r="B157">
        <f t="shared" si="4"/>
        <v>7.6498141026348971</v>
      </c>
    </row>
    <row r="158" spans="1:2" x14ac:dyDescent="0.2">
      <c r="A158">
        <f t="shared" si="5"/>
        <v>16.599999999999969</v>
      </c>
      <c r="B158">
        <f t="shared" si="4"/>
        <v>7.6640078827567191</v>
      </c>
    </row>
    <row r="159" spans="1:2" x14ac:dyDescent="0.2">
      <c r="A159">
        <f t="shared" si="5"/>
        <v>16.699999999999971</v>
      </c>
      <c r="B159">
        <f t="shared" si="4"/>
        <v>7.6780312475517061</v>
      </c>
    </row>
    <row r="160" spans="1:2" x14ac:dyDescent="0.2">
      <c r="A160">
        <f t="shared" si="5"/>
        <v>16.799999999999972</v>
      </c>
      <c r="B160">
        <f t="shared" si="4"/>
        <v>7.6918872477997251</v>
      </c>
    </row>
    <row r="161" spans="1:2" x14ac:dyDescent="0.2">
      <c r="A161">
        <f t="shared" si="5"/>
        <v>16.899999999999974</v>
      </c>
      <c r="B161">
        <f t="shared" si="4"/>
        <v>7.7055788618924623</v>
      </c>
    </row>
    <row r="162" spans="1:2" x14ac:dyDescent="0.2">
      <c r="A162">
        <f t="shared" si="5"/>
        <v>16.999999999999975</v>
      </c>
      <c r="B162">
        <f t="shared" si="4"/>
        <v>7.7191089979677727</v>
      </c>
    </row>
    <row r="163" spans="1:2" x14ac:dyDescent="0.2">
      <c r="A163">
        <f t="shared" si="5"/>
        <v>17.099999999999977</v>
      </c>
      <c r="B163">
        <f t="shared" si="4"/>
        <v>7.7324804959689466</v>
      </c>
    </row>
    <row r="164" spans="1:2" x14ac:dyDescent="0.2">
      <c r="A164">
        <f t="shared" si="5"/>
        <v>17.199999999999978</v>
      </c>
      <c r="B164">
        <f t="shared" si="4"/>
        <v>7.7456961296319857</v>
      </c>
    </row>
    <row r="165" spans="1:2" x14ac:dyDescent="0.2">
      <c r="A165">
        <f t="shared" si="5"/>
        <v>17.299999999999979</v>
      </c>
      <c r="B165">
        <f t="shared" si="4"/>
        <v>7.7587586084037685</v>
      </c>
    </row>
    <row r="166" spans="1:2" x14ac:dyDescent="0.2">
      <c r="A166">
        <f t="shared" si="5"/>
        <v>17.399999999999981</v>
      </c>
      <c r="B166">
        <f t="shared" si="4"/>
        <v>7.7716705792939234</v>
      </c>
    </row>
    <row r="167" spans="1:2" x14ac:dyDescent="0.2">
      <c r="A167">
        <f t="shared" si="5"/>
        <v>17.499999999999982</v>
      </c>
      <c r="B167">
        <f t="shared" si="4"/>
        <v>7.7844346286630532</v>
      </c>
    </row>
    <row r="168" spans="1:2" x14ac:dyDescent="0.2">
      <c r="A168">
        <f t="shared" si="5"/>
        <v>17.599999999999984</v>
      </c>
      <c r="B168">
        <f t="shared" si="4"/>
        <v>7.7970532839498476</v>
      </c>
    </row>
    <row r="169" spans="1:2" x14ac:dyDescent="0.2">
      <c r="A169">
        <f t="shared" si="5"/>
        <v>17.699999999999985</v>
      </c>
      <c r="B169">
        <f t="shared" si="4"/>
        <v>7.8095290153395158</v>
      </c>
    </row>
    <row r="170" spans="1:2" x14ac:dyDescent="0.2">
      <c r="A170">
        <f t="shared" si="5"/>
        <v>17.799999999999986</v>
      </c>
      <c r="B170">
        <f t="shared" si="4"/>
        <v>7.8218642373758387</v>
      </c>
    </row>
    <row r="171" spans="1:2" x14ac:dyDescent="0.2">
      <c r="A171">
        <f t="shared" si="5"/>
        <v>17.899999999999988</v>
      </c>
      <c r="B171">
        <f t="shared" si="4"/>
        <v>7.8340613105190684</v>
      </c>
    </row>
    <row r="172" spans="1:2" x14ac:dyDescent="0.2">
      <c r="A172">
        <f t="shared" si="5"/>
        <v>17.999999999999989</v>
      </c>
      <c r="B172">
        <f t="shared" si="4"/>
        <v>7.84612254265177</v>
      </c>
    </row>
    <row r="173" spans="1:2" x14ac:dyDescent="0.2">
      <c r="A173">
        <f t="shared" si="5"/>
        <v>18.099999999999991</v>
      </c>
      <c r="B173">
        <f t="shared" si="4"/>
        <v>7.8580501905346285</v>
      </c>
    </row>
    <row r="174" spans="1:2" x14ac:dyDescent="0.2">
      <c r="A174">
        <f t="shared" si="5"/>
        <v>18.199999999999992</v>
      </c>
      <c r="B174">
        <f t="shared" si="4"/>
        <v>7.8698464612141503</v>
      </c>
    </row>
    <row r="175" spans="1:2" x14ac:dyDescent="0.2">
      <c r="A175">
        <f t="shared" si="5"/>
        <v>18.299999999999994</v>
      </c>
      <c r="B175">
        <f t="shared" si="4"/>
        <v>7.8815135133841174</v>
      </c>
    </row>
    <row r="176" spans="1:2" x14ac:dyDescent="0.2">
      <c r="A176">
        <f t="shared" si="5"/>
        <v>18.399999999999995</v>
      </c>
      <c r="B176">
        <f t="shared" si="4"/>
        <v>7.8930534587025178</v>
      </c>
    </row>
    <row r="177" spans="1:2" x14ac:dyDescent="0.2">
      <c r="A177">
        <f t="shared" si="5"/>
        <v>18.499999999999996</v>
      </c>
      <c r="B177">
        <f t="shared" si="4"/>
        <v>7.9044683630656962</v>
      </c>
    </row>
    <row r="178" spans="1:2" x14ac:dyDescent="0.2">
      <c r="A178">
        <f t="shared" si="5"/>
        <v>18.599999999999998</v>
      </c>
      <c r="B178">
        <f t="shared" si="4"/>
        <v>7.9157602478412947</v>
      </c>
    </row>
    <row r="179" spans="1:2" x14ac:dyDescent="0.2">
      <c r="A179">
        <f t="shared" si="5"/>
        <v>18.7</v>
      </c>
      <c r="B179">
        <f t="shared" si="4"/>
        <v>7.9269310910615349</v>
      </c>
    </row>
    <row r="180" spans="1:2" x14ac:dyDescent="0.2">
      <c r="A180">
        <f t="shared" si="5"/>
        <v>18.8</v>
      </c>
      <c r="B180">
        <f t="shared" si="4"/>
        <v>7.9379828285783631</v>
      </c>
    </row>
    <row r="181" spans="1:2" x14ac:dyDescent="0.2">
      <c r="A181">
        <f t="shared" si="5"/>
        <v>18.900000000000002</v>
      </c>
      <c r="B181">
        <f t="shared" si="4"/>
        <v>7.948917355181802</v>
      </c>
    </row>
    <row r="182" spans="1:2" x14ac:dyDescent="0.2">
      <c r="A182">
        <f t="shared" si="5"/>
        <v>19.000000000000004</v>
      </c>
      <c r="B182">
        <f t="shared" si="4"/>
        <v>7.9597365256829438</v>
      </c>
    </row>
    <row r="183" spans="1:2" x14ac:dyDescent="0.2">
      <c r="A183">
        <f t="shared" si="5"/>
        <v>19.100000000000005</v>
      </c>
      <c r="B183">
        <f t="shared" si="4"/>
        <v>7.9704421559628233</v>
      </c>
    </row>
    <row r="184" spans="1:2" x14ac:dyDescent="0.2">
      <c r="A184">
        <f t="shared" si="5"/>
        <v>19.200000000000006</v>
      </c>
      <c r="B184">
        <f t="shared" si="4"/>
        <v>7.9810360239884499</v>
      </c>
    </row>
    <row r="185" spans="1:2" x14ac:dyDescent="0.2">
      <c r="A185">
        <f t="shared" si="5"/>
        <v>19.300000000000008</v>
      </c>
      <c r="B185">
        <f t="shared" si="4"/>
        <v>7.991519870797184</v>
      </c>
    </row>
    <row r="186" spans="1:2" x14ac:dyDescent="0.2">
      <c r="A186">
        <f t="shared" si="5"/>
        <v>19.400000000000009</v>
      </c>
      <c r="B186">
        <f t="shared" si="4"/>
        <v>8.0018954014506054</v>
      </c>
    </row>
    <row r="187" spans="1:2" x14ac:dyDescent="0.2">
      <c r="A187">
        <f t="shared" si="5"/>
        <v>19.500000000000011</v>
      </c>
      <c r="B187">
        <f t="shared" si="4"/>
        <v>8.0121642859589635</v>
      </c>
    </row>
    <row r="188" spans="1:2" x14ac:dyDescent="0.2">
      <c r="A188">
        <f t="shared" si="5"/>
        <v>19.600000000000012</v>
      </c>
      <c r="B188">
        <f t="shared" si="4"/>
        <v>8.0223281601772705</v>
      </c>
    </row>
    <row r="189" spans="1:2" x14ac:dyDescent="0.2">
      <c r="A189">
        <f t="shared" si="5"/>
        <v>19.700000000000014</v>
      </c>
      <c r="B189">
        <f t="shared" si="4"/>
        <v>8.0323886266740416</v>
      </c>
    </row>
    <row r="190" spans="1:2" x14ac:dyDescent="0.2">
      <c r="A190">
        <f t="shared" si="5"/>
        <v>19.800000000000015</v>
      </c>
      <c r="B190">
        <f t="shared" si="4"/>
        <v>8.0423472555736506</v>
      </c>
    </row>
    <row r="191" spans="1:2" x14ac:dyDescent="0.2">
      <c r="A191">
        <f t="shared" si="5"/>
        <v>19.900000000000016</v>
      </c>
      <c r="B191">
        <f t="shared" si="4"/>
        <v>8.0522055853732475</v>
      </c>
    </row>
    <row r="192" spans="1:2" x14ac:dyDescent="0.2">
      <c r="A192">
        <f t="shared" si="5"/>
        <v>20.000000000000018</v>
      </c>
      <c r="B192">
        <f t="shared" si="4"/>
        <v>8.0619651237350993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93622-2360-3D42-B043-DA665E9E356D}">
  <sheetPr codeName="Sheet6"/>
  <dimension ref="A1:F13"/>
  <sheetViews>
    <sheetView workbookViewId="0">
      <selection activeCell="F28" sqref="F28"/>
    </sheetView>
  </sheetViews>
  <sheetFormatPr baseColWidth="10" defaultRowHeight="16" x14ac:dyDescent="0.2"/>
  <sheetData>
    <row r="1" spans="1:6" x14ac:dyDescent="0.2">
      <c r="A1" t="s">
        <v>0</v>
      </c>
      <c r="B1">
        <v>10</v>
      </c>
    </row>
    <row r="2" spans="1:6" x14ac:dyDescent="0.2">
      <c r="A2" t="s">
        <v>1</v>
      </c>
      <c r="B2">
        <v>4.2380000000000004</v>
      </c>
    </row>
    <row r="3" spans="1:6" x14ac:dyDescent="0.2">
      <c r="A3" t="s">
        <v>3</v>
      </c>
      <c r="B3">
        <v>3.7999999999999999E-2</v>
      </c>
    </row>
    <row r="4" spans="1:6" x14ac:dyDescent="0.2">
      <c r="A4" t="s">
        <v>2</v>
      </c>
      <c r="B4">
        <v>42.917000000000002</v>
      </c>
      <c r="D4" s="3" t="s">
        <v>18</v>
      </c>
      <c r="E4" s="2"/>
      <c r="F4" s="2"/>
    </row>
    <row r="5" spans="1:6" x14ac:dyDescent="0.2">
      <c r="A5" t="s">
        <v>8</v>
      </c>
      <c r="B5" s="1">
        <v>1.0000000000000001E-9</v>
      </c>
    </row>
    <row r="6" spans="1:6" x14ac:dyDescent="0.2">
      <c r="A6" t="s">
        <v>9</v>
      </c>
      <c r="B6">
        <v>3.95</v>
      </c>
    </row>
    <row r="7" spans="1:6" x14ac:dyDescent="0.2">
      <c r="A7" s="4" t="s">
        <v>10</v>
      </c>
      <c r="B7" s="4">
        <v>3.9100187526246999</v>
      </c>
    </row>
    <row r="8" spans="1:6" x14ac:dyDescent="0.2">
      <c r="A8" t="s">
        <v>11</v>
      </c>
      <c r="B8">
        <v>3</v>
      </c>
    </row>
    <row r="10" spans="1:6" x14ac:dyDescent="0.2">
      <c r="A10" t="s">
        <v>13</v>
      </c>
      <c r="B10" t="s">
        <v>14</v>
      </c>
      <c r="C10" t="s">
        <v>15</v>
      </c>
      <c r="D10" t="s">
        <v>16</v>
      </c>
      <c r="E10" t="s">
        <v>17</v>
      </c>
      <c r="F10" t="s">
        <v>12</v>
      </c>
    </row>
    <row r="11" spans="1:6" x14ac:dyDescent="0.2">
      <c r="A11">
        <v>1</v>
      </c>
      <c r="B11">
        <v>3.9</v>
      </c>
      <c r="C11">
        <v>-2.5969273260832537E-2</v>
      </c>
      <c r="D11">
        <v>2.5987978527832385</v>
      </c>
      <c r="E11">
        <v>3.9099928023385968</v>
      </c>
      <c r="F11">
        <v>9.9928023385968956E-3</v>
      </c>
    </row>
    <row r="12" spans="1:6" x14ac:dyDescent="0.2">
      <c r="A12">
        <v>2</v>
      </c>
      <c r="B12">
        <v>3.9099928023385968</v>
      </c>
      <c r="C12">
        <v>-6.7091090393489594E-5</v>
      </c>
      <c r="D12">
        <v>2.5853873149063964</v>
      </c>
      <c r="E12">
        <v>3.9100187524506</v>
      </c>
      <c r="F12">
        <v>2.5950112003236825E-5</v>
      </c>
    </row>
    <row r="13" spans="1:6" x14ac:dyDescent="0.2">
      <c r="A13">
        <v>3</v>
      </c>
      <c r="B13">
        <v>3.9100187524506</v>
      </c>
      <c r="C13">
        <v>-4.5010928317879006E-10</v>
      </c>
      <c r="D13">
        <v>2.5853526245902541</v>
      </c>
      <c r="E13">
        <v>3.9100187526246999</v>
      </c>
      <c r="F13">
        <v>1.7409984565119885E-10</v>
      </c>
    </row>
  </sheetData>
  <mergeCells count="1">
    <mergeCell ref="D4:F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9F282-AA4A-7640-8341-423E45DD9495}">
  <sheetPr codeName="Sheet2"/>
  <dimension ref="A1:F29"/>
  <sheetViews>
    <sheetView workbookViewId="0">
      <selection activeCell="E35" sqref="E35"/>
    </sheetView>
  </sheetViews>
  <sheetFormatPr baseColWidth="10" defaultRowHeight="16" x14ac:dyDescent="0.2"/>
  <sheetData>
    <row r="1" spans="1:6" x14ac:dyDescent="0.2">
      <c r="A1" t="s">
        <v>22</v>
      </c>
      <c r="B1">
        <v>0.05</v>
      </c>
    </row>
    <row r="2" spans="1:6" x14ac:dyDescent="0.2">
      <c r="A2" t="s">
        <v>23</v>
      </c>
      <c r="B2">
        <v>1E-3</v>
      </c>
    </row>
    <row r="3" spans="1:6" x14ac:dyDescent="0.2">
      <c r="A3" t="s">
        <v>21</v>
      </c>
      <c r="B3">
        <v>1</v>
      </c>
    </row>
    <row r="4" spans="1:6" x14ac:dyDescent="0.2">
      <c r="A4" t="s">
        <v>24</v>
      </c>
      <c r="B4">
        <f>1/B1+1</f>
        <v>21</v>
      </c>
    </row>
    <row r="5" spans="1:6" x14ac:dyDescent="0.2">
      <c r="A5" t="s">
        <v>25</v>
      </c>
      <c r="B5">
        <f>1/B2</f>
        <v>1000</v>
      </c>
    </row>
    <row r="8" spans="1:6" x14ac:dyDescent="0.2">
      <c r="A8" t="s">
        <v>4</v>
      </c>
      <c r="B8" t="s">
        <v>26</v>
      </c>
      <c r="C8" t="s">
        <v>27</v>
      </c>
      <c r="D8" t="s">
        <v>28</v>
      </c>
      <c r="E8" t="s">
        <v>29</v>
      </c>
      <c r="F8" t="s">
        <v>30</v>
      </c>
    </row>
    <row r="9" spans="1:6" x14ac:dyDescent="0.2">
      <c r="A9">
        <v>0</v>
      </c>
      <c r="B9">
        <f>SIN(PI()*A9)</f>
        <v>0</v>
      </c>
      <c r="C9">
        <v>0</v>
      </c>
      <c r="D9">
        <v>0</v>
      </c>
      <c r="E9">
        <v>0</v>
      </c>
      <c r="F9">
        <v>0</v>
      </c>
    </row>
    <row r="10" spans="1:6" x14ac:dyDescent="0.2">
      <c r="A10">
        <f>A9+$B$1</f>
        <v>0.05</v>
      </c>
      <c r="B10">
        <f>SIN(PI()*A10)</f>
        <v>0.15643446504023087</v>
      </c>
      <c r="C10">
        <v>0.15643446504023101</v>
      </c>
      <c r="D10">
        <v>0.12998093480048806</v>
      </c>
      <c r="E10">
        <v>5.1752962578538994E-2</v>
      </c>
      <c r="F10">
        <v>1.0777739908641677E-2</v>
      </c>
    </row>
    <row r="11" spans="1:6" x14ac:dyDescent="0.2">
      <c r="A11">
        <f t="shared" ref="A11:A29" si="0">A10+$B$1</f>
        <v>0.1</v>
      </c>
      <c r="B11">
        <f t="shared" ref="B10:B29" si="1">SIN(PI()*A11)</f>
        <v>0.3090169943749474</v>
      </c>
      <c r="C11">
        <v>0.3090169943749474</v>
      </c>
      <c r="D11">
        <v>0.26164358307693464</v>
      </c>
      <c r="E11">
        <v>0.10528142611435183</v>
      </c>
      <c r="F11">
        <v>2.2097436175398465E-2</v>
      </c>
    </row>
    <row r="12" spans="1:6" x14ac:dyDescent="0.2">
      <c r="A12">
        <f t="shared" si="0"/>
        <v>0.15000000000000002</v>
      </c>
      <c r="B12">
        <f t="shared" si="1"/>
        <v>0.4539904997395468</v>
      </c>
      <c r="C12">
        <v>0.4539904997395468</v>
      </c>
      <c r="D12">
        <v>0.3902746662512831</v>
      </c>
      <c r="E12">
        <v>0.15979038661295714</v>
      </c>
      <c r="F12">
        <v>3.3975685959823219E-2</v>
      </c>
    </row>
    <row r="13" spans="1:6" x14ac:dyDescent="0.2">
      <c r="A13">
        <f t="shared" si="0"/>
        <v>0.2</v>
      </c>
      <c r="B13">
        <f t="shared" si="1"/>
        <v>0.58778525229247314</v>
      </c>
      <c r="C13">
        <v>0.58778525229247314</v>
      </c>
      <c r="D13">
        <v>0.51145506689700038</v>
      </c>
      <c r="E13">
        <v>0.21447345672234416</v>
      </c>
      <c r="F13">
        <v>4.6429575698728617E-2</v>
      </c>
    </row>
    <row r="14" spans="1:6" x14ac:dyDescent="0.2">
      <c r="A14">
        <f t="shared" si="0"/>
        <v>0.25</v>
      </c>
      <c r="B14">
        <f t="shared" si="1"/>
        <v>0.70710678118654746</v>
      </c>
      <c r="C14">
        <v>0.70710678118654746</v>
      </c>
      <c r="D14">
        <v>0.62128103914222188</v>
      </c>
      <c r="E14">
        <v>0.26854887283119294</v>
      </c>
      <c r="F14">
        <v>5.9476799437739473E-2</v>
      </c>
    </row>
    <row r="15" spans="1:6" x14ac:dyDescent="0.2">
      <c r="A15">
        <f t="shared" si="0"/>
        <v>0.3</v>
      </c>
      <c r="B15">
        <f t="shared" si="1"/>
        <v>0.80901699437494745</v>
      </c>
      <c r="C15">
        <v>0.80901699437494745</v>
      </c>
      <c r="D15">
        <v>0.71645601153756155</v>
      </c>
      <c r="E15">
        <v>0.32129490196155092</v>
      </c>
      <c r="F15">
        <v>7.3135790611111362E-2</v>
      </c>
    </row>
    <row r="16" spans="1:6" x14ac:dyDescent="0.2">
      <c r="A16">
        <f t="shared" si="0"/>
        <v>0.35</v>
      </c>
      <c r="B16">
        <f t="shared" si="1"/>
        <v>0.8910065241883679</v>
      </c>
      <c r="C16">
        <v>0.8910065241883679</v>
      </c>
      <c r="D16">
        <v>0.79429936160931458</v>
      </c>
      <c r="E16">
        <v>0.37208254590722173</v>
      </c>
      <c r="F16">
        <v>8.7425867364601631E-2</v>
      </c>
    </row>
    <row r="17" spans="1:6" x14ac:dyDescent="0.2">
      <c r="A17">
        <f t="shared" si="0"/>
        <v>0.39999999999999997</v>
      </c>
      <c r="B17">
        <f t="shared" si="1"/>
        <v>0.95105651629515353</v>
      </c>
      <c r="C17">
        <v>0.95105651629515353</v>
      </c>
      <c r="D17">
        <v>0.85272615247387806</v>
      </c>
      <c r="E17">
        <v>0.42040347568624331</v>
      </c>
      <c r="F17">
        <v>0.1023673914248989</v>
      </c>
    </row>
    <row r="18" spans="1:6" x14ac:dyDescent="0.2">
      <c r="A18">
        <f t="shared" si="0"/>
        <v>0.44999999999999996</v>
      </c>
      <c r="B18">
        <f t="shared" si="1"/>
        <v>0.98768834059513766</v>
      </c>
      <c r="C18">
        <v>0.98768834059513766</v>
      </c>
      <c r="D18">
        <v>0.89023398209131732</v>
      </c>
      <c r="E18">
        <v>0.46589129269032203</v>
      </c>
      <c r="F18">
        <v>0.11798194042491163</v>
      </c>
    </row>
    <row r="19" spans="1:6" x14ac:dyDescent="0.2">
      <c r="A19">
        <f t="shared" si="0"/>
        <v>0.49999999999999994</v>
      </c>
      <c r="B19">
        <f t="shared" si="1"/>
        <v>1</v>
      </c>
      <c r="C19">
        <v>1</v>
      </c>
      <c r="D19">
        <v>0.90591537273421563</v>
      </c>
      <c r="E19">
        <v>0.50833450742262631</v>
      </c>
      <c r="F19">
        <v>0.1342924934979349</v>
      </c>
    </row>
    <row r="20" spans="1:6" x14ac:dyDescent="0.2">
      <c r="A20">
        <f t="shared" si="0"/>
        <v>0.54999999999999993</v>
      </c>
      <c r="B20">
        <f t="shared" si="1"/>
        <v>0.98768834059513777</v>
      </c>
      <c r="C20">
        <v>0.98768834059513777</v>
      </c>
      <c r="D20">
        <v>0.89951247055591699</v>
      </c>
      <c r="E20">
        <v>0.54768004771918311</v>
      </c>
      <c r="F20">
        <v>0.15132362985628231</v>
      </c>
    </row>
    <row r="21" spans="1:6" x14ac:dyDescent="0.2">
      <c r="A21">
        <f t="shared" si="0"/>
        <v>0.6</v>
      </c>
      <c r="B21">
        <f t="shared" si="1"/>
        <v>0.95105651629515364</v>
      </c>
      <c r="C21">
        <v>0.95105651629515364</v>
      </c>
      <c r="D21">
        <v>0.87154810716175246</v>
      </c>
      <c r="E21">
        <v>0.58402664162030571</v>
      </c>
      <c r="F21">
        <v>0.1691017399723683</v>
      </c>
    </row>
    <row r="22" spans="1:6" x14ac:dyDescent="0.2">
      <c r="A22">
        <f t="shared" si="0"/>
        <v>0.65</v>
      </c>
      <c r="B22">
        <f t="shared" si="1"/>
        <v>0.8910065241883679</v>
      </c>
      <c r="C22">
        <v>0.8910065241883679</v>
      </c>
      <c r="D22">
        <v>0.82359406239301314</v>
      </c>
      <c r="E22">
        <v>0.61760804116054602</v>
      </c>
      <c r="F22">
        <v>0.1876552488834993</v>
      </c>
    </row>
    <row r="23" spans="1:6" x14ac:dyDescent="0.2">
      <c r="A23">
        <f t="shared" si="0"/>
        <v>0.70000000000000007</v>
      </c>
      <c r="B23">
        <f t="shared" si="1"/>
        <v>0.80901699437494745</v>
      </c>
      <c r="C23">
        <v>0.80901699437494745</v>
      </c>
      <c r="D23">
        <v>0.75874430404264781</v>
      </c>
      <c r="E23">
        <v>0.64876672788080247</v>
      </c>
      <c r="F23">
        <v>0.20701485104687173</v>
      </c>
    </row>
    <row r="24" spans="1:6" x14ac:dyDescent="0.2">
      <c r="A24">
        <f t="shared" si="0"/>
        <v>0.75000000000000011</v>
      </c>
      <c r="B24">
        <f t="shared" si="1"/>
        <v>0.70710678118654724</v>
      </c>
      <c r="C24">
        <v>0.70710678118654724</v>
      </c>
      <c r="D24">
        <v>0.68229081203442632</v>
      </c>
      <c r="E24">
        <v>0.67791942584402298</v>
      </c>
      <c r="F24">
        <v>0.22721375607961636</v>
      </c>
    </row>
    <row r="25" spans="1:6" x14ac:dyDescent="0.2">
      <c r="A25">
        <f t="shared" si="0"/>
        <v>0.80000000000000016</v>
      </c>
      <c r="B25">
        <f t="shared" si="1"/>
        <v>0.5877852522924728</v>
      </c>
      <c r="C25">
        <v>0.5877852522924728</v>
      </c>
      <c r="D25">
        <v>0.60239486877571446</v>
      </c>
      <c r="E25">
        <v>0.70551639432982416</v>
      </c>
      <c r="F25">
        <v>0.24828794463134024</v>
      </c>
    </row>
    <row r="26" spans="1:6" x14ac:dyDescent="0.2">
      <c r="A26">
        <f t="shared" si="0"/>
        <v>0.8500000000000002</v>
      </c>
      <c r="B26">
        <f t="shared" si="1"/>
        <v>0.45399049973954647</v>
      </c>
      <c r="C26">
        <v>0.45399049973954647</v>
      </c>
      <c r="D26">
        <v>0.53024665668720861</v>
      </c>
      <c r="E26">
        <v>0.73199702877620487</v>
      </c>
      <c r="F26">
        <v>0.2702764335546981</v>
      </c>
    </row>
    <row r="27" spans="1:6" x14ac:dyDescent="0.2">
      <c r="A27">
        <f t="shared" si="0"/>
        <v>0.90000000000000024</v>
      </c>
      <c r="B27">
        <f t="shared" si="1"/>
        <v>0.30901699437494667</v>
      </c>
      <c r="C27">
        <v>0.30901699437494667</v>
      </c>
      <c r="D27">
        <v>0.4790520418179216</v>
      </c>
      <c r="E27">
        <v>0.75774471557723411</v>
      </c>
      <c r="F27">
        <v>0.29322154946427459</v>
      </c>
    </row>
    <row r="28" spans="1:6" x14ac:dyDescent="0.2">
      <c r="A28">
        <f t="shared" si="0"/>
        <v>0.95000000000000029</v>
      </c>
      <c r="B28">
        <f t="shared" si="1"/>
        <v>0.15643446504023012</v>
      </c>
      <c r="C28">
        <v>0.15643446504023012</v>
      </c>
      <c r="D28">
        <v>0.46153202003419941</v>
      </c>
      <c r="E28">
        <v>0.78304412157507242</v>
      </c>
      <c r="F28">
        <v>0.3171692097067057</v>
      </c>
    </row>
    <row r="29" spans="1:6" x14ac:dyDescent="0.2">
      <c r="A29">
        <f t="shared" si="0"/>
        <v>1.0000000000000002</v>
      </c>
      <c r="B29">
        <f t="shared" si="1"/>
        <v>-7.6571373978538989E-16</v>
      </c>
      <c r="C29">
        <v>-7.6571373978538989E-16</v>
      </c>
      <c r="D29">
        <v>0.5115320200341994</v>
      </c>
      <c r="E29">
        <v>0.83304412157507246</v>
      </c>
      <c r="F29">
        <v>0.36716920970670602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6155E-DCAF-1E41-9D66-78A2458286DA}">
  <sheetPr codeName="Sheet7"/>
  <dimension ref="A1:H211"/>
  <sheetViews>
    <sheetView topLeftCell="B1" workbookViewId="0">
      <selection activeCell="M32" sqref="M32"/>
    </sheetView>
  </sheetViews>
  <sheetFormatPr baseColWidth="10" defaultRowHeight="16" x14ac:dyDescent="0.2"/>
  <sheetData>
    <row r="1" spans="1:8" x14ac:dyDescent="0.2">
      <c r="A1" t="s">
        <v>32</v>
      </c>
      <c r="B1">
        <v>13.1</v>
      </c>
    </row>
    <row r="2" spans="1:8" x14ac:dyDescent="0.2">
      <c r="A2" t="s">
        <v>33</v>
      </c>
      <c r="B2">
        <v>0.94</v>
      </c>
    </row>
    <row r="3" spans="1:8" x14ac:dyDescent="0.2">
      <c r="A3" t="s">
        <v>34</v>
      </c>
      <c r="B3">
        <v>1.71</v>
      </c>
    </row>
    <row r="4" spans="1:8" x14ac:dyDescent="0.2">
      <c r="A4" t="s">
        <v>35</v>
      </c>
      <c r="B4">
        <v>0.03</v>
      </c>
    </row>
    <row r="5" spans="1:8" x14ac:dyDescent="0.2">
      <c r="A5" t="s">
        <v>36</v>
      </c>
      <c r="B5">
        <v>0</v>
      </c>
    </row>
    <row r="6" spans="1:8" x14ac:dyDescent="0.2">
      <c r="A6" t="s">
        <v>23</v>
      </c>
      <c r="B6">
        <v>5.0000000000000001E-3</v>
      </c>
    </row>
    <row r="7" spans="1:8" x14ac:dyDescent="0.2">
      <c r="A7" t="s">
        <v>19</v>
      </c>
      <c r="B7">
        <v>1</v>
      </c>
    </row>
    <row r="8" spans="1:8" x14ac:dyDescent="0.2">
      <c r="A8" t="s">
        <v>25</v>
      </c>
      <c r="B8">
        <f>B7/B6</f>
        <v>200</v>
      </c>
    </row>
    <row r="9" spans="1:8" x14ac:dyDescent="0.2">
      <c r="A9" s="6" t="s">
        <v>42</v>
      </c>
      <c r="B9" s="6"/>
      <c r="C9" s="6"/>
      <c r="D9" s="6"/>
      <c r="E9" s="5" t="s">
        <v>43</v>
      </c>
      <c r="F9" s="5"/>
      <c r="G9" s="5"/>
      <c r="H9" s="5"/>
    </row>
    <row r="10" spans="1:8" x14ac:dyDescent="0.2">
      <c r="A10" t="s">
        <v>37</v>
      </c>
      <c r="B10" t="s">
        <v>20</v>
      </c>
      <c r="C10" t="s">
        <v>38</v>
      </c>
      <c r="D10" t="s">
        <v>39</v>
      </c>
      <c r="E10" t="s">
        <v>37</v>
      </c>
      <c r="F10" t="s">
        <v>20</v>
      </c>
      <c r="G10" t="s">
        <v>40</v>
      </c>
      <c r="H10" t="s">
        <v>41</v>
      </c>
    </row>
    <row r="11" spans="1:8" x14ac:dyDescent="0.2">
      <c r="A11">
        <v>0</v>
      </c>
      <c r="B11">
        <v>0</v>
      </c>
      <c r="C11">
        <f>$B$4</f>
        <v>0.03</v>
      </c>
      <c r="D11">
        <f>$B$5</f>
        <v>0</v>
      </c>
      <c r="E11">
        <v>0</v>
      </c>
      <c r="F11">
        <v>0</v>
      </c>
      <c r="G11">
        <v>0.03</v>
      </c>
      <c r="H11">
        <v>0</v>
      </c>
    </row>
    <row r="12" spans="1:8" x14ac:dyDescent="0.2">
      <c r="A12">
        <f>A11+1</f>
        <v>1</v>
      </c>
      <c r="B12">
        <f>B11+$B$6</f>
        <v>5.0000000000000001E-3</v>
      </c>
      <c r="C12">
        <f>C11+$B$6*($B$1*C11-($B$1/$B$2)*C11^2)</f>
        <v>3.1902287234042551E-2</v>
      </c>
      <c r="D12">
        <f>D11+$B$6*($B$3*C11)</f>
        <v>2.565E-4</v>
      </c>
      <c r="E12">
        <v>1</v>
      </c>
      <c r="F12">
        <v>5.0000000000000001E-3</v>
      </c>
      <c r="G12">
        <v>3.1960547512687558E-2</v>
      </c>
      <c r="H12">
        <v>2.6463227792553187E-4</v>
      </c>
    </row>
    <row r="13" spans="1:8" x14ac:dyDescent="0.2">
      <c r="A13">
        <f t="shared" ref="A13:A76" si="0">A12+1</f>
        <v>2</v>
      </c>
      <c r="B13">
        <f t="shared" ref="B13:B76" si="1">B12+$B$6</f>
        <v>0.01</v>
      </c>
      <c r="C13">
        <f t="shared" ref="C13:C76" si="2">C12+$B$6*($B$1*C12-($B$1/$B$2)*C12^2)</f>
        <v>3.3920968948441488E-2</v>
      </c>
      <c r="D13">
        <f t="shared" ref="D13:D76" si="3">D12+$B$6*($B$3*C12)</f>
        <v>5.2926455585106385E-4</v>
      </c>
      <c r="E13">
        <v>2</v>
      </c>
      <c r="F13">
        <v>0.01</v>
      </c>
      <c r="G13">
        <v>3.404443948575183E-2</v>
      </c>
      <c r="H13">
        <v>5.4654002876121063E-4</v>
      </c>
    </row>
    <row r="14" spans="1:8" x14ac:dyDescent="0.2">
      <c r="A14">
        <f t="shared" si="0"/>
        <v>3</v>
      </c>
      <c r="B14">
        <f t="shared" si="1"/>
        <v>1.4999999999999999E-2</v>
      </c>
      <c r="C14">
        <f t="shared" si="2"/>
        <v>3.606261538817794E-2</v>
      </c>
      <c r="D14">
        <f t="shared" si="3"/>
        <v>8.1928884036023848E-4</v>
      </c>
      <c r="E14">
        <v>3</v>
      </c>
      <c r="F14">
        <v>1.4999999999999999E-2</v>
      </c>
      <c r="G14">
        <v>3.6258794363101726E-2</v>
      </c>
      <c r="H14">
        <v>8.468075984135843E-4</v>
      </c>
    </row>
    <row r="15" spans="1:8" x14ac:dyDescent="0.2">
      <c r="A15">
        <f t="shared" si="0"/>
        <v>4</v>
      </c>
      <c r="B15">
        <f t="shared" si="1"/>
        <v>0.02</v>
      </c>
      <c r="C15">
        <f t="shared" si="2"/>
        <v>3.8334095897193346E-2</v>
      </c>
      <c r="D15">
        <f t="shared" si="3"/>
        <v>1.1276242019291598E-3</v>
      </c>
      <c r="E15">
        <v>4</v>
      </c>
      <c r="F15">
        <v>0.02</v>
      </c>
      <c r="G15">
        <v>3.8611055619671E-2</v>
      </c>
      <c r="H15">
        <v>1.1665815755757887E-3</v>
      </c>
    </row>
    <row r="16" spans="1:8" x14ac:dyDescent="0.2">
      <c r="A16">
        <f t="shared" si="0"/>
        <v>5</v>
      </c>
      <c r="B16">
        <f t="shared" si="1"/>
        <v>2.5000000000000001E-2</v>
      </c>
      <c r="C16">
        <f t="shared" si="2"/>
        <v>4.0742582965171512E-2</v>
      </c>
      <c r="D16">
        <f t="shared" si="3"/>
        <v>1.455380721850163E-3</v>
      </c>
      <c r="E16">
        <v>5</v>
      </c>
      <c r="F16">
        <v>2.5000000000000001E-2</v>
      </c>
      <c r="G16">
        <v>4.1108994851156946E-2</v>
      </c>
      <c r="H16">
        <v>1.5070735873700743E-3</v>
      </c>
    </row>
    <row r="17" spans="1:8" x14ac:dyDescent="0.2">
      <c r="A17">
        <f t="shared" si="0"/>
        <v>6</v>
      </c>
      <c r="B17">
        <f t="shared" si="1"/>
        <v>3.0000000000000002E-2</v>
      </c>
      <c r="C17">
        <f t="shared" si="2"/>
        <v>4.3295554858574142E-2</v>
      </c>
      <c r="D17">
        <f t="shared" si="3"/>
        <v>1.8037298062023794E-3</v>
      </c>
      <c r="E17">
        <v>6</v>
      </c>
      <c r="F17">
        <v>3.0000000000000002E-2</v>
      </c>
      <c r="G17">
        <v>4.3760713013421174E-2</v>
      </c>
      <c r="H17">
        <v>1.8695631140953359E-3</v>
      </c>
    </row>
    <row r="18" spans="1:8" x14ac:dyDescent="0.2">
      <c r="A18">
        <f t="shared" si="0"/>
        <v>7</v>
      </c>
      <c r="B18">
        <f t="shared" si="1"/>
        <v>3.5000000000000003E-2</v>
      </c>
      <c r="C18">
        <f t="shared" si="2"/>
        <v>4.600079659317402E-2</v>
      </c>
      <c r="D18">
        <f t="shared" si="3"/>
        <v>2.1739068002431883E-3</v>
      </c>
      <c r="E18">
        <v>7</v>
      </c>
      <c r="F18">
        <v>3.5000000000000003E-2</v>
      </c>
      <c r="G18">
        <v>4.657463950715153E-2</v>
      </c>
      <c r="H18">
        <v>2.2554003060143916E-3</v>
      </c>
    </row>
    <row r="19" spans="1:8" x14ac:dyDescent="0.2">
      <c r="A19">
        <f t="shared" si="0"/>
        <v>8</v>
      </c>
      <c r="B19">
        <f t="shared" si="1"/>
        <v>0.04</v>
      </c>
      <c r="C19">
        <f t="shared" si="2"/>
        <v>4.886639898246093E-2</v>
      </c>
      <c r="D19">
        <f t="shared" si="3"/>
        <v>2.5672136111148263E-3</v>
      </c>
      <c r="E19">
        <v>8</v>
      </c>
      <c r="F19">
        <v>0.04</v>
      </c>
      <c r="G19">
        <v>4.9559528776598236E-2</v>
      </c>
      <c r="H19">
        <v>2.6660087823991239E-3</v>
      </c>
    </row>
    <row r="20" spans="1:8" x14ac:dyDescent="0.2">
      <c r="A20">
        <f t="shared" si="0"/>
        <v>9</v>
      </c>
      <c r="B20">
        <f t="shared" si="1"/>
        <v>4.4999999999999998E-2</v>
      </c>
      <c r="C20">
        <f t="shared" si="2"/>
        <v>5.1900755473053499E-2</v>
      </c>
      <c r="D20">
        <f t="shared" si="3"/>
        <v>2.9850213224148674E-3</v>
      </c>
      <c r="E20">
        <v>9</v>
      </c>
      <c r="F20">
        <v>4.4999999999999998E-2</v>
      </c>
      <c r="G20">
        <v>5.2724454064623463E-2</v>
      </c>
      <c r="H20">
        <v>3.1028883901057531E-3</v>
      </c>
    </row>
    <row r="21" spans="1:8" x14ac:dyDescent="0.2">
      <c r="A21">
        <f t="shared" si="0"/>
        <v>10</v>
      </c>
      <c r="B21">
        <f t="shared" si="1"/>
        <v>4.9999999999999996E-2</v>
      </c>
      <c r="C21">
        <f t="shared" si="2"/>
        <v>5.5112556455024539E-2</v>
      </c>
      <c r="D21">
        <f t="shared" si="3"/>
        <v>3.428772781709475E-3</v>
      </c>
      <c r="E21">
        <v>10</v>
      </c>
      <c r="F21">
        <v>4.9999999999999996E-2</v>
      </c>
      <c r="G21">
        <v>5.607879794057867E-2</v>
      </c>
      <c r="H21">
        <v>3.5676178957816857E-3</v>
      </c>
    </row>
    <row r="22" spans="1:8" x14ac:dyDescent="0.2">
      <c r="A22">
        <f t="shared" si="0"/>
        <v>11</v>
      </c>
      <c r="B22">
        <f t="shared" si="1"/>
        <v>5.4999999999999993E-2</v>
      </c>
      <c r="C22">
        <f t="shared" si="2"/>
        <v>5.8510780712323282E-2</v>
      </c>
      <c r="D22">
        <f t="shared" si="3"/>
        <v>3.8999851393999346E-3</v>
      </c>
      <c r="E22">
        <v>11</v>
      </c>
      <c r="F22">
        <v>5.4999999999999993E-2</v>
      </c>
      <c r="G22">
        <v>5.9632239193423496E-2</v>
      </c>
      <c r="H22">
        <v>4.0618575824198809E-3</v>
      </c>
    </row>
    <row r="23" spans="1:8" x14ac:dyDescent="0.2">
      <c r="A23">
        <f t="shared" si="0"/>
        <v>12</v>
      </c>
      <c r="B23">
        <f t="shared" si="1"/>
        <v>5.9999999999999991E-2</v>
      </c>
      <c r="C23">
        <f t="shared" si="2"/>
        <v>6.2104683656851151E-2</v>
      </c>
      <c r="D23">
        <f t="shared" si="3"/>
        <v>4.4002523144902987E-3</v>
      </c>
      <c r="E23">
        <v>12</v>
      </c>
      <c r="F23">
        <v>5.9999999999999991E-2</v>
      </c>
      <c r="G23">
        <v>6.3394735660954285E-2</v>
      </c>
      <c r="H23">
        <v>4.5873517173940009E-3</v>
      </c>
    </row>
    <row r="24" spans="1:8" x14ac:dyDescent="0.2">
      <c r="A24">
        <f t="shared" si="0"/>
        <v>13</v>
      </c>
      <c r="B24">
        <f t="shared" si="1"/>
        <v>6.4999999999999988E-2</v>
      </c>
      <c r="C24">
        <f t="shared" si="2"/>
        <v>6.5903781969934794E-2</v>
      </c>
      <c r="D24">
        <f t="shared" si="3"/>
        <v>4.9312473597563763E-3</v>
      </c>
      <c r="E24">
        <v>13</v>
      </c>
      <c r="F24">
        <v>6.4999999999999988E-2</v>
      </c>
      <c r="G24">
        <v>6.7376502548114656E-2</v>
      </c>
      <c r="H24">
        <v>5.1459308553539734E-3</v>
      </c>
    </row>
    <row r="25" spans="1:8" x14ac:dyDescent="0.2">
      <c r="A25">
        <f t="shared" si="0"/>
        <v>14</v>
      </c>
      <c r="B25">
        <f t="shared" si="1"/>
        <v>6.9999999999999993E-2</v>
      </c>
      <c r="C25">
        <f t="shared" si="2"/>
        <v>6.9917834257789871E-2</v>
      </c>
      <c r="D25">
        <f t="shared" si="3"/>
        <v>5.4947246955993189E-3</v>
      </c>
      <c r="E25">
        <v>14</v>
      </c>
      <c r="F25">
        <v>6.9999999999999993E-2</v>
      </c>
      <c r="G25">
        <v>7.1587985774383162E-2</v>
      </c>
      <c r="H25">
        <v>5.7395139354732075E-3</v>
      </c>
    </row>
    <row r="26" spans="1:8" x14ac:dyDescent="0.2">
      <c r="A26">
        <f t="shared" si="0"/>
        <v>15</v>
      </c>
      <c r="B26">
        <f t="shared" si="1"/>
        <v>7.4999999999999997E-2</v>
      </c>
      <c r="C26">
        <f t="shared" si="2"/>
        <v>7.4156817314070714E-2</v>
      </c>
      <c r="D26">
        <f t="shared" si="3"/>
        <v>6.0925221785034225E-3</v>
      </c>
      <c r="E26">
        <v>15</v>
      </c>
      <c r="F26">
        <v>7.4999999999999997E-2</v>
      </c>
      <c r="G26">
        <v>7.603982988362043E-2</v>
      </c>
      <c r="H26">
        <v>6.3701101285634698E-3</v>
      </c>
    </row>
    <row r="27" spans="1:8" x14ac:dyDescent="0.2">
      <c r="A27">
        <f t="shared" si="0"/>
        <v>16</v>
      </c>
      <c r="B27">
        <f t="shared" si="1"/>
        <v>0.08</v>
      </c>
      <c r="C27">
        <f t="shared" si="2"/>
        <v>7.8630897573890232E-2</v>
      </c>
      <c r="D27">
        <f t="shared" si="3"/>
        <v>6.7265629665387268E-3</v>
      </c>
      <c r="E27">
        <v>16</v>
      </c>
      <c r="F27">
        <v>0.08</v>
      </c>
      <c r="G27">
        <v>8.0742840051128251E-2</v>
      </c>
      <c r="H27">
        <v>7.0398203855722846E-3</v>
      </c>
    </row>
    <row r="28" spans="1:8" x14ac:dyDescent="0.2">
      <c r="A28">
        <f t="shared" si="0"/>
        <v>17</v>
      </c>
      <c r="B28">
        <f t="shared" si="1"/>
        <v>8.5000000000000006E-2</v>
      </c>
      <c r="C28">
        <f t="shared" si="2"/>
        <v>8.3350397341054983E-2</v>
      </c>
      <c r="D28">
        <f t="shared" si="3"/>
        <v>7.3988571407954881E-3</v>
      </c>
      <c r="E28">
        <v>17</v>
      </c>
      <c r="F28">
        <v>8.5000000000000006E-2</v>
      </c>
      <c r="G28">
        <v>8.5707937733808012E-2</v>
      </c>
      <c r="H28">
        <v>7.7508386350262221E-3</v>
      </c>
    </row>
    <row r="29" spans="1:8" x14ac:dyDescent="0.2">
      <c r="A29">
        <f t="shared" si="0"/>
        <v>18</v>
      </c>
      <c r="B29">
        <f t="shared" si="1"/>
        <v>9.0000000000000011E-2</v>
      </c>
      <c r="C29">
        <f t="shared" si="2"/>
        <v>8.8325755375119913E-2</v>
      </c>
      <c r="D29">
        <f t="shared" si="3"/>
        <v>8.1115030380615079E-3</v>
      </c>
      <c r="E29">
        <v>18</v>
      </c>
      <c r="F29">
        <v>9.0000000000000011E-2</v>
      </c>
      <c r="G29">
        <v>9.0946109532124092E-2</v>
      </c>
      <c r="H29">
        <v>8.505452573172952E-3</v>
      </c>
    </row>
    <row r="30" spans="1:8" x14ac:dyDescent="0.2">
      <c r="A30">
        <f t="shared" si="0"/>
        <v>19</v>
      </c>
      <c r="B30">
        <f t="shared" si="1"/>
        <v>9.5000000000000015E-2</v>
      </c>
      <c r="C30">
        <f t="shared" si="2"/>
        <v>9.3567481438786695E-2</v>
      </c>
      <c r="D30">
        <f t="shared" si="3"/>
        <v>8.8666882465187839E-3</v>
      </c>
      <c r="E30">
        <v>19</v>
      </c>
      <c r="F30">
        <v>9.5000000000000015E-2</v>
      </c>
      <c r="G30">
        <v>9.6468348869102813E-2</v>
      </c>
      <c r="H30">
        <v>9.3060439870138664E-3</v>
      </c>
    </row>
    <row r="31" spans="1:8" x14ac:dyDescent="0.2">
      <c r="A31">
        <f t="shared" si="0"/>
        <v>20</v>
      </c>
      <c r="B31">
        <f t="shared" si="1"/>
        <v>0.10000000000000002</v>
      </c>
      <c r="C31">
        <f t="shared" si="2"/>
        <v>9.9086104430821637E-2</v>
      </c>
      <c r="D31">
        <f t="shared" si="3"/>
        <v>9.6666902128204092E-3</v>
      </c>
      <c r="E31">
        <v>20</v>
      </c>
      <c r="F31">
        <v>0.10000000000000002</v>
      </c>
      <c r="G31">
        <v>0.1022855901439023</v>
      </c>
      <c r="H31">
        <v>1.015508854723329E-2</v>
      </c>
    </row>
    <row r="32" spans="1:8" x14ac:dyDescent="0.2">
      <c r="A32">
        <f t="shared" si="0"/>
        <v>21</v>
      </c>
      <c r="B32">
        <f t="shared" si="1"/>
        <v>0.10500000000000002</v>
      </c>
      <c r="C32">
        <f t="shared" si="2"/>
        <v>0.10489211376680795</v>
      </c>
      <c r="D32">
        <f t="shared" si="3"/>
        <v>1.0513876405703934E-2</v>
      </c>
      <c r="E32">
        <v>21</v>
      </c>
      <c r="F32">
        <v>0.10500000000000002</v>
      </c>
      <c r="G32">
        <v>0.10840863508762703</v>
      </c>
      <c r="H32">
        <v>1.1055155005363634E-2</v>
      </c>
    </row>
    <row r="33" spans="1:8" x14ac:dyDescent="0.2">
      <c r="A33">
        <f t="shared" si="0"/>
        <v>22</v>
      </c>
      <c r="B33">
        <f t="shared" si="1"/>
        <v>0.11000000000000003</v>
      </c>
      <c r="C33">
        <f t="shared" si="2"/>
        <v>0.11099589372146396</v>
      </c>
      <c r="D33">
        <f t="shared" si="3"/>
        <v>1.1410703978410142E-2</v>
      </c>
      <c r="E33">
        <v>22</v>
      </c>
      <c r="F33">
        <v>0.11000000000000003</v>
      </c>
      <c r="G33">
        <v>0.11484807113897962</v>
      </c>
      <c r="H33">
        <v>1.200890372753932E-2</v>
      </c>
    </row>
    <row r="34" spans="1:8" x14ac:dyDescent="0.2">
      <c r="A34">
        <f t="shared" si="0"/>
        <v>23</v>
      </c>
      <c r="B34">
        <f t="shared" si="1"/>
        <v>0.11500000000000003</v>
      </c>
      <c r="C34">
        <f t="shared" si="2"/>
        <v>0.11740765051372172</v>
      </c>
      <c r="D34">
        <f t="shared" si="3"/>
        <v>1.2359718869728659E-2</v>
      </c>
      <c r="E34">
        <v>23</v>
      </c>
      <c r="F34">
        <v>0.11500000000000003</v>
      </c>
      <c r="G34">
        <v>0.12161418176876665</v>
      </c>
      <c r="H34">
        <v>1.3019084496062922E-2</v>
      </c>
    </row>
    <row r="35" spans="1:8" x14ac:dyDescent="0.2">
      <c r="A35">
        <f t="shared" si="0"/>
        <v>24</v>
      </c>
      <c r="B35">
        <f t="shared" si="1"/>
        <v>0.12000000000000004</v>
      </c>
      <c r="C35">
        <f t="shared" si="2"/>
        <v>0.12413733200094021</v>
      </c>
      <c r="D35">
        <f t="shared" si="3"/>
        <v>1.336355428162098E-2</v>
      </c>
      <c r="E35">
        <v>24</v>
      </c>
      <c r="F35">
        <v>0.12000000000000004</v>
      </c>
      <c r="G35">
        <v>0.12871684881658005</v>
      </c>
      <c r="H35">
        <v>1.408853350992526E-2</v>
      </c>
    </row>
    <row r="36" spans="1:8" x14ac:dyDescent="0.2">
      <c r="A36">
        <f t="shared" si="0"/>
        <v>25</v>
      </c>
      <c r="B36">
        <f t="shared" si="1"/>
        <v>0.12500000000000003</v>
      </c>
      <c r="C36">
        <f t="shared" si="2"/>
        <v>0.13119453995300348</v>
      </c>
      <c r="D36">
        <f t="shared" si="3"/>
        <v>1.4424928470229019E-2</v>
      </c>
      <c r="E36">
        <v>25</v>
      </c>
      <c r="F36">
        <v>0.12500000000000003</v>
      </c>
      <c r="G36">
        <v>0.13616544706103101</v>
      </c>
      <c r="H36">
        <v>1.5220169516587619E-2</v>
      </c>
    </row>
    <row r="37" spans="1:8" x14ac:dyDescent="0.2">
      <c r="A37">
        <f t="shared" si="0"/>
        <v>26</v>
      </c>
      <c r="B37">
        <f t="shared" si="1"/>
        <v>0.13000000000000003</v>
      </c>
      <c r="C37">
        <f t="shared" si="2"/>
        <v>0.13858843500180504</v>
      </c>
      <c r="D37">
        <f t="shared" si="3"/>
        <v>1.5546641786827199E-2</v>
      </c>
      <c r="E37">
        <v>26</v>
      </c>
      <c r="F37">
        <v>0.13000000000000003</v>
      </c>
      <c r="G37">
        <v>0.14396873142691718</v>
      </c>
      <c r="H37">
        <v>1.641698900995419E-2</v>
      </c>
    </row>
    <row r="38" spans="1:8" x14ac:dyDescent="0.2">
      <c r="A38">
        <f t="shared" si="0"/>
        <v>27</v>
      </c>
      <c r="B38">
        <f t="shared" si="1"/>
        <v>0.13500000000000004</v>
      </c>
      <c r="C38">
        <f t="shared" si="2"/>
        <v>0.14632763450749312</v>
      </c>
      <c r="D38">
        <f t="shared" si="3"/>
        <v>1.6731572906092632E-2</v>
      </c>
      <c r="E38">
        <v>27</v>
      </c>
      <c r="F38">
        <v>0.13500000000000004</v>
      </c>
      <c r="G38">
        <v>0.15213471743799847</v>
      </c>
      <c r="H38">
        <v>1.7682060433740165E-2</v>
      </c>
    </row>
    <row r="39" spans="1:8" x14ac:dyDescent="0.2">
      <c r="A39">
        <f t="shared" si="0"/>
        <v>28</v>
      </c>
      <c r="B39">
        <f t="shared" si="1"/>
        <v>0.14000000000000004</v>
      </c>
      <c r="C39">
        <f t="shared" si="2"/>
        <v>0.1544201037500248</v>
      </c>
      <c r="D39">
        <f t="shared" si="3"/>
        <v>1.7982674181131697E-2</v>
      </c>
      <c r="E39">
        <v>28</v>
      </c>
      <c r="F39">
        <v>0.14000000000000004</v>
      </c>
      <c r="G39">
        <v>0.16067055575094574</v>
      </c>
      <c r="H39">
        <v>1.9018517335569599E-2</v>
      </c>
    </row>
    <row r="40" spans="1:8" x14ac:dyDescent="0.2">
      <c r="A40">
        <f t="shared" si="0"/>
        <v>29</v>
      </c>
      <c r="B40">
        <f t="shared" si="1"/>
        <v>0.14500000000000005</v>
      </c>
      <c r="C40">
        <f t="shared" si="2"/>
        <v>0.16287304104250033</v>
      </c>
      <c r="D40">
        <f t="shared" si="3"/>
        <v>1.930296606819441E-2</v>
      </c>
      <c r="E40">
        <v>29</v>
      </c>
      <c r="F40">
        <v>0.14500000000000005</v>
      </c>
      <c r="G40">
        <v>0.16958240185159679</v>
      </c>
      <c r="H40">
        <v>2.0429550425292254E-2</v>
      </c>
    </row>
    <row r="41" spans="1:8" x14ac:dyDescent="0.2">
      <c r="A41">
        <f t="shared" si="0"/>
        <v>30</v>
      </c>
      <c r="B41">
        <f t="shared" si="1"/>
        <v>0.15000000000000005</v>
      </c>
      <c r="C41">
        <f t="shared" si="2"/>
        <v>0.17169275756998911</v>
      </c>
      <c r="D41">
        <f t="shared" si="3"/>
        <v>2.0695530569107789E-2</v>
      </c>
      <c r="E41">
        <v>30</v>
      </c>
      <c r="F41">
        <v>0.15000000000000005</v>
      </c>
      <c r="G41">
        <v>0.1788752822546133</v>
      </c>
      <c r="H41">
        <v>2.1918398501334261E-2</v>
      </c>
    </row>
    <row r="42" spans="1:8" x14ac:dyDescent="0.2">
      <c r="A42">
        <f t="shared" si="0"/>
        <v>31</v>
      </c>
      <c r="B42">
        <f t="shared" si="1"/>
        <v>0.15500000000000005</v>
      </c>
      <c r="C42">
        <f t="shared" si="2"/>
        <v>0.18088455298164238</v>
      </c>
      <c r="D42">
        <f t="shared" si="3"/>
        <v>2.2163503646331194E-2</v>
      </c>
      <c r="E42">
        <v>31</v>
      </c>
      <c r="F42">
        <v>0.15500000000000005</v>
      </c>
      <c r="G42">
        <v>0.18855295881619769</v>
      </c>
      <c r="H42">
        <v>2.3488338221495174E-2</v>
      </c>
    </row>
    <row r="43" spans="1:8" x14ac:dyDescent="0.2">
      <c r="A43">
        <f t="shared" si="0"/>
        <v>32</v>
      </c>
      <c r="B43">
        <f t="shared" si="1"/>
        <v>0.16000000000000006</v>
      </c>
      <c r="C43">
        <f t="shared" si="2"/>
        <v>0.19045258800116055</v>
      </c>
      <c r="D43">
        <f t="shared" si="3"/>
        <v>2.3710066574324236E-2</v>
      </c>
      <c r="E43">
        <v>32</v>
      </c>
      <c r="F43">
        <v>0.16000000000000006</v>
      </c>
      <c r="G43">
        <v>0.19861779303934812</v>
      </c>
      <c r="H43">
        <v>2.5142672709519434E-2</v>
      </c>
    </row>
    <row r="44" spans="1:8" x14ac:dyDescent="0.2">
      <c r="A44">
        <f t="shared" si="0"/>
        <v>33</v>
      </c>
      <c r="B44">
        <f t="shared" si="1"/>
        <v>0.16500000000000006</v>
      </c>
      <c r="C44">
        <f t="shared" si="2"/>
        <v>0.20039975556619374</v>
      </c>
      <c r="D44">
        <f t="shared" si="3"/>
        <v>2.533843620173416E-2</v>
      </c>
      <c r="E44">
        <v>33</v>
      </c>
      <c r="F44">
        <v>0.16500000000000006</v>
      </c>
      <c r="G44">
        <v>0.20907061251330539</v>
      </c>
      <c r="H44">
        <v>2.6884719005979125E-2</v>
      </c>
    </row>
    <row r="45" spans="1:8" x14ac:dyDescent="0.2">
      <c r="A45">
        <f t="shared" si="0"/>
        <v>34</v>
      </c>
      <c r="B45">
        <f t="shared" si="1"/>
        <v>0.17000000000000007</v>
      </c>
      <c r="C45">
        <f t="shared" si="2"/>
        <v>0.21072755225468384</v>
      </c>
      <c r="D45">
        <f t="shared" si="3"/>
        <v>2.7051854111825115E-2</v>
      </c>
      <c r="E45">
        <v>34</v>
      </c>
      <c r="F45">
        <v>0.17000000000000007</v>
      </c>
      <c r="G45">
        <v>0.21991058187302409</v>
      </c>
      <c r="H45">
        <v>2.8717794391400878E-2</v>
      </c>
    </row>
    <row r="46" spans="1:8" x14ac:dyDescent="0.2">
      <c r="A46">
        <f t="shared" si="0"/>
        <v>35</v>
      </c>
      <c r="B46">
        <f t="shared" si="1"/>
        <v>0.17500000000000007</v>
      </c>
      <c r="C46">
        <f t="shared" si="2"/>
        <v>0.22143595199780083</v>
      </c>
      <c r="D46">
        <f t="shared" si="3"/>
        <v>2.885357468360266E-2</v>
      </c>
      <c r="E46">
        <v>35</v>
      </c>
      <c r="F46">
        <v>0.17500000000000007</v>
      </c>
      <c r="G46">
        <v>0.23113508087910442</v>
      </c>
      <c r="H46">
        <v>3.0645201630951927E-2</v>
      </c>
    </row>
    <row r="47" spans="1:8" x14ac:dyDescent="0.2">
      <c r="A47">
        <f t="shared" si="0"/>
        <v>36</v>
      </c>
      <c r="B47">
        <f t="shared" si="1"/>
        <v>0.18000000000000008</v>
      </c>
      <c r="C47">
        <f t="shared" si="2"/>
        <v>0.2325232843059602</v>
      </c>
      <c r="D47">
        <f t="shared" si="3"/>
        <v>3.0746852073183856E-2</v>
      </c>
      <c r="E47">
        <v>36</v>
      </c>
      <c r="F47">
        <v>0.18000000000000008</v>
      </c>
      <c r="G47">
        <v>0.24273959239117465</v>
      </c>
      <c r="H47">
        <v>3.2670213213064146E-2</v>
      </c>
    </row>
    <row r="48" spans="1:8" x14ac:dyDescent="0.2">
      <c r="A48">
        <f t="shared" si="0"/>
        <v>37</v>
      </c>
      <c r="B48">
        <f t="shared" si="1"/>
        <v>0.18500000000000008</v>
      </c>
      <c r="C48">
        <f t="shared" si="2"/>
        <v>0.24398611943623444</v>
      </c>
      <c r="D48">
        <f t="shared" si="3"/>
        <v>3.2734926153999817E-2</v>
      </c>
      <c r="E48">
        <v>37</v>
      </c>
      <c r="F48">
        <v>0.18500000000000008</v>
      </c>
      <c r="G48">
        <v>0.25471760312533381</v>
      </c>
      <c r="H48">
        <v>3.4796054678706785E-2</v>
      </c>
    </row>
    <row r="49" spans="1:8" x14ac:dyDescent="0.2">
      <c r="A49">
        <f t="shared" si="0"/>
        <v>38</v>
      </c>
      <c r="B49">
        <f t="shared" si="1"/>
        <v>0.19000000000000009</v>
      </c>
      <c r="C49">
        <f t="shared" si="2"/>
        <v>0.25581916309518049</v>
      </c>
      <c r="D49">
        <f t="shared" si="3"/>
        <v>3.4821007475179619E-2</v>
      </c>
      <c r="E49">
        <v>38</v>
      </c>
      <c r="F49">
        <v>0.19000000000000009</v>
      </c>
      <c r="G49">
        <v>0.26706052013624459</v>
      </c>
      <c r="H49">
        <v>3.7025887163093782E-2</v>
      </c>
    </row>
    <row r="50" spans="1:8" x14ac:dyDescent="0.2">
      <c r="A50">
        <f t="shared" si="0"/>
        <v>39</v>
      </c>
      <c r="B50">
        <f t="shared" si="1"/>
        <v>0.19500000000000009</v>
      </c>
      <c r="C50">
        <f t="shared" si="2"/>
        <v>0.26801516338904241</v>
      </c>
      <c r="D50">
        <f t="shared" si="3"/>
        <v>3.700826131964341E-2</v>
      </c>
      <c r="E50">
        <v>39</v>
      </c>
      <c r="F50">
        <v>0.19500000000000009</v>
      </c>
      <c r="G50">
        <v>0.27975760593500754</v>
      </c>
      <c r="H50">
        <v>3.9362789296799233E-2</v>
      </c>
    </row>
    <row r="51" spans="1:8" x14ac:dyDescent="0.2">
      <c r="A51">
        <f t="shared" si="0"/>
        <v>40</v>
      </c>
      <c r="B51">
        <f t="shared" si="1"/>
        <v>0.20000000000000009</v>
      </c>
      <c r="C51">
        <f t="shared" si="2"/>
        <v>0.2805648327917451</v>
      </c>
      <c r="D51">
        <f t="shared" si="3"/>
        <v>3.9299790966619723E-2</v>
      </c>
      <c r="E51">
        <v>40</v>
      </c>
      <c r="F51">
        <v>0.20000000000000009</v>
      </c>
      <c r="G51">
        <v>0.2927959350349516</v>
      </c>
      <c r="H51">
        <v>4.1809738637828664E-2</v>
      </c>
    </row>
    <row r="52" spans="1:8" x14ac:dyDescent="0.2">
      <c r="A52">
        <f t="shared" si="0"/>
        <v>41</v>
      </c>
      <c r="B52">
        <f t="shared" si="1"/>
        <v>0.2050000000000001</v>
      </c>
      <c r="C52">
        <f t="shared" si="2"/>
        <v>0.29345678788889734</v>
      </c>
      <c r="D52">
        <f t="shared" si="3"/>
        <v>4.1698620286989146E-2</v>
      </c>
      <c r="E52">
        <v>41</v>
      </c>
      <c r="F52">
        <v>0.2050000000000001</v>
      </c>
      <c r="G52">
        <v>0.30616037450138606</v>
      </c>
      <c r="H52">
        <v>4.4369592829350643E-2</v>
      </c>
    </row>
    <row r="53" spans="1:8" x14ac:dyDescent="0.2">
      <c r="A53">
        <f t="shared" si="0"/>
        <v>42</v>
      </c>
      <c r="B53">
        <f t="shared" si="1"/>
        <v>0.2100000000000001</v>
      </c>
      <c r="C53">
        <f t="shared" si="2"/>
        <v>0.30667750956322276</v>
      </c>
      <c r="D53">
        <f t="shared" si="3"/>
        <v>4.4207675823439221E-2</v>
      </c>
      <c r="E53">
        <v>42</v>
      </c>
      <c r="F53">
        <v>0.2100000000000001</v>
      </c>
      <c r="G53">
        <v>0.3198335907639967</v>
      </c>
      <c r="H53">
        <v>4.7045070698677735E-2</v>
      </c>
    </row>
    <row r="54" spans="1:8" x14ac:dyDescent="0.2">
      <c r="A54">
        <f t="shared" si="0"/>
        <v>43</v>
      </c>
      <c r="B54">
        <f t="shared" si="1"/>
        <v>0.21500000000000011</v>
      </c>
      <c r="C54">
        <f t="shared" si="2"/>
        <v>0.32021132610545483</v>
      </c>
      <c r="D54">
        <f t="shared" si="3"/>
        <v>4.6829768530204777E-2</v>
      </c>
      <c r="E54">
        <v>43</v>
      </c>
      <c r="F54">
        <v>0.21500000000000011</v>
      </c>
      <c r="G54">
        <v>0.33379608453188131</v>
      </c>
      <c r="H54">
        <v>4.9838733530822701E-2</v>
      </c>
    </row>
    <row r="55" spans="1:8" x14ac:dyDescent="0.2">
      <c r="A55">
        <f t="shared" si="0"/>
        <v>44</v>
      </c>
      <c r="B55">
        <f t="shared" si="1"/>
        <v>0.22000000000000011</v>
      </c>
      <c r="C55">
        <f t="shared" si="2"/>
        <v>0.33404042145952489</v>
      </c>
      <c r="D55">
        <f t="shared" si="3"/>
        <v>4.9567575368406412E-2</v>
      </c>
      <c r="E55">
        <v>44</v>
      </c>
      <c r="F55">
        <v>0.22000000000000011</v>
      </c>
      <c r="G55">
        <v>0.34802625513587471</v>
      </c>
      <c r="H55">
        <v>5.275296676368868E-2</v>
      </c>
    </row>
    <row r="56" spans="1:8" x14ac:dyDescent="0.2">
      <c r="A56">
        <f t="shared" si="0"/>
        <v>45</v>
      </c>
      <c r="B56">
        <f t="shared" si="1"/>
        <v>0.22500000000000012</v>
      </c>
      <c r="C56">
        <f t="shared" si="2"/>
        <v>0.34814487044005982</v>
      </c>
      <c r="D56">
        <f t="shared" si="3"/>
        <v>5.2423620971885347E-2</v>
      </c>
      <c r="E56">
        <v>45</v>
      </c>
      <c r="F56">
        <v>0.22500000000000012</v>
      </c>
      <c r="G56">
        <v>0.36250049502058485</v>
      </c>
      <c r="H56">
        <v>5.5789962360885452E-2</v>
      </c>
    </row>
    <row r="57" spans="1:8" x14ac:dyDescent="0.2">
      <c r="A57">
        <f t="shared" si="0"/>
        <v>46</v>
      </c>
      <c r="B57">
        <f t="shared" si="1"/>
        <v>0.23000000000000012</v>
      </c>
      <c r="C57">
        <f t="shared" si="2"/>
        <v>0.36250270229611881</v>
      </c>
      <c r="D57">
        <f t="shared" si="3"/>
        <v>5.5400259614147858E-2</v>
      </c>
      <c r="E57">
        <v>46</v>
      </c>
      <c r="F57">
        <v>0.23000000000000012</v>
      </c>
      <c r="G57">
        <v>0.37719331443440285</v>
      </c>
      <c r="H57">
        <v>5.8951702121607594E-2</v>
      </c>
    </row>
    <row r="58" spans="1:8" x14ac:dyDescent="0.2">
      <c r="A58">
        <f t="shared" si="0"/>
        <v>47</v>
      </c>
      <c r="B58">
        <f t="shared" si="1"/>
        <v>0.23500000000000013</v>
      </c>
      <c r="C58">
        <f t="shared" si="2"/>
        <v>0.37708999344463667</v>
      </c>
      <c r="D58">
        <f t="shared" si="3"/>
        <v>5.8499657718779671E-2</v>
      </c>
      <c r="E58">
        <v>47</v>
      </c>
      <c r="F58">
        <v>0.23500000000000013</v>
      </c>
      <c r="G58">
        <v>0.39207749563955285</v>
      </c>
      <c r="H58">
        <v>6.2239942184424399E-2</v>
      </c>
    </row>
    <row r="59" spans="1:8" x14ac:dyDescent="0.2">
      <c r="A59">
        <f t="shared" si="0"/>
        <v>48</v>
      </c>
      <c r="B59">
        <f t="shared" si="1"/>
        <v>0.24000000000000013</v>
      </c>
      <c r="C59">
        <f t="shared" si="2"/>
        <v>0.39188098957193807</v>
      </c>
      <c r="D59">
        <f t="shared" si="3"/>
        <v>6.1723777162731315E-2</v>
      </c>
      <c r="E59">
        <v>48</v>
      </c>
      <c r="F59">
        <v>0.24000000000000013</v>
      </c>
      <c r="G59">
        <v>0.40712427521021616</v>
      </c>
      <c r="H59">
        <v>6.5656198972864926E-2</v>
      </c>
    </row>
    <row r="60" spans="1:8" x14ac:dyDescent="0.2">
      <c r="A60">
        <f t="shared" si="0"/>
        <v>49</v>
      </c>
      <c r="B60">
        <f t="shared" si="1"/>
        <v>0.24500000000000013</v>
      </c>
      <c r="C60">
        <f t="shared" si="2"/>
        <v>0.40684825661846785</v>
      </c>
      <c r="D60">
        <f t="shared" si="3"/>
        <v>6.5074359623571387E-2</v>
      </c>
      <c r="E60">
        <v>49</v>
      </c>
      <c r="F60">
        <v>0.24500000000000013</v>
      </c>
      <c r="G60">
        <v>0.42230355223244315</v>
      </c>
      <c r="H60">
        <v>6.9201736815208068E-2</v>
      </c>
    </row>
    <row r="61" spans="1:8" x14ac:dyDescent="0.2">
      <c r="A61">
        <f t="shared" si="0"/>
        <v>50</v>
      </c>
      <c r="B61">
        <f t="shared" si="1"/>
        <v>0.25000000000000011</v>
      </c>
      <c r="C61">
        <f t="shared" si="2"/>
        <v>0.42196285944151646</v>
      </c>
      <c r="D61">
        <f t="shared" si="3"/>
        <v>6.8552912217659287E-2</v>
      </c>
      <c r="E61">
        <v>50</v>
      </c>
      <c r="F61">
        <v>0.25000000000000011</v>
      </c>
      <c r="G61">
        <v>0.43758411949453652</v>
      </c>
      <c r="H61">
        <v>7.2877557449026104E-2</v>
      </c>
    </row>
    <row r="62" spans="1:8" x14ac:dyDescent="0.2">
      <c r="A62">
        <f t="shared" si="0"/>
        <v>51</v>
      </c>
      <c r="B62">
        <f t="shared" si="1"/>
        <v>0.25500000000000012</v>
      </c>
      <c r="C62">
        <f t="shared" si="2"/>
        <v>0.43719456621791664</v>
      </c>
      <c r="D62">
        <f t="shared" si="3"/>
        <v>7.2160694665884248E-2</v>
      </c>
      <c r="E62">
        <v>51</v>
      </c>
      <c r="F62">
        <v>0.25500000000000012</v>
      </c>
      <c r="G62">
        <v>0.45293391409091238</v>
      </c>
      <c r="H62">
        <v>7.6684391593160373E-2</v>
      </c>
    </row>
    <row r="63" spans="1:8" x14ac:dyDescent="0.2">
      <c r="A63">
        <f t="shared" si="0"/>
        <v>52</v>
      </c>
      <c r="B63">
        <f t="shared" si="1"/>
        <v>0.26000000000000012</v>
      </c>
      <c r="C63">
        <f t="shared" si="2"/>
        <v>0.45251207593088599</v>
      </c>
      <c r="D63">
        <f t="shared" si="3"/>
        <v>7.589870820704743E-2</v>
      </c>
      <c r="E63">
        <v>52</v>
      </c>
      <c r="F63">
        <v>0.26000000000000012</v>
      </c>
      <c r="G63">
        <v>0.46832028328496472</v>
      </c>
      <c r="H63">
        <v>8.0622692736561766E-2</v>
      </c>
    </row>
    <row r="64" spans="1:8" x14ac:dyDescent="0.2">
      <c r="A64">
        <f t="shared" si="0"/>
        <v>53</v>
      </c>
      <c r="B64">
        <f t="shared" si="1"/>
        <v>0.26500000000000012</v>
      </c>
      <c r="C64">
        <f t="shared" si="2"/>
        <v>0.46788326561122623</v>
      </c>
      <c r="D64">
        <f t="shared" si="3"/>
        <v>7.9767686456256509E-2</v>
      </c>
      <c r="E64">
        <v>53</v>
      </c>
      <c r="F64">
        <v>0.26500000000000012</v>
      </c>
      <c r="G64">
        <v>0.48371026101306053</v>
      </c>
      <c r="H64">
        <v>8.46926332556793E-2</v>
      </c>
    </row>
    <row r="65" spans="1:8" x14ac:dyDescent="0.2">
      <c r="A65">
        <f t="shared" si="0"/>
        <v>54</v>
      </c>
      <c r="B65">
        <f t="shared" si="1"/>
        <v>0.27000000000000013</v>
      </c>
      <c r="C65">
        <f t="shared" si="2"/>
        <v>0.48327545340168054</v>
      </c>
      <c r="D65">
        <f t="shared" si="3"/>
        <v>8.3768088377232486E-2</v>
      </c>
      <c r="E65">
        <v>54</v>
      </c>
      <c r="F65">
        <v>0.27000000000000013</v>
      </c>
      <c r="G65">
        <v>0.49907085008379298</v>
      </c>
      <c r="H65">
        <v>8.8894102930903079E-2</v>
      </c>
    </row>
    <row r="66" spans="1:8" x14ac:dyDescent="0.2">
      <c r="A66">
        <f t="shared" si="0"/>
        <v>55</v>
      </c>
      <c r="B66">
        <f t="shared" si="1"/>
        <v>0.27500000000000013</v>
      </c>
      <c r="C66">
        <f t="shared" si="2"/>
        <v>0.49865567301133179</v>
      </c>
      <c r="D66">
        <f t="shared" si="3"/>
        <v>8.7900093503816862E-2</v>
      </c>
      <c r="E66">
        <v>55</v>
      </c>
      <c r="F66">
        <v>0.27500000000000013</v>
      </c>
      <c r="G66">
        <v>0.51436930494938338</v>
      </c>
      <c r="H66">
        <v>9.3226709889199497E-2</v>
      </c>
    </row>
    <row r="67" spans="1:8" x14ac:dyDescent="0.2">
      <c r="A67">
        <f t="shared" si="0"/>
        <v>56</v>
      </c>
      <c r="B67">
        <f t="shared" si="1"/>
        <v>0.28000000000000014</v>
      </c>
      <c r="C67">
        <f t="shared" si="2"/>
        <v>0.51399095474801215</v>
      </c>
      <c r="D67">
        <f t="shared" si="3"/>
        <v>9.2163599508063743E-2</v>
      </c>
      <c r="E67">
        <v>56</v>
      </c>
      <c r="F67">
        <v>0.28000000000000014</v>
      </c>
      <c r="G67">
        <v>0.52957340990804658</v>
      </c>
      <c r="H67">
        <v>9.7689783955857132E-2</v>
      </c>
    </row>
    <row r="68" spans="1:8" x14ac:dyDescent="0.2">
      <c r="A68">
        <f t="shared" si="0"/>
        <v>57</v>
      </c>
      <c r="B68">
        <f t="shared" si="1"/>
        <v>0.28500000000000014</v>
      </c>
      <c r="C68">
        <f t="shared" si="2"/>
        <v>0.52924860807936691</v>
      </c>
      <c r="D68">
        <f t="shared" si="3"/>
        <v>9.6558222171159253E-2</v>
      </c>
      <c r="E68">
        <v>57</v>
      </c>
      <c r="F68">
        <v>0.28500000000000014</v>
      </c>
      <c r="G68">
        <v>0.54465174773809544</v>
      </c>
      <c r="H68">
        <v>0.10228238235457152</v>
      </c>
    </row>
    <row r="69" spans="1:8" x14ac:dyDescent="0.2">
      <c r="A69">
        <f t="shared" si="0"/>
        <v>58</v>
      </c>
      <c r="B69">
        <f t="shared" si="1"/>
        <v>0.29000000000000015</v>
      </c>
      <c r="C69">
        <f t="shared" si="2"/>
        <v>0.54439650058985956</v>
      </c>
      <c r="D69">
        <f t="shared" si="3"/>
        <v>0.10108329777023783</v>
      </c>
      <c r="E69">
        <v>58</v>
      </c>
      <c r="F69">
        <v>0.29000000000000015</v>
      </c>
      <c r="G69">
        <v>0.5595739540598389</v>
      </c>
      <c r="H69">
        <v>0.10700329765329145</v>
      </c>
    </row>
    <row r="70" spans="1:8" x14ac:dyDescent="0.2">
      <c r="A70">
        <f t="shared" si="0"/>
        <v>59</v>
      </c>
      <c r="B70">
        <f t="shared" si="1"/>
        <v>0.29500000000000015</v>
      </c>
      <c r="C70">
        <f t="shared" si="2"/>
        <v>0.55940332827693284</v>
      </c>
      <c r="D70">
        <f t="shared" si="3"/>
        <v>0.10573788785028114</v>
      </c>
      <c r="E70">
        <v>59</v>
      </c>
      <c r="F70">
        <v>0.29500000000000015</v>
      </c>
      <c r="G70">
        <v>0.5743109531560775</v>
      </c>
      <c r="H70">
        <v>0.11185106781459613</v>
      </c>
    </row>
    <row r="71" spans="1:8" x14ac:dyDescent="0.2">
      <c r="A71">
        <f t="shared" si="0"/>
        <v>60</v>
      </c>
      <c r="B71">
        <f t="shared" si="1"/>
        <v>0.30000000000000016</v>
      </c>
      <c r="C71">
        <f t="shared" si="2"/>
        <v>0.57423887236256255</v>
      </c>
      <c r="D71">
        <f t="shared" si="3"/>
        <v>0.11052078630704891</v>
      </c>
      <c r="E71">
        <v>60</v>
      </c>
      <c r="F71">
        <v>0.30000000000000016</v>
      </c>
      <c r="G71">
        <v>0.5888351715361444</v>
      </c>
      <c r="H71">
        <v>0.11682398817498993</v>
      </c>
    </row>
    <row r="72" spans="1:8" x14ac:dyDescent="0.2">
      <c r="A72">
        <f t="shared" si="0"/>
        <v>61</v>
      </c>
      <c r="B72">
        <f t="shared" si="1"/>
        <v>0.30500000000000016</v>
      </c>
      <c r="C72">
        <f t="shared" si="2"/>
        <v>0.58887423817692641</v>
      </c>
      <c r="D72">
        <f t="shared" si="3"/>
        <v>0.11543052866574882</v>
      </c>
      <c r="E72">
        <v>61</v>
      </c>
      <c r="F72">
        <v>0.30500000000000016</v>
      </c>
      <c r="G72">
        <v>0.60312072617698165</v>
      </c>
      <c r="H72">
        <v>0.1219201251483146</v>
      </c>
    </row>
    <row r="73" spans="1:8" x14ac:dyDescent="0.2">
      <c r="A73">
        <f t="shared" si="0"/>
        <v>62</v>
      </c>
      <c r="B73">
        <f t="shared" si="1"/>
        <v>0.31000000000000016</v>
      </c>
      <c r="C73">
        <f t="shared" si="2"/>
        <v>0.60328207218236207</v>
      </c>
      <c r="D73">
        <f t="shared" si="3"/>
        <v>0.12046540340216154</v>
      </c>
      <c r="E73">
        <v>62</v>
      </c>
      <c r="F73">
        <v>0.31000000000000016</v>
      </c>
      <c r="G73">
        <v>0.61714358508935241</v>
      </c>
      <c r="H73">
        <v>0.12713733142518024</v>
      </c>
    </row>
    <row r="74" spans="1:8" x14ac:dyDescent="0.2">
      <c r="A74">
        <f t="shared" si="0"/>
        <v>63</v>
      </c>
      <c r="B74">
        <f t="shared" si="1"/>
        <v>0.31500000000000017</v>
      </c>
      <c r="C74">
        <f t="shared" si="2"/>
        <v>0.61743675382584906</v>
      </c>
      <c r="D74">
        <f t="shared" si="3"/>
        <v>0.12562346511932074</v>
      </c>
      <c r="E74">
        <v>63</v>
      </c>
      <c r="F74">
        <v>0.31500000000000017</v>
      </c>
      <c r="G74">
        <v>0.63088169860800225</v>
      </c>
      <c r="H74">
        <v>0.13247326242334564</v>
      </c>
    </row>
    <row r="75" spans="1:8" x14ac:dyDescent="0.2">
      <c r="A75">
        <f t="shared" si="0"/>
        <v>64</v>
      </c>
      <c r="B75">
        <f t="shared" si="1"/>
        <v>0.32000000000000017</v>
      </c>
      <c r="C75">
        <f t="shared" si="2"/>
        <v>0.63131455961009897</v>
      </c>
      <c r="D75">
        <f t="shared" si="3"/>
        <v>0.13090254936453175</v>
      </c>
      <c r="E75">
        <v>64</v>
      </c>
      <c r="F75">
        <v>0.32000000000000017</v>
      </c>
      <c r="G75">
        <v>0.64431510056154839</v>
      </c>
      <c r="H75">
        <v>0.13792539373351675</v>
      </c>
    </row>
    <row r="76" spans="1:8" x14ac:dyDescent="0.2">
      <c r="A76">
        <f t="shared" si="0"/>
        <v>65</v>
      </c>
      <c r="B76">
        <f t="shared" si="1"/>
        <v>0.32500000000000018</v>
      </c>
      <c r="C76">
        <f t="shared" si="2"/>
        <v>0.64489379752731801</v>
      </c>
      <c r="D76">
        <f t="shared" si="3"/>
        <v>0.13630028884919809</v>
      </c>
      <c r="E76">
        <v>65</v>
      </c>
      <c r="F76">
        <v>0.32500000000000018</v>
      </c>
      <c r="G76">
        <v>0.65742597921293178</v>
      </c>
      <c r="H76">
        <v>0.14349103930100801</v>
      </c>
    </row>
    <row r="77" spans="1:8" x14ac:dyDescent="0.2">
      <c r="A77">
        <f t="shared" ref="A77:A140" si="4">A76+1</f>
        <v>66</v>
      </c>
      <c r="B77">
        <f t="shared" ref="B77:B140" si="5">B76+$B$6</f>
        <v>0.33000000000000018</v>
      </c>
      <c r="C77">
        <f t="shared" ref="C77:C140" si="6">C76+$B$6*($B$1*C76-($B$1/$B$2)*C76^2)</f>
        <v>0.65815491077509891</v>
      </c>
      <c r="D77">
        <f t="shared" ref="D77:D140" si="7">D76+$B$6*($B$3*C76)</f>
        <v>0.14181413081805666</v>
      </c>
      <c r="E77">
        <v>66</v>
      </c>
      <c r="F77">
        <v>0.33000000000000018</v>
      </c>
      <c r="G77">
        <v>0.67019871854933599</v>
      </c>
      <c r="H77">
        <v>0.14916737008582356</v>
      </c>
    </row>
    <row r="78" spans="1:8" x14ac:dyDescent="0.2">
      <c r="A78">
        <f t="shared" si="4"/>
        <v>67</v>
      </c>
      <c r="B78">
        <f t="shared" si="5"/>
        <v>0.33500000000000019</v>
      </c>
      <c r="C78">
        <f t="shared" si="6"/>
        <v>0.67108055044063564</v>
      </c>
      <c r="D78">
        <f t="shared" si="7"/>
        <v>0.14744135530518376</v>
      </c>
      <c r="E78">
        <v>67</v>
      </c>
      <c r="F78">
        <v>0.33500000000000019</v>
      </c>
      <c r="G78">
        <v>0.6826199111205985</v>
      </c>
      <c r="H78">
        <v>0.15495143295146449</v>
      </c>
    </row>
    <row r="79" spans="1:8" x14ac:dyDescent="0.2">
      <c r="A79">
        <f t="shared" si="4"/>
        <v>68</v>
      </c>
      <c r="B79">
        <f t="shared" si="5"/>
        <v>0.34000000000000019</v>
      </c>
      <c r="C79">
        <f t="shared" si="6"/>
        <v>0.68365561756974114</v>
      </c>
      <c r="D79">
        <f t="shared" si="7"/>
        <v>0.15317909401145119</v>
      </c>
      <c r="E79">
        <v>68</v>
      </c>
      <c r="F79">
        <v>0.34000000000000019</v>
      </c>
      <c r="G79">
        <v>0.69467834416119845</v>
      </c>
      <c r="H79">
        <v>0.16084016954549271</v>
      </c>
    </row>
    <row r="80" spans="1:8" x14ac:dyDescent="0.2">
      <c r="A80">
        <f t="shared" si="4"/>
        <v>69</v>
      </c>
      <c r="B80">
        <f t="shared" si="5"/>
        <v>0.3450000000000002</v>
      </c>
      <c r="C80">
        <f t="shared" si="6"/>
        <v>0.69586727570676077</v>
      </c>
      <c r="D80">
        <f t="shared" si="7"/>
        <v>0.15902434954167247</v>
      </c>
      <c r="E80">
        <v>69</v>
      </c>
      <c r="F80">
        <v>0.3450000000000002</v>
      </c>
      <c r="G80">
        <v>0.70636496117194369</v>
      </c>
      <c r="H80">
        <v>0.16683043495180683</v>
      </c>
    </row>
    <row r="81" spans="1:8" x14ac:dyDescent="0.2">
      <c r="A81">
        <f t="shared" si="4"/>
        <v>70</v>
      </c>
      <c r="B81">
        <f t="shared" si="5"/>
        <v>0.3500000000000002</v>
      </c>
      <c r="C81">
        <f t="shared" si="6"/>
        <v>0.70770493558079783</v>
      </c>
      <c r="D81">
        <f t="shared" si="7"/>
        <v>0.16497401474896528</v>
      </c>
      <c r="E81">
        <v>70</v>
      </c>
      <c r="F81">
        <v>0.3500000000000002</v>
      </c>
      <c r="G81">
        <v>0.71767280147769896</v>
      </c>
      <c r="H81">
        <v>0.17291901591486047</v>
      </c>
    </row>
    <row r="82" spans="1:8" x14ac:dyDescent="0.2">
      <c r="A82">
        <f t="shared" si="4"/>
        <v>71</v>
      </c>
      <c r="B82">
        <f t="shared" si="5"/>
        <v>0.3550000000000002</v>
      </c>
      <c r="C82">
        <f t="shared" si="6"/>
        <v>0.71916021410828146</v>
      </c>
      <c r="D82">
        <f t="shared" si="7"/>
        <v>0.1710248919481811</v>
      </c>
      <c r="E82">
        <v>71</v>
      </c>
      <c r="F82">
        <v>0.3550000000000002</v>
      </c>
      <c r="G82">
        <v>0.7285969205159406</v>
      </c>
      <c r="H82">
        <v>0.179102648458805</v>
      </c>
    </row>
    <row r="83" spans="1:8" x14ac:dyDescent="0.2">
      <c r="A83">
        <f t="shared" si="4"/>
        <v>72</v>
      </c>
      <c r="B83">
        <f t="shared" si="5"/>
        <v>0.36000000000000021</v>
      </c>
      <c r="C83">
        <f t="shared" si="6"/>
        <v>0.73022687027286792</v>
      </c>
      <c r="D83">
        <f t="shared" si="7"/>
        <v>0.17717371177880692</v>
      </c>
      <c r="E83">
        <v>72</v>
      </c>
      <c r="F83">
        <v>0.36000000000000021</v>
      </c>
      <c r="G83">
        <v>0.73913429375091311</v>
      </c>
      <c r="H83">
        <v>0.18537803474889855</v>
      </c>
    </row>
    <row r="84" spans="1:8" x14ac:dyDescent="0.2">
      <c r="A84">
        <f t="shared" si="4"/>
        <v>73</v>
      </c>
      <c r="B84">
        <f t="shared" si="5"/>
        <v>0.36500000000000021</v>
      </c>
      <c r="C84">
        <f t="shared" si="6"/>
        <v>0.74090072072735003</v>
      </c>
      <c r="D84">
        <f t="shared" si="7"/>
        <v>0.18341715151963994</v>
      </c>
      <c r="E84">
        <v>73</v>
      </c>
      <c r="F84">
        <v>0.36500000000000021</v>
      </c>
      <c r="G84">
        <v>0.74928370715658743</v>
      </c>
      <c r="H84">
        <v>0.19174185906767499</v>
      </c>
    </row>
    <row r="85" spans="1:8" x14ac:dyDescent="0.2">
      <c r="A85">
        <f t="shared" si="4"/>
        <v>74</v>
      </c>
      <c r="B85">
        <f t="shared" si="5"/>
        <v>0.37000000000000022</v>
      </c>
      <c r="C85">
        <f t="shared" si="6"/>
        <v>0.75117953813997329</v>
      </c>
      <c r="D85">
        <f t="shared" si="7"/>
        <v>0.18975185268185879</v>
      </c>
      <c r="E85">
        <v>74</v>
      </c>
      <c r="F85">
        <v>0.37000000000000022</v>
      </c>
      <c r="G85">
        <v>0.75904563717809892</v>
      </c>
      <c r="H85">
        <v>0.19819080280355994</v>
      </c>
    </row>
    <row r="86" spans="1:8" x14ac:dyDescent="0.2">
      <c r="A86">
        <f t="shared" si="4"/>
        <v>75</v>
      </c>
      <c r="B86">
        <f t="shared" si="5"/>
        <v>0.37500000000000022</v>
      </c>
      <c r="C86">
        <f t="shared" si="6"/>
        <v>0.76106293538487346</v>
      </c>
      <c r="D86">
        <f t="shared" si="7"/>
        <v>0.19617443773295556</v>
      </c>
      <c r="E86">
        <v>75</v>
      </c>
      <c r="F86">
        <v>0.37500000000000022</v>
      </c>
      <c r="G86">
        <v>0.76842212297739232</v>
      </c>
      <c r="H86">
        <v>0.20472155837420256</v>
      </c>
    </row>
    <row r="87" spans="1:8" x14ac:dyDescent="0.2">
      <c r="A87">
        <f t="shared" si="4"/>
        <v>76</v>
      </c>
      <c r="B87">
        <f t="shared" si="5"/>
        <v>0.38000000000000023</v>
      </c>
      <c r="C87">
        <f t="shared" si="6"/>
        <v>0.77055223866227429</v>
      </c>
      <c r="D87">
        <f t="shared" si="7"/>
        <v>0.20268152583049623</v>
      </c>
      <c r="E87">
        <v>76</v>
      </c>
      <c r="F87">
        <v>0.38000000000000023</v>
      </c>
      <c r="G87">
        <v>0.77741663360700974</v>
      </c>
      <c r="H87">
        <v>0.21133084203021021</v>
      </c>
    </row>
    <row r="88" spans="1:8" x14ac:dyDescent="0.2">
      <c r="A88">
        <f t="shared" si="4"/>
        <v>77</v>
      </c>
      <c r="B88">
        <f t="shared" si="5"/>
        <v>0.38500000000000023</v>
      </c>
      <c r="C88">
        <f t="shared" si="6"/>
        <v>0.77965035254014525</v>
      </c>
      <c r="D88">
        <f t="shared" si="7"/>
        <v>0.20926974747105867</v>
      </c>
      <c r="E88">
        <v>77</v>
      </c>
      <c r="F88">
        <v>0.38500000000000023</v>
      </c>
      <c r="G88">
        <v>0.78603393254925324</v>
      </c>
      <c r="H88">
        <v>0.21801540550678902</v>
      </c>
    </row>
    <row r="89" spans="1:8" x14ac:dyDescent="0.2">
      <c r="A89">
        <f t="shared" si="4"/>
        <v>78</v>
      </c>
      <c r="B89">
        <f t="shared" si="5"/>
        <v>0.39000000000000024</v>
      </c>
      <c r="C89">
        <f t="shared" si="6"/>
        <v>0.78836161974839047</v>
      </c>
      <c r="D89">
        <f t="shared" si="7"/>
        <v>0.21593575798527692</v>
      </c>
      <c r="E89">
        <v>78</v>
      </c>
      <c r="F89">
        <v>0.39000000000000024</v>
      </c>
      <c r="G89">
        <v>0.79427994181896089</v>
      </c>
      <c r="H89">
        <v>0.2247720465106762</v>
      </c>
    </row>
    <row r="90" spans="1:8" x14ac:dyDescent="0.2">
      <c r="A90">
        <f t="shared" si="4"/>
        <v>79</v>
      </c>
      <c r="B90">
        <f t="shared" si="5"/>
        <v>0.39500000000000024</v>
      </c>
      <c r="C90">
        <f t="shared" si="6"/>
        <v>0.79669167834324406</v>
      </c>
      <c r="D90">
        <f t="shared" si="7"/>
        <v>0.22267624983412565</v>
      </c>
      <c r="E90">
        <v>79</v>
      </c>
      <c r="F90">
        <v>0.39500000000000024</v>
      </c>
      <c r="G90">
        <v>0.80216160756869215</v>
      </c>
      <c r="H90">
        <v>0.2315976180474783</v>
      </c>
    </row>
    <row r="91" spans="1:8" x14ac:dyDescent="0.2">
      <c r="A91">
        <f t="shared" si="4"/>
        <v>80</v>
      </c>
      <c r="B91">
        <f t="shared" si="5"/>
        <v>0.40000000000000024</v>
      </c>
      <c r="C91">
        <f t="shared" si="6"/>
        <v>0.80464731860732219</v>
      </c>
      <c r="D91">
        <f t="shared" si="7"/>
        <v>0.22948796368396038</v>
      </c>
      <c r="E91">
        <v>80</v>
      </c>
      <c r="F91">
        <v>0.40000000000000024</v>
      </c>
      <c r="G91">
        <v>0.80968676886588009</v>
      </c>
      <c r="H91">
        <v>0.23848903660997403</v>
      </c>
    </row>
    <row r="92" spans="1:8" x14ac:dyDescent="0.2">
      <c r="A92">
        <f t="shared" si="4"/>
        <v>81</v>
      </c>
      <c r="B92">
        <f t="shared" si="5"/>
        <v>0.40500000000000025</v>
      </c>
      <c r="C92">
        <f t="shared" si="6"/>
        <v>0.81223634177301884</v>
      </c>
      <c r="D92">
        <f t="shared" si="7"/>
        <v>0.23636769825805298</v>
      </c>
      <c r="E92">
        <v>81</v>
      </c>
      <c r="F92">
        <v>0.40500000000000025</v>
      </c>
      <c r="G92">
        <v>0.81686403104172145</v>
      </c>
      <c r="H92">
        <v>0.24544328926106171</v>
      </c>
    </row>
    <row r="93" spans="1:8" x14ac:dyDescent="0.2">
      <c r="A93">
        <f t="shared" si="4"/>
        <v>82</v>
      </c>
      <c r="B93">
        <f t="shared" si="5"/>
        <v>0.41000000000000025</v>
      </c>
      <c r="C93">
        <f t="shared" si="6"/>
        <v>0.81946742236580961</v>
      </c>
      <c r="D93">
        <f t="shared" si="7"/>
        <v>0.2433123189802123</v>
      </c>
      <c r="E93">
        <v>82</v>
      </c>
      <c r="F93">
        <v>0.41000000000000025</v>
      </c>
      <c r="G93">
        <v>0.82370264474894561</v>
      </c>
      <c r="H93">
        <v>0.25245743965586021</v>
      </c>
    </row>
    <row r="94" spans="1:8" x14ac:dyDescent="0.2">
      <c r="A94">
        <f t="shared" si="4"/>
        <v>83</v>
      </c>
      <c r="B94">
        <f t="shared" si="5"/>
        <v>0.41500000000000026</v>
      </c>
      <c r="C94">
        <f t="shared" si="6"/>
        <v>0.82634997567025348</v>
      </c>
      <c r="D94">
        <f t="shared" si="7"/>
        <v>0.25031876544143999</v>
      </c>
      <c r="E94">
        <v>83</v>
      </c>
      <c r="F94">
        <v>0.41500000000000026</v>
      </c>
      <c r="G94">
        <v>0.83021239161626037</v>
      </c>
      <c r="H94">
        <v>0.25952863305609969</v>
      </c>
    </row>
    <row r="95" spans="1:8" x14ac:dyDescent="0.2">
      <c r="A95">
        <f t="shared" si="4"/>
        <v>84</v>
      </c>
      <c r="B95">
        <f t="shared" si="5"/>
        <v>0.42000000000000026</v>
      </c>
      <c r="C95">
        <f t="shared" si="6"/>
        <v>0.83289403153409125</v>
      </c>
      <c r="D95">
        <f t="shared" si="7"/>
        <v>0.25738405773342066</v>
      </c>
      <c r="E95">
        <v>84</v>
      </c>
      <c r="F95">
        <v>0.42000000000000026</v>
      </c>
      <c r="G95">
        <v>0.83640347715583097</v>
      </c>
      <c r="H95">
        <v>0.26665410039650084</v>
      </c>
    </row>
    <row r="96" spans="1:8" x14ac:dyDescent="0.2">
      <c r="A96">
        <f t="shared" si="4"/>
        <v>85</v>
      </c>
      <c r="B96">
        <f t="shared" si="5"/>
        <v>0.42500000000000027</v>
      </c>
      <c r="C96">
        <f t="shared" si="6"/>
        <v>0.83911011545211167</v>
      </c>
      <c r="D96">
        <f t="shared" si="7"/>
        <v>0.26450530170303715</v>
      </c>
      <c r="E96">
        <v>85</v>
      </c>
      <c r="F96">
        <v>0.42500000000000027</v>
      </c>
      <c r="G96">
        <v>0.84228643136980952</v>
      </c>
      <c r="H96">
        <v>0.27383116146750874</v>
      </c>
    </row>
    <row r="97" spans="1:8" x14ac:dyDescent="0.2">
      <c r="A97">
        <f t="shared" si="4"/>
        <v>86</v>
      </c>
      <c r="B97">
        <f t="shared" si="5"/>
        <v>0.43000000000000027</v>
      </c>
      <c r="C97">
        <f t="shared" si="6"/>
        <v>0.84500913761694763</v>
      </c>
      <c r="D97">
        <f t="shared" si="7"/>
        <v>0.27167969319015273</v>
      </c>
      <c r="E97">
        <v>86</v>
      </c>
      <c r="F97">
        <v>0.43000000000000027</v>
      </c>
      <c r="G97">
        <v>0.8478720173146479</v>
      </c>
      <c r="H97">
        <v>0.28105722728171018</v>
      </c>
    </row>
    <row r="98" spans="1:8" x14ac:dyDescent="0.2">
      <c r="A98">
        <f t="shared" si="4"/>
        <v>87</v>
      </c>
      <c r="B98">
        <f t="shared" si="5"/>
        <v>0.43500000000000028</v>
      </c>
      <c r="C98">
        <f t="shared" si="6"/>
        <v>0.85060229039258428</v>
      </c>
      <c r="D98">
        <f t="shared" si="7"/>
        <v>0.27890452131677762</v>
      </c>
      <c r="E98">
        <v>87</v>
      </c>
      <c r="F98">
        <v>0.43500000000000028</v>
      </c>
      <c r="G98">
        <v>0.85317114771855662</v>
      </c>
      <c r="H98">
        <v>0.28832980169272676</v>
      </c>
    </row>
    <row r="99" spans="1:8" x14ac:dyDescent="0.2">
      <c r="A99">
        <f t="shared" si="4"/>
        <v>88</v>
      </c>
      <c r="B99">
        <f t="shared" si="5"/>
        <v>0.44000000000000028</v>
      </c>
      <c r="C99">
        <f t="shared" si="6"/>
        <v>0.85590095446055092</v>
      </c>
      <c r="D99">
        <f t="shared" si="7"/>
        <v>0.28617717089963424</v>
      </c>
      <c r="E99">
        <v>88</v>
      </c>
      <c r="F99">
        <v>0.44000000000000028</v>
      </c>
      <c r="G99">
        <v>0.8581948096079931</v>
      </c>
      <c r="H99">
        <v>0.29564648233554391</v>
      </c>
    </row>
    <row r="100" spans="1:8" x14ac:dyDescent="0.2">
      <c r="A100">
        <f t="shared" si="4"/>
        <v>89</v>
      </c>
      <c r="B100">
        <f t="shared" si="5"/>
        <v>0.44500000000000028</v>
      </c>
      <c r="C100">
        <f t="shared" si="6"/>
        <v>0.86091661370969086</v>
      </c>
      <c r="D100">
        <f t="shared" si="7"/>
        <v>0.29349512406027195</v>
      </c>
      <c r="E100">
        <v>89</v>
      </c>
      <c r="F100">
        <v>0.44500000000000028</v>
      </c>
      <c r="G100">
        <v>0.86295399678272577</v>
      </c>
      <c r="H100">
        <v>0.30300496095631141</v>
      </c>
    </row>
    <row r="101" spans="1:8" x14ac:dyDescent="0.2">
      <c r="A101">
        <f t="shared" si="4"/>
        <v>90</v>
      </c>
      <c r="B101">
        <f t="shared" si="5"/>
        <v>0.45000000000000029</v>
      </c>
      <c r="C101">
        <f t="shared" si="6"/>
        <v>0.86566077878813397</v>
      </c>
      <c r="D101">
        <f t="shared" si="7"/>
        <v>0.3008559611074898</v>
      </c>
      <c r="E101">
        <v>90</v>
      </c>
      <c r="F101">
        <v>0.45000000000000029</v>
      </c>
      <c r="G101">
        <v>0.86745964988454738</v>
      </c>
      <c r="H101">
        <v>0.31040302319783025</v>
      </c>
    </row>
    <row r="102" spans="1:8" x14ac:dyDescent="0.2">
      <c r="A102">
        <f t="shared" si="4"/>
        <v>91</v>
      </c>
      <c r="B102">
        <f t="shared" si="5"/>
        <v>0.45500000000000029</v>
      </c>
      <c r="C102">
        <f t="shared" si="6"/>
        <v>0.87014491910987257</v>
      </c>
      <c r="D102">
        <f t="shared" si="7"/>
        <v>0.30825736076612836</v>
      </c>
      <c r="E102">
        <v>91</v>
      </c>
      <c r="F102">
        <v>0.45500000000000029</v>
      </c>
      <c r="G102">
        <v>0.87172260373043264</v>
      </c>
      <c r="H102">
        <v>0.31783854790439914</v>
      </c>
    </row>
    <row r="103" spans="1:8" x14ac:dyDescent="0.2">
      <c r="A103">
        <f t="shared" si="4"/>
        <v>92</v>
      </c>
      <c r="B103">
        <f t="shared" si="5"/>
        <v>0.4600000000000003</v>
      </c>
      <c r="C103">
        <f t="shared" si="6"/>
        <v>0.87438040300672493</v>
      </c>
      <c r="D103">
        <f t="shared" si="7"/>
        <v>0.31569709982451777</v>
      </c>
      <c r="E103">
        <v>92</v>
      </c>
      <c r="F103">
        <v>0.4600000000000003</v>
      </c>
      <c r="G103">
        <v>0.87575354152494367</v>
      </c>
      <c r="H103">
        <v>0.32530950600660224</v>
      </c>
    </row>
    <row r="104" spans="1:8" x14ac:dyDescent="0.2">
      <c r="A104">
        <f t="shared" si="4"/>
        <v>93</v>
      </c>
      <c r="B104">
        <f t="shared" si="5"/>
        <v>0.4650000000000003</v>
      </c>
      <c r="C104">
        <f t="shared" si="6"/>
        <v>0.87837844563757572</v>
      </c>
      <c r="D104">
        <f t="shared" si="7"/>
        <v>0.32317305227022525</v>
      </c>
      <c r="E104">
        <v>93</v>
      </c>
      <c r="F104">
        <v>0.4650000000000003</v>
      </c>
      <c r="G104">
        <v>0.87956295552693153</v>
      </c>
      <c r="H104">
        <v>0.33281395904312133</v>
      </c>
    </row>
    <row r="105" spans="1:8" x14ac:dyDescent="0.2">
      <c r="A105">
        <f t="shared" si="4"/>
        <v>94</v>
      </c>
      <c r="B105">
        <f t="shared" si="5"/>
        <v>0.47000000000000031</v>
      </c>
      <c r="C105">
        <f t="shared" si="6"/>
        <v>0.88215006420840636</v>
      </c>
      <c r="D105">
        <f t="shared" si="7"/>
        <v>0.33068318798042651</v>
      </c>
      <c r="E105">
        <v>94</v>
      </c>
      <c r="F105">
        <v>0.47000000000000031</v>
      </c>
      <c r="G105">
        <v>0.88316111371999528</v>
      </c>
      <c r="H105">
        <v>0.3403500573728831</v>
      </c>
    </row>
    <row r="106" spans="1:8" x14ac:dyDescent="0.2">
      <c r="A106">
        <f t="shared" si="4"/>
        <v>95</v>
      </c>
      <c r="B106">
        <f t="shared" si="5"/>
        <v>0.47500000000000031</v>
      </c>
      <c r="C106">
        <f t="shared" si="6"/>
        <v>0.88570604001641906</v>
      </c>
      <c r="D106">
        <f t="shared" si="7"/>
        <v>0.33822557102940837</v>
      </c>
      <c r="E106">
        <v>95</v>
      </c>
      <c r="F106">
        <v>0.47500000000000031</v>
      </c>
      <c r="G106">
        <v>0.8865580320226869</v>
      </c>
      <c r="H106">
        <v>0.34791603812691713</v>
      </c>
    </row>
    <row r="107" spans="1:8" x14ac:dyDescent="0.2">
      <c r="A107">
        <f t="shared" si="4"/>
        <v>96</v>
      </c>
      <c r="B107">
        <f t="shared" si="5"/>
        <v>0.48000000000000032</v>
      </c>
      <c r="C107">
        <f t="shared" si="6"/>
        <v>0.8890568868071087</v>
      </c>
      <c r="D107">
        <f t="shared" si="7"/>
        <v>0.34579835767154876</v>
      </c>
      <c r="E107">
        <v>96</v>
      </c>
      <c r="F107">
        <v>0.48000000000000032</v>
      </c>
      <c r="G107">
        <v>0.88976345157115466</v>
      </c>
      <c r="H107">
        <v>0.35551022294529688</v>
      </c>
    </row>
    <row r="108" spans="1:8" x14ac:dyDescent="0.2">
      <c r="A108">
        <f t="shared" si="4"/>
        <v>97</v>
      </c>
      <c r="B108">
        <f t="shared" si="5"/>
        <v>0.48500000000000032</v>
      </c>
      <c r="C108">
        <f t="shared" si="6"/>
        <v>0.89221282492208687</v>
      </c>
      <c r="D108">
        <f t="shared" si="7"/>
        <v>0.35339979405374955</v>
      </c>
      <c r="E108">
        <v>97</v>
      </c>
      <c r="F108">
        <v>0.48500000000000032</v>
      </c>
      <c r="G108">
        <v>0.89278682061197734</v>
      </c>
      <c r="H108">
        <v>0.36313101554054522</v>
      </c>
    </row>
    <row r="109" spans="1:8" x14ac:dyDescent="0.2">
      <c r="A109">
        <f t="shared" si="4"/>
        <v>98</v>
      </c>
      <c r="B109">
        <f t="shared" si="5"/>
        <v>0.49000000000000032</v>
      </c>
      <c r="C109">
        <f t="shared" si="6"/>
        <v>0.89518376071556649</v>
      </c>
      <c r="D109">
        <f t="shared" si="7"/>
        <v>0.36102821370683341</v>
      </c>
      <c r="E109">
        <v>98</v>
      </c>
      <c r="F109">
        <v>0.49000000000000032</v>
      </c>
      <c r="G109">
        <v>0.89563728055469993</v>
      </c>
      <c r="H109">
        <v>0.37077689912496914</v>
      </c>
    </row>
    <row r="110" spans="1:8" x14ac:dyDescent="0.2">
      <c r="A110">
        <f t="shared" si="4"/>
        <v>99</v>
      </c>
      <c r="B110">
        <f t="shared" si="5"/>
        <v>0.49500000000000033</v>
      </c>
      <c r="C110">
        <f t="shared" si="6"/>
        <v>0.89797927072658434</v>
      </c>
      <c r="D110">
        <f t="shared" si="7"/>
        <v>0.36868203486095152</v>
      </c>
      <c r="E110">
        <v>99</v>
      </c>
      <c r="F110">
        <v>0.49500000000000033</v>
      </c>
      <c r="G110">
        <v>0.89832365575055817</v>
      </c>
      <c r="H110">
        <v>0.37844643373559894</v>
      </c>
    </row>
    <row r="111" spans="1:8" x14ac:dyDescent="0.2">
      <c r="A111">
        <f t="shared" si="4"/>
        <v>100</v>
      </c>
      <c r="B111">
        <f t="shared" si="5"/>
        <v>0.50000000000000033</v>
      </c>
      <c r="C111">
        <f t="shared" si="6"/>
        <v>0.90060859011036765</v>
      </c>
      <c r="D111">
        <f t="shared" si="7"/>
        <v>0.37635975762566382</v>
      </c>
      <c r="E111">
        <v>100</v>
      </c>
      <c r="F111">
        <v>0.50000000000000033</v>
      </c>
      <c r="G111">
        <v>0.90085444658476199</v>
      </c>
      <c r="H111">
        <v>0.38613825348678155</v>
      </c>
    </row>
    <row r="112" spans="1:8" x14ac:dyDescent="0.2">
      <c r="A112">
        <f t="shared" si="4"/>
        <v>101</v>
      </c>
      <c r="B112">
        <f t="shared" si="5"/>
        <v>0.50500000000000034</v>
      </c>
      <c r="C112">
        <f t="shared" si="6"/>
        <v>0.90308060485405606</v>
      </c>
      <c r="D112">
        <f t="shared" si="7"/>
        <v>0.38405996107110746</v>
      </c>
      <c r="E112">
        <v>101</v>
      </c>
      <c r="F112">
        <v>0.50500000000000034</v>
      </c>
      <c r="G112">
        <v>0.9032378254933644</v>
      </c>
      <c r="H112">
        <v>0.39385106377704493</v>
      </c>
    </row>
    <row r="113" spans="1:8" x14ac:dyDescent="0.2">
      <c r="A113">
        <f t="shared" si="4"/>
        <v>102</v>
      </c>
      <c r="B113">
        <f t="shared" si="5"/>
        <v>0.51000000000000034</v>
      </c>
      <c r="C113">
        <f t="shared" si="6"/>
        <v>0.90540384732778001</v>
      </c>
      <c r="D113">
        <f t="shared" si="7"/>
        <v>0.39178130024260965</v>
      </c>
      <c r="E113">
        <v>102</v>
      </c>
      <c r="F113">
        <v>0.51000000000000034</v>
      </c>
      <c r="G113">
        <v>0.90548163554121042</v>
      </c>
      <c r="H113">
        <v>0.40158363847362982</v>
      </c>
    </row>
    <row r="114" spans="1:8" x14ac:dyDescent="0.2">
      <c r="A114">
        <f t="shared" si="4"/>
        <v>103</v>
      </c>
      <c r="B114">
        <f t="shared" si="5"/>
        <v>0.51500000000000035</v>
      </c>
      <c r="C114">
        <f t="shared" si="6"/>
        <v>0.9075864947506066</v>
      </c>
      <c r="D114">
        <f t="shared" si="7"/>
        <v>0.39952250313726217</v>
      </c>
      <c r="E114">
        <v>103</v>
      </c>
      <c r="F114">
        <v>0.51500000000000035</v>
      </c>
      <c r="G114">
        <v>0.90759339122392968</v>
      </c>
      <c r="H114">
        <v>0.40933481709508868</v>
      </c>
    </row>
    <row r="115" spans="1:8" x14ac:dyDescent="0.2">
      <c r="A115">
        <f t="shared" si="4"/>
        <v>104</v>
      </c>
      <c r="B115">
        <f t="shared" si="5"/>
        <v>0.52000000000000035</v>
      </c>
      <c r="C115">
        <f t="shared" si="6"/>
        <v>0.90963637018100874</v>
      </c>
      <c r="D115">
        <f t="shared" si="7"/>
        <v>0.40728236766737985</v>
      </c>
      <c r="E115">
        <v>104</v>
      </c>
      <c r="F115">
        <v>0.52000000000000035</v>
      </c>
      <c r="G115">
        <v>0.90958028118374001</v>
      </c>
      <c r="H115">
        <v>0.4171035020095834</v>
      </c>
    </row>
    <row r="116" spans="1:8" x14ac:dyDescent="0.2">
      <c r="A116">
        <f t="shared" si="4"/>
        <v>105</v>
      </c>
      <c r="B116">
        <f t="shared" si="5"/>
        <v>0.52500000000000036</v>
      </c>
      <c r="C116">
        <f t="shared" si="6"/>
        <v>0.91156094567241441</v>
      </c>
      <c r="D116">
        <f t="shared" si="7"/>
        <v>0.4150597586324275</v>
      </c>
      <c r="E116">
        <v>105</v>
      </c>
      <c r="F116">
        <v>0.52500000000000036</v>
      </c>
      <c r="G116">
        <v>0.91144917255543434</v>
      </c>
      <c r="H116">
        <v>0.42488865566397582</v>
      </c>
    </row>
    <row r="117" spans="1:8" x14ac:dyDescent="0.2">
      <c r="A117">
        <f t="shared" si="4"/>
        <v>106</v>
      </c>
      <c r="B117">
        <f t="shared" si="5"/>
        <v>0.53000000000000036</v>
      </c>
      <c r="C117">
        <f t="shared" si="6"/>
        <v>0.91336734726531421</v>
      </c>
      <c r="D117">
        <f t="shared" si="7"/>
        <v>0.42285360471792666</v>
      </c>
      <c r="E117">
        <v>106</v>
      </c>
      <c r="F117">
        <v>0.53000000000000036</v>
      </c>
      <c r="G117">
        <v>0.9132066166849061</v>
      </c>
      <c r="H117">
        <v>0.43268929785649168</v>
      </c>
    </row>
    <row r="118" spans="1:8" x14ac:dyDescent="0.2">
      <c r="A118">
        <f t="shared" si="4"/>
        <v>107</v>
      </c>
      <c r="B118">
        <f t="shared" si="5"/>
        <v>0.53500000000000036</v>
      </c>
      <c r="C118">
        <f t="shared" si="6"/>
        <v>0.91506236151778142</v>
      </c>
      <c r="D118">
        <f t="shared" si="7"/>
        <v>0.43066289553704507</v>
      </c>
      <c r="E118">
        <v>107</v>
      </c>
      <c r="F118">
        <v>0.53500000000000036</v>
      </c>
      <c r="G118">
        <v>0.91485885598760508</v>
      </c>
      <c r="H118">
        <v>0.44050450306364569</v>
      </c>
    </row>
    <row r="119" spans="1:8" x14ac:dyDescent="0.2">
      <c r="A119">
        <f t="shared" si="4"/>
        <v>108</v>
      </c>
      <c r="B119">
        <f t="shared" si="5"/>
        <v>0.54000000000000037</v>
      </c>
      <c r="C119">
        <f t="shared" si="6"/>
        <v>0.91665244330564755</v>
      </c>
      <c r="D119">
        <f t="shared" si="7"/>
        <v>0.43848667872802211</v>
      </c>
      <c r="E119">
        <v>108</v>
      </c>
      <c r="F119">
        <v>0.54000000000000037</v>
      </c>
      <c r="G119">
        <v>0.91641183173816965</v>
      </c>
      <c r="H119">
        <v>0.44833339783023046</v>
      </c>
    </row>
    <row r="120" spans="1:8" x14ac:dyDescent="0.2">
      <c r="A120">
        <f t="shared" si="4"/>
        <v>109</v>
      </c>
      <c r="B120">
        <f t="shared" si="5"/>
        <v>0.54500000000000037</v>
      </c>
      <c r="C120">
        <f t="shared" si="6"/>
        <v>0.91814372465164307</v>
      </c>
      <c r="D120">
        <f t="shared" si="7"/>
        <v>0.44632405711828538</v>
      </c>
      <c r="E120">
        <v>109</v>
      </c>
      <c r="F120">
        <v>0.54500000000000037</v>
      </c>
      <c r="G120">
        <v>0.91787119260498951</v>
      </c>
      <c r="H120">
        <v>0.45617515822948707</v>
      </c>
    </row>
    <row r="121" spans="1:8" x14ac:dyDescent="0.2">
      <c r="A121">
        <f t="shared" si="4"/>
        <v>110</v>
      </c>
      <c r="B121">
        <f t="shared" si="5"/>
        <v>0.55000000000000038</v>
      </c>
      <c r="C121">
        <f t="shared" si="6"/>
        <v>0.91954202436932986</v>
      </c>
      <c r="D121">
        <f t="shared" si="7"/>
        <v>0.4541741859640569</v>
      </c>
      <c r="E121">
        <v>110</v>
      </c>
      <c r="F121">
        <v>0.55000000000000038</v>
      </c>
      <c r="G121">
        <v>0.91924230376450211</v>
      </c>
      <c r="H121">
        <v>0.46402900739907477</v>
      </c>
    </row>
    <row r="122" spans="1:8" x14ac:dyDescent="0.2">
      <c r="A122">
        <f t="shared" si="4"/>
        <v>111</v>
      </c>
      <c r="B122">
        <f t="shared" si="5"/>
        <v>0.55500000000000038</v>
      </c>
      <c r="C122">
        <f t="shared" si="6"/>
        <v>0.92085285833246611</v>
      </c>
      <c r="D122">
        <f t="shared" si="7"/>
        <v>0.46203627027241467</v>
      </c>
      <c r="E122">
        <v>111</v>
      </c>
      <c r="F122">
        <v>0.55500000000000038</v>
      </c>
      <c r="G122">
        <v>0.92053025644956854</v>
      </c>
      <c r="H122">
        <v>0.47189421315713281</v>
      </c>
    </row>
    <row r="123" spans="1:8" x14ac:dyDescent="0.2">
      <c r="A123">
        <f t="shared" si="4"/>
        <v>112</v>
      </c>
      <c r="B123">
        <f t="shared" si="5"/>
        <v>0.56000000000000039</v>
      </c>
      <c r="C123">
        <f t="shared" si="6"/>
        <v>0.92208145020346677</v>
      </c>
      <c r="D123">
        <f t="shared" si="7"/>
        <v>0.46990956221115726</v>
      </c>
      <c r="E123">
        <v>112</v>
      </c>
      <c r="F123">
        <v>0.56000000000000039</v>
      </c>
      <c r="G123">
        <v>0.9217398778042899</v>
      </c>
      <c r="H123">
        <v>0.47977008570156138</v>
      </c>
    </row>
    <row r="124" spans="1:8" x14ac:dyDescent="0.2">
      <c r="A124">
        <f t="shared" si="4"/>
        <v>113</v>
      </c>
      <c r="B124">
        <f t="shared" si="5"/>
        <v>0.56500000000000039</v>
      </c>
      <c r="C124">
        <f t="shared" si="6"/>
        <v>0.92323274247582465</v>
      </c>
      <c r="D124">
        <f t="shared" si="7"/>
        <v>0.4777933586103969</v>
      </c>
      <c r="E124">
        <v>113</v>
      </c>
      <c r="F124">
        <v>0.56500000000000039</v>
      </c>
      <c r="G124">
        <v>0.92287574093412283</v>
      </c>
      <c r="H124">
        <v>0.48765597539463157</v>
      </c>
    </row>
    <row r="125" spans="1:8" x14ac:dyDescent="0.2">
      <c r="A125">
        <f t="shared" si="4"/>
        <v>114</v>
      </c>
      <c r="B125">
        <f t="shared" si="5"/>
        <v>0.5700000000000004</v>
      </c>
      <c r="C125">
        <f t="shared" si="6"/>
        <v>0.92431140770474352</v>
      </c>
      <c r="D125">
        <f t="shared" si="7"/>
        <v>0.48568699855856517</v>
      </c>
      <c r="E125">
        <v>114</v>
      </c>
      <c r="F125">
        <v>0.5700000000000004</v>
      </c>
      <c r="G125">
        <v>0.92394217505518406</v>
      </c>
      <c r="H125">
        <v>0.49555127063415139</v>
      </c>
    </row>
    <row r="126" spans="1:8" x14ac:dyDescent="0.2">
      <c r="A126">
        <f t="shared" si="4"/>
        <v>115</v>
      </c>
      <c r="B126">
        <f t="shared" si="5"/>
        <v>0.5750000000000004</v>
      </c>
      <c r="C126">
        <f t="shared" si="6"/>
        <v>0.92532185981785142</v>
      </c>
      <c r="D126">
        <f t="shared" si="7"/>
        <v>0.49358986109444075</v>
      </c>
      <c r="E126">
        <v>115</v>
      </c>
      <c r="F126">
        <v>0.5750000000000004</v>
      </c>
      <c r="G126">
        <v>0.92494327566023948</v>
      </c>
      <c r="H126">
        <v>0.50345539581165411</v>
      </c>
    </row>
    <row r="127" spans="1:8" x14ac:dyDescent="0.2">
      <c r="A127">
        <f t="shared" si="4"/>
        <v>116</v>
      </c>
      <c r="B127">
        <f t="shared" si="5"/>
        <v>0.5800000000000004</v>
      </c>
      <c r="C127">
        <f t="shared" si="6"/>
        <v>0.92626826541377361</v>
      </c>
      <c r="D127">
        <f t="shared" si="7"/>
        <v>0.50150136299588333</v>
      </c>
      <c r="E127">
        <v>116</v>
      </c>
      <c r="F127">
        <v>0.5800000000000004</v>
      </c>
      <c r="G127">
        <v>0.92588291463113848</v>
      </c>
      <c r="H127">
        <v>0.51136780935742521</v>
      </c>
    </row>
    <row r="128" spans="1:8" x14ac:dyDescent="0.2">
      <c r="A128">
        <f t="shared" si="4"/>
        <v>117</v>
      </c>
      <c r="B128">
        <f t="shared" si="5"/>
        <v>0.58500000000000041</v>
      </c>
      <c r="C128">
        <f t="shared" si="6"/>
        <v>0.92715455497063326</v>
      </c>
      <c r="D128">
        <f t="shared" si="7"/>
        <v>0.50942095666517107</v>
      </c>
      <c r="E128">
        <v>117</v>
      </c>
      <c r="F128">
        <v>0.58500000000000041</v>
      </c>
      <c r="G128">
        <v>0.92676475023844451</v>
      </c>
      <c r="H128">
        <v>0.51928800187163404</v>
      </c>
    </row>
    <row r="129" spans="1:8" x14ac:dyDescent="0.2">
      <c r="A129">
        <f t="shared" si="4"/>
        <v>118</v>
      </c>
      <c r="B129">
        <f t="shared" si="5"/>
        <v>0.59000000000000041</v>
      </c>
      <c r="C129">
        <f t="shared" si="6"/>
        <v>0.92798443389931295</v>
      </c>
      <c r="D129">
        <f t="shared" si="7"/>
        <v>0.51734812811016995</v>
      </c>
      <c r="E129">
        <v>118</v>
      </c>
      <c r="F129">
        <v>0.59000000000000041</v>
      </c>
      <c r="G129">
        <v>0.92759223697882354</v>
      </c>
      <c r="H129">
        <v>0.52721549434037229</v>
      </c>
    </row>
    <row r="130" spans="1:8" x14ac:dyDescent="0.2">
      <c r="A130">
        <f t="shared" si="4"/>
        <v>119</v>
      </c>
      <c r="B130">
        <f t="shared" si="5"/>
        <v>0.59500000000000042</v>
      </c>
      <c r="C130">
        <f t="shared" si="6"/>
        <v>0.9287613933876514</v>
      </c>
      <c r="D130">
        <f t="shared" si="7"/>
        <v>0.52528239502000906</v>
      </c>
      <c r="E130">
        <v>119</v>
      </c>
      <c r="F130">
        <v>0.59500000000000042</v>
      </c>
      <c r="G130">
        <v>0.92836863520945667</v>
      </c>
      <c r="H130">
        <v>0.53514983643502068</v>
      </c>
    </row>
    <row r="131" spans="1:8" x14ac:dyDescent="0.2">
      <c r="A131">
        <f t="shared" si="4"/>
        <v>120</v>
      </c>
      <c r="B131">
        <f t="shared" si="5"/>
        <v>0.60000000000000042</v>
      </c>
      <c r="C131">
        <f t="shared" si="6"/>
        <v>0.9294887209917736</v>
      </c>
      <c r="D131">
        <f t="shared" si="7"/>
        <v>0.53322330493347347</v>
      </c>
      <c r="E131">
        <v>120</v>
      </c>
      <c r="F131">
        <v>0.60000000000000042</v>
      </c>
      <c r="G131">
        <v>0.92909702054644283</v>
      </c>
      <c r="H131">
        <v>0.54309060489305006</v>
      </c>
    </row>
    <row r="132" spans="1:8" x14ac:dyDescent="0.2">
      <c r="A132">
        <f t="shared" si="4"/>
        <v>121</v>
      </c>
      <c r="B132">
        <f t="shared" si="5"/>
        <v>0.60500000000000043</v>
      </c>
      <c r="C132">
        <f t="shared" si="6"/>
        <v>0.93016951093956934</v>
      </c>
      <c r="D132">
        <f t="shared" si="7"/>
        <v>0.54117043349795313</v>
      </c>
      <c r="E132">
        <v>121</v>
      </c>
      <c r="F132">
        <v>0.60500000000000043</v>
      </c>
      <c r="G132">
        <v>0.92978029300092357</v>
      </c>
      <c r="H132">
        <v>0.5510374019781128</v>
      </c>
    </row>
    <row r="133" spans="1:8" x14ac:dyDescent="0.2">
      <c r="A133">
        <f t="shared" si="4"/>
        <v>122</v>
      </c>
      <c r="B133">
        <f t="shared" si="5"/>
        <v>0.61000000000000043</v>
      </c>
      <c r="C133">
        <f t="shared" si="6"/>
        <v>0.93080667411904516</v>
      </c>
      <c r="D133">
        <f t="shared" si="7"/>
        <v>0.54912338281648643</v>
      </c>
      <c r="E133">
        <v>122</v>
      </c>
      <c r="F133">
        <v>0.61000000000000043</v>
      </c>
      <c r="G133">
        <v>0.93042118583258826</v>
      </c>
      <c r="H133">
        <v>0.55898985401708245</v>
      </c>
    </row>
    <row r="134" spans="1:8" x14ac:dyDescent="0.2">
      <c r="A134">
        <f t="shared" si="4"/>
        <v>123</v>
      </c>
      <c r="B134">
        <f t="shared" si="5"/>
        <v>0.61500000000000044</v>
      </c>
      <c r="C134">
        <f t="shared" si="6"/>
        <v>0.93140294773098242</v>
      </c>
      <c r="D134">
        <f t="shared" si="7"/>
        <v>0.55708177988020424</v>
      </c>
      <c r="E134">
        <v>123</v>
      </c>
      <c r="F134">
        <v>0.61500000000000044</v>
      </c>
      <c r="G134">
        <v>0.93102227410537497</v>
      </c>
      <c r="H134">
        <v>0.56694761001154936</v>
      </c>
    </row>
    <row r="135" spans="1:8" x14ac:dyDescent="0.2">
      <c r="A135">
        <f t="shared" si="4"/>
        <v>124</v>
      </c>
      <c r="B135">
        <f t="shared" si="5"/>
        <v>0.62000000000000044</v>
      </c>
      <c r="C135">
        <f t="shared" si="6"/>
        <v>0.93196090459113989</v>
      </c>
      <c r="D135">
        <f t="shared" si="7"/>
        <v>0.56504527508330415</v>
      </c>
      <c r="E135">
        <v>124</v>
      </c>
      <c r="F135">
        <v>0.62000000000000044</v>
      </c>
      <c r="G135">
        <v>0.93158598293465211</v>
      </c>
      <c r="H135">
        <v>0.57491034032117039</v>
      </c>
    </row>
    <row r="136" spans="1:8" x14ac:dyDescent="0.2">
      <c r="A136">
        <f t="shared" si="4"/>
        <v>125</v>
      </c>
      <c r="B136">
        <f t="shared" si="5"/>
        <v>0.62500000000000044</v>
      </c>
      <c r="C136">
        <f t="shared" si="6"/>
        <v>0.93248296207222658</v>
      </c>
      <c r="D136">
        <f t="shared" si="7"/>
        <v>0.5730135408175584</v>
      </c>
      <c r="E136">
        <v>125</v>
      </c>
      <c r="F136">
        <v>0.62500000000000044</v>
      </c>
      <c r="G136">
        <v>0.93211459541901176</v>
      </c>
      <c r="H136">
        <v>0.58287773541619792</v>
      </c>
    </row>
    <row r="137" spans="1:8" x14ac:dyDescent="0.2">
      <c r="A137">
        <f t="shared" si="4"/>
        <v>126</v>
      </c>
      <c r="B137">
        <f t="shared" si="5"/>
        <v>0.63000000000000045</v>
      </c>
      <c r="C137">
        <f t="shared" si="6"/>
        <v>0.93297139068013601</v>
      </c>
      <c r="D137">
        <f t="shared" si="7"/>
        <v>0.58098627014327597</v>
      </c>
      <c r="E137">
        <v>126</v>
      </c>
      <c r="F137">
        <v>0.63000000000000045</v>
      </c>
      <c r="G137">
        <v>0.93261026025310034</v>
      </c>
      <c r="H137">
        <v>0.59084950469646924</v>
      </c>
    </row>
    <row r="138" spans="1:8" x14ac:dyDescent="0.2">
      <c r="A138">
        <f t="shared" si="4"/>
        <v>127</v>
      </c>
      <c r="B138">
        <f t="shared" si="5"/>
        <v>0.63500000000000045</v>
      </c>
      <c r="C138">
        <f t="shared" si="6"/>
        <v>0.93342832226254713</v>
      </c>
      <c r="D138">
        <f t="shared" si="7"/>
        <v>0.58896317553359112</v>
      </c>
      <c r="E138">
        <v>127</v>
      </c>
      <c r="F138">
        <v>0.63500000000000045</v>
      </c>
      <c r="G138">
        <v>0.9330749990207089</v>
      </c>
      <c r="H138">
        <v>0.59882537537411962</v>
      </c>
    </row>
    <row r="139" spans="1:8" x14ac:dyDescent="0.2">
      <c r="A139">
        <f t="shared" si="4"/>
        <v>128</v>
      </c>
      <c r="B139">
        <f t="shared" si="5"/>
        <v>0.64000000000000046</v>
      </c>
      <c r="C139">
        <f t="shared" si="6"/>
        <v>0.93385575785103891</v>
      </c>
      <c r="D139">
        <f t="shared" si="7"/>
        <v>0.59694398768893586</v>
      </c>
      <c r="E139">
        <v>128</v>
      </c>
      <c r="F139">
        <v>0.64000000000000046</v>
      </c>
      <c r="G139">
        <v>0.93351071316970613</v>
      </c>
      <c r="H139">
        <v>0.60680509141728733</v>
      </c>
    </row>
    <row r="140" spans="1:8" x14ac:dyDescent="0.2">
      <c r="A140">
        <f t="shared" si="4"/>
        <v>129</v>
      </c>
      <c r="B140">
        <f t="shared" si="5"/>
        <v>0.64500000000000046</v>
      </c>
      <c r="C140">
        <f t="shared" si="6"/>
        <v>0.93425557514040347</v>
      </c>
      <c r="D140">
        <f t="shared" si="7"/>
        <v>0.60492845441856224</v>
      </c>
      <c r="E140">
        <v>129</v>
      </c>
      <c r="F140">
        <v>0.64500000000000046</v>
      </c>
      <c r="G140">
        <v>0.93391919067236795</v>
      </c>
      <c r="H140">
        <v>0.61478841255210137</v>
      </c>
    </row>
    <row r="141" spans="1:8" x14ac:dyDescent="0.2">
      <c r="A141">
        <f t="shared" ref="A141:A204" si="8">A140+1</f>
        <v>130</v>
      </c>
      <c r="B141">
        <f t="shared" ref="B141:B204" si="9">B140+$B$6</f>
        <v>0.65000000000000047</v>
      </c>
      <c r="C141">
        <f t="shared" ref="C141:C204" si="10">C140+$B$6*($B$1*C140-($B$1/$B$2)*C140^2)</f>
        <v>0.93462953561092899</v>
      </c>
      <c r="D141">
        <f t="shared" ref="D141:D204" si="11">D140+$B$6*($B$3*C140)</f>
        <v>0.61291633958601266</v>
      </c>
      <c r="E141">
        <v>130</v>
      </c>
      <c r="F141">
        <v>0.65000000000000047</v>
      </c>
      <c r="G141">
        <v>0.93430211237628824</v>
      </c>
      <c r="H141">
        <v>0.62277511332028046</v>
      </c>
    </row>
    <row r="142" spans="1:8" x14ac:dyDescent="0.2">
      <c r="A142">
        <f t="shared" si="8"/>
        <v>131</v>
      </c>
      <c r="B142">
        <f t="shared" si="9"/>
        <v>0.65500000000000047</v>
      </c>
      <c r="C142">
        <f t="shared" si="10"/>
        <v>0.93497929130112811</v>
      </c>
      <c r="D142">
        <f t="shared" si="11"/>
        <v>0.62090742211548611</v>
      </c>
      <c r="E142">
        <v>131</v>
      </c>
      <c r="F142">
        <v>0.65500000000000047</v>
      </c>
      <c r="G142">
        <v>0.93466105805238342</v>
      </c>
      <c r="H142">
        <v>0.63076498218972366</v>
      </c>
    </row>
    <row r="143" spans="1:8" x14ac:dyDescent="0.2">
      <c r="A143">
        <f t="shared" si="8"/>
        <v>132</v>
      </c>
      <c r="B143">
        <f t="shared" si="9"/>
        <v>0.66000000000000048</v>
      </c>
      <c r="C143">
        <f t="shared" si="10"/>
        <v>0.93530639123974735</v>
      </c>
      <c r="D143">
        <f t="shared" si="11"/>
        <v>0.6289014950561107</v>
      </c>
      <c r="E143">
        <v>132</v>
      </c>
      <c r="F143">
        <v>0.66000000000000048</v>
      </c>
      <c r="G143">
        <v>0.9349975121475762</v>
      </c>
      <c r="H143">
        <v>0.63875782071553167</v>
      </c>
    </row>
    <row r="144" spans="1:8" x14ac:dyDescent="0.2">
      <c r="A144">
        <f t="shared" si="8"/>
        <v>133</v>
      </c>
      <c r="B144">
        <f t="shared" si="9"/>
        <v>0.66500000000000048</v>
      </c>
      <c r="C144">
        <f t="shared" si="10"/>
        <v>0.93561228754695958</v>
      </c>
      <c r="D144">
        <f t="shared" si="11"/>
        <v>0.63689836470121053</v>
      </c>
      <c r="E144">
        <v>133</v>
      </c>
      <c r="F144">
        <v>0.66500000000000048</v>
      </c>
      <c r="G144">
        <v>0.93531286925057866</v>
      </c>
      <c r="H144">
        <v>0.64675344274896951</v>
      </c>
    </row>
    <row r="145" spans="1:8" x14ac:dyDescent="0.2">
      <c r="A145">
        <f t="shared" si="8"/>
        <v>134</v>
      </c>
      <c r="B145">
        <f t="shared" si="9"/>
        <v>0.67000000000000048</v>
      </c>
      <c r="C145">
        <f t="shared" si="10"/>
        <v>0.93589834121545568</v>
      </c>
      <c r="D145">
        <f t="shared" si="11"/>
        <v>0.64489784975973707</v>
      </c>
      <c r="E145">
        <v>134</v>
      </c>
      <c r="F145">
        <v>0.67000000000000048</v>
      </c>
      <c r="G145">
        <v>0.93560843927984283</v>
      </c>
      <c r="H145">
        <v>0.65475167369195331</v>
      </c>
    </row>
    <row r="146" spans="1:8" x14ac:dyDescent="0.2">
      <c r="A146">
        <f t="shared" si="8"/>
        <v>135</v>
      </c>
      <c r="B146">
        <f t="shared" si="9"/>
        <v>0.67500000000000049</v>
      </c>
      <c r="C146">
        <f t="shared" si="10"/>
        <v>0.93616582758274391</v>
      </c>
      <c r="D146">
        <f t="shared" si="11"/>
        <v>0.65289978057712927</v>
      </c>
      <c r="E146">
        <v>135</v>
      </c>
      <c r="F146">
        <v>0.67500000000000049</v>
      </c>
      <c r="G146">
        <v>0.93588545240321597</v>
      </c>
      <c r="H146">
        <v>0.66275234979472764</v>
      </c>
    </row>
    <row r="147" spans="1:8" x14ac:dyDescent="0.2">
      <c r="A147">
        <f t="shared" si="8"/>
        <v>136</v>
      </c>
      <c r="B147">
        <f t="shared" si="9"/>
        <v>0.68000000000000049</v>
      </c>
      <c r="C147">
        <f t="shared" si="10"/>
        <v>0.93641594150637508</v>
      </c>
      <c r="D147">
        <f t="shared" si="11"/>
        <v>0.66090399840296177</v>
      </c>
      <c r="E147">
        <v>136</v>
      </c>
      <c r="F147">
        <v>0.68000000000000049</v>
      </c>
      <c r="G147">
        <v>0.93614506369916672</v>
      </c>
      <c r="H147">
        <v>0.67075531749447859</v>
      </c>
    </row>
    <row r="148" spans="1:8" x14ac:dyDescent="0.2">
      <c r="A148">
        <f t="shared" si="8"/>
        <v>137</v>
      </c>
      <c r="B148">
        <f t="shared" si="9"/>
        <v>0.6850000000000005</v>
      </c>
      <c r="C148">
        <f t="shared" si="10"/>
        <v>0.93664980225405725</v>
      </c>
      <c r="D148">
        <f t="shared" si="11"/>
        <v>0.66891035470284133</v>
      </c>
      <c r="E148">
        <v>137</v>
      </c>
      <c r="F148">
        <v>0.6850000000000005</v>
      </c>
      <c r="G148">
        <v>0.93638835756964822</v>
      </c>
      <c r="H148">
        <v>0.6787604327927178</v>
      </c>
    </row>
    <row r="149" spans="1:8" x14ac:dyDescent="0.2">
      <c r="A149">
        <f t="shared" si="8"/>
        <v>138</v>
      </c>
      <c r="B149">
        <f t="shared" si="9"/>
        <v>0.6900000000000005</v>
      </c>
      <c r="C149">
        <f t="shared" si="10"/>
        <v>0.93686845812074271</v>
      </c>
      <c r="D149">
        <f t="shared" si="11"/>
        <v>0.6769187105121135</v>
      </c>
      <c r="E149">
        <v>138</v>
      </c>
      <c r="F149">
        <v>0.6900000000000005</v>
      </c>
      <c r="G149">
        <v>0.93661635191476156</v>
      </c>
      <c r="H149">
        <v>0.68676756066935563</v>
      </c>
    </row>
    <row r="150" spans="1:8" x14ac:dyDescent="0.2">
      <c r="A150">
        <f t="shared" si="8"/>
        <v>139</v>
      </c>
      <c r="B150">
        <f t="shared" si="9"/>
        <v>0.69500000000000051</v>
      </c>
      <c r="C150">
        <f t="shared" si="10"/>
        <v>0.93707289078476763</v>
      </c>
      <c r="D150">
        <f t="shared" si="11"/>
        <v>0.68492893582904579</v>
      </c>
      <c r="E150">
        <v>139</v>
      </c>
      <c r="F150">
        <v>0.69500000000000051</v>
      </c>
      <c r="G150">
        <v>0.93683000207938916</v>
      </c>
      <c r="H150">
        <v>0.69477657453147146</v>
      </c>
    </row>
    <row r="151" spans="1:8" x14ac:dyDescent="0.2">
      <c r="A151">
        <f t="shared" si="8"/>
        <v>140</v>
      </c>
      <c r="B151">
        <f t="shared" si="9"/>
        <v>0.70000000000000051</v>
      </c>
      <c r="C151">
        <f t="shared" si="10"/>
        <v>0.93726401941503823</v>
      </c>
      <c r="D151">
        <f t="shared" si="11"/>
        <v>0.69294090904525552</v>
      </c>
      <c r="E151">
        <v>140</v>
      </c>
      <c r="F151">
        <v>0.70000000000000051</v>
      </c>
      <c r="G151">
        <v>0.93703020458189978</v>
      </c>
      <c r="H151">
        <v>0.70278735569487394</v>
      </c>
    </row>
    <row r="152" spans="1:8" x14ac:dyDescent="0.2">
      <c r="A152">
        <f t="shared" si="8"/>
        <v>141</v>
      </c>
      <c r="B152">
        <f t="shared" si="9"/>
        <v>0.70500000000000052</v>
      </c>
      <c r="C152">
        <f t="shared" si="10"/>
        <v>0.93744270454108791</v>
      </c>
      <c r="D152">
        <f t="shared" si="11"/>
        <v>0.70095451641125406</v>
      </c>
      <c r="E152">
        <v>141</v>
      </c>
      <c r="F152">
        <v>0.70500000000000052</v>
      </c>
      <c r="G152">
        <v>0.93721780063489801</v>
      </c>
      <c r="H152">
        <v>0.7107997928966312</v>
      </c>
    </row>
    <row r="153" spans="1:8" x14ac:dyDescent="0.2">
      <c r="A153">
        <f t="shared" si="8"/>
        <v>142</v>
      </c>
      <c r="B153">
        <f t="shared" si="9"/>
        <v>0.71000000000000052</v>
      </c>
      <c r="C153">
        <f t="shared" si="10"/>
        <v>0.93760975169759964</v>
      </c>
      <c r="D153">
        <f t="shared" si="11"/>
        <v>0.7089696515350804</v>
      </c>
      <c r="E153">
        <v>142</v>
      </c>
      <c r="F153">
        <v>0.71000000000000052</v>
      </c>
      <c r="G153">
        <v>0.93739357946781077</v>
      </c>
      <c r="H153">
        <v>0.71881378183683575</v>
      </c>
    </row>
    <row r="154" spans="1:8" x14ac:dyDescent="0.2">
      <c r="A154">
        <f t="shared" si="8"/>
        <v>143</v>
      </c>
      <c r="B154">
        <f t="shared" si="9"/>
        <v>0.71500000000000052</v>
      </c>
      <c r="C154">
        <f t="shared" si="10"/>
        <v>0.93776591485471006</v>
      </c>
      <c r="D154">
        <f t="shared" si="11"/>
        <v>0.71698621491209491</v>
      </c>
      <c r="E154">
        <v>143</v>
      </c>
      <c r="F154">
        <v>0.71500000000000052</v>
      </c>
      <c r="G154">
        <v>0.93755828146088283</v>
      </c>
      <c r="H154">
        <v>0.7268292247479502</v>
      </c>
    </row>
    <row r="155" spans="1:8" x14ac:dyDescent="0.2">
      <c r="A155">
        <f t="shared" si="8"/>
        <v>144</v>
      </c>
      <c r="B155">
        <f t="shared" si="9"/>
        <v>0.72000000000000053</v>
      </c>
      <c r="C155">
        <f t="shared" si="10"/>
        <v>0.93791189964509192</v>
      </c>
      <c r="D155">
        <f t="shared" si="11"/>
        <v>0.72500411348410265</v>
      </c>
      <c r="E155">
        <v>144</v>
      </c>
      <c r="F155">
        <v>0.72000000000000053</v>
      </c>
      <c r="G155">
        <v>0.93771260109989996</v>
      </c>
      <c r="H155">
        <v>0.73484602999016213</v>
      </c>
    </row>
    <row r="156" spans="1:8" x14ac:dyDescent="0.2">
      <c r="A156">
        <f t="shared" si="8"/>
        <v>145</v>
      </c>
      <c r="B156">
        <f t="shared" si="9"/>
        <v>0.72500000000000053</v>
      </c>
      <c r="C156">
        <f t="shared" si="10"/>
        <v>0.93804836639846334</v>
      </c>
      <c r="D156">
        <f t="shared" si="11"/>
        <v>0.73302326022606823</v>
      </c>
      <c r="E156">
        <v>145</v>
      </c>
      <c r="F156">
        <v>0.72500000000000053</v>
      </c>
      <c r="G156">
        <v>0.93785718976068044</v>
      </c>
      <c r="H156">
        <v>0.74286411167125543</v>
      </c>
    </row>
    <row r="157" spans="1:8" x14ac:dyDescent="0.2">
      <c r="A157">
        <f t="shared" si="8"/>
        <v>146</v>
      </c>
      <c r="B157">
        <f t="shared" si="9"/>
        <v>0.73000000000000054</v>
      </c>
      <c r="C157">
        <f t="shared" si="10"/>
        <v>0.93817593299380198</v>
      </c>
      <c r="D157">
        <f t="shared" si="11"/>
        <v>0.74104357375877505</v>
      </c>
      <c r="E157">
        <v>146</v>
      </c>
      <c r="F157">
        <v>0.73000000000000054</v>
      </c>
      <c r="G157">
        <v>0.93799265833207879</v>
      </c>
      <c r="H157">
        <v>0.7508833892895791</v>
      </c>
    </row>
    <row r="158" spans="1:8" x14ac:dyDescent="0.2">
      <c r="A158">
        <f t="shared" si="8"/>
        <v>147</v>
      </c>
      <c r="B158">
        <f t="shared" si="9"/>
        <v>0.73500000000000054</v>
      </c>
      <c r="C158">
        <f t="shared" si="10"/>
        <v>0.93829517753915581</v>
      </c>
      <c r="D158">
        <f t="shared" si="11"/>
        <v>0.74906497798587202</v>
      </c>
      <c r="E158">
        <v>147</v>
      </c>
      <c r="F158">
        <v>0.73500000000000054</v>
      </c>
      <c r="G158">
        <v>0.9381195796859344</v>
      </c>
      <c r="H158">
        <v>0.75890378739877062</v>
      </c>
    </row>
    <row r="159" spans="1:8" x14ac:dyDescent="0.2">
      <c r="A159">
        <f t="shared" si="8"/>
        <v>148</v>
      </c>
      <c r="B159">
        <f t="shared" si="9"/>
        <v>0.74000000000000055</v>
      </c>
      <c r="C159">
        <f t="shared" si="10"/>
        <v>0.93840664088854819</v>
      </c>
      <c r="D159">
        <f t="shared" si="11"/>
        <v>0.75708740175383182</v>
      </c>
      <c r="E159">
        <v>148</v>
      </c>
      <c r="F159">
        <v>0.74000000000000055</v>
      </c>
      <c r="G159">
        <v>0.93823849100207868</v>
      </c>
      <c r="H159">
        <v>0.76692523529296075</v>
      </c>
    </row>
    <row r="160" spans="1:8" x14ac:dyDescent="0.2">
      <c r="A160">
        <f t="shared" si="8"/>
        <v>149</v>
      </c>
      <c r="B160">
        <f t="shared" si="9"/>
        <v>0.74500000000000055</v>
      </c>
      <c r="C160">
        <f t="shared" si="10"/>
        <v>0.93851082900507343</v>
      </c>
      <c r="D160">
        <f t="shared" si="11"/>
        <v>0.7651107785334289</v>
      </c>
      <c r="E160">
        <v>149</v>
      </c>
      <c r="F160">
        <v>0.74500000000000055</v>
      </c>
      <c r="G160">
        <v>0.93834989595618989</v>
      </c>
      <c r="H160">
        <v>0.77494766671125326</v>
      </c>
    </row>
    <row r="161" spans="1:8" x14ac:dyDescent="0.2">
      <c r="A161">
        <f t="shared" si="8"/>
        <v>150</v>
      </c>
      <c r="B161">
        <f t="shared" si="9"/>
        <v>0.75000000000000056</v>
      </c>
      <c r="C161">
        <f t="shared" si="10"/>
        <v>0.93860821517887782</v>
      </c>
      <c r="D161">
        <f t="shared" si="11"/>
        <v>0.77313504612142225</v>
      </c>
      <c r="E161">
        <v>150</v>
      </c>
      <c r="F161">
        <v>0.75000000000000056</v>
      </c>
      <c r="G161">
        <v>0.93845426677795807</v>
      </c>
      <c r="H161">
        <v>0.78297101956034132</v>
      </c>
    </row>
    <row r="162" spans="1:8" x14ac:dyDescent="0.2">
      <c r="A162">
        <f t="shared" si="8"/>
        <v>151</v>
      </c>
      <c r="B162">
        <f t="shared" si="9"/>
        <v>0.75500000000000056</v>
      </c>
      <c r="C162">
        <f t="shared" si="10"/>
        <v>0.93869924210832434</v>
      </c>
      <c r="D162">
        <f t="shared" si="11"/>
        <v>0.78116014636120168</v>
      </c>
      <c r="E162">
        <v>151</v>
      </c>
      <c r="F162">
        <v>0.75500000000000056</v>
      </c>
      <c r="G162">
        <v>0.93855204618669685</v>
      </c>
      <c r="H162">
        <v>0.79099523565418117</v>
      </c>
    </row>
    <row r="163" spans="1:8" x14ac:dyDescent="0.2">
      <c r="A163">
        <f t="shared" si="8"/>
        <v>152</v>
      </c>
      <c r="B163">
        <f t="shared" si="9"/>
        <v>0.76000000000000056</v>
      </c>
      <c r="C163">
        <f t="shared" si="10"/>
        <v>0.93878432385224342</v>
      </c>
      <c r="D163">
        <f t="shared" si="11"/>
        <v>0.7891860248812278</v>
      </c>
      <c r="E163">
        <v>152</v>
      </c>
      <c r="F163">
        <v>0.76000000000000056</v>
      </c>
      <c r="G163">
        <v>0.93864364921121746</v>
      </c>
      <c r="H163">
        <v>0.79902026046970642</v>
      </c>
    </row>
    <row r="164" spans="1:8" x14ac:dyDescent="0.2">
      <c r="A164">
        <f t="shared" si="8"/>
        <v>153</v>
      </c>
      <c r="B164">
        <f t="shared" si="9"/>
        <v>0.76500000000000057</v>
      </c>
      <c r="C164">
        <f t="shared" si="10"/>
        <v>0.9388638476607869</v>
      </c>
      <c r="D164">
        <f t="shared" si="11"/>
        <v>0.79721263085016447</v>
      </c>
      <c r="E164">
        <v>153</v>
      </c>
      <c r="F164">
        <v>0.76500000000000057</v>
      </c>
      <c r="G164">
        <v>0.9387294649004615</v>
      </c>
      <c r="H164">
        <v>0.80704604291762105</v>
      </c>
    </row>
    <row r="165" spans="1:8" x14ac:dyDescent="0.2">
      <c r="A165">
        <f t="shared" si="8"/>
        <v>154</v>
      </c>
      <c r="B165">
        <f t="shared" si="9"/>
        <v>0.77000000000000057</v>
      </c>
      <c r="C165">
        <f t="shared" si="10"/>
        <v>0.93893817569202664</v>
      </c>
      <c r="D165">
        <f t="shared" si="11"/>
        <v>0.80523991674766415</v>
      </c>
      <c r="E165">
        <v>154</v>
      </c>
      <c r="F165">
        <v>0.77000000000000057</v>
      </c>
      <c r="G165">
        <v>0.93880985793107885</v>
      </c>
      <c r="H165">
        <v>0.81507253512736488</v>
      </c>
    </row>
    <row r="166" spans="1:8" x14ac:dyDescent="0.2">
      <c r="A166">
        <f t="shared" si="8"/>
        <v>155</v>
      </c>
      <c r="B166">
        <f t="shared" si="9"/>
        <v>0.77500000000000058</v>
      </c>
      <c r="C166">
        <f t="shared" si="10"/>
        <v>0.93900764662106972</v>
      </c>
      <c r="D166">
        <f t="shared" si="11"/>
        <v>0.81326783814983095</v>
      </c>
      <c r="E166">
        <v>155</v>
      </c>
      <c r="F166">
        <v>0.77500000000000058</v>
      </c>
      <c r="G166">
        <v>0.93888517011783357</v>
      </c>
      <c r="H166">
        <v>0.82309969224539514</v>
      </c>
    </row>
    <row r="167" spans="1:8" x14ac:dyDescent="0.2">
      <c r="A167">
        <f t="shared" si="8"/>
        <v>156</v>
      </c>
      <c r="B167">
        <f t="shared" si="9"/>
        <v>0.78000000000000058</v>
      </c>
      <c r="C167">
        <f t="shared" si="10"/>
        <v>0.93907257714811043</v>
      </c>
      <c r="D167">
        <f t="shared" si="11"/>
        <v>0.8212963535284411</v>
      </c>
      <c r="E167">
        <v>156</v>
      </c>
      <c r="F167">
        <v>0.78000000000000058</v>
      </c>
      <c r="G167">
        <v>0.9389557218324267</v>
      </c>
      <c r="H167">
        <v>0.83112747224597916</v>
      </c>
    </row>
    <row r="168" spans="1:8" x14ac:dyDescent="0.2">
      <c r="A168">
        <f t="shared" si="8"/>
        <v>157</v>
      </c>
      <c r="B168">
        <f t="shared" si="9"/>
        <v>0.78500000000000059</v>
      </c>
      <c r="C168">
        <f t="shared" si="10"/>
        <v>0.93913326341149317</v>
      </c>
      <c r="D168">
        <f t="shared" si="11"/>
        <v>0.82932542406305743</v>
      </c>
      <c r="E168">
        <v>157</v>
      </c>
      <c r="F168">
        <v>0.78500000000000059</v>
      </c>
      <c r="G168">
        <v>0.93902181333603829</v>
      </c>
      <c r="H168">
        <v>0.83915583575373753</v>
      </c>
    </row>
    <row r="169" spans="1:8" x14ac:dyDescent="0.2">
      <c r="A169">
        <f t="shared" si="8"/>
        <v>158</v>
      </c>
      <c r="B169">
        <f t="shared" si="9"/>
        <v>0.79000000000000059</v>
      </c>
      <c r="C169">
        <f t="shared" si="10"/>
        <v>0.93918998231153339</v>
      </c>
      <c r="D169">
        <f t="shared" si="11"/>
        <v>0.83735501346522567</v>
      </c>
      <c r="E169">
        <v>158</v>
      </c>
      <c r="F169">
        <v>0.79000000000000059</v>
      </c>
      <c r="G169">
        <v>0.93908372603061596</v>
      </c>
      <c r="H169">
        <v>0.84718474587722226</v>
      </c>
    </row>
    <row r="170" spans="1:8" x14ac:dyDescent="0.2">
      <c r="A170">
        <f t="shared" si="8"/>
        <v>159</v>
      </c>
      <c r="B170">
        <f t="shared" si="9"/>
        <v>0.7950000000000006</v>
      </c>
      <c r="C170">
        <f t="shared" si="10"/>
        <v>0.93924299275052481</v>
      </c>
      <c r="D170">
        <f t="shared" si="11"/>
        <v>0.84538508781398924</v>
      </c>
      <c r="E170">
        <v>159</v>
      </c>
      <c r="F170">
        <v>0.7950000000000006</v>
      </c>
      <c r="G170">
        <v>0.93914172363367265</v>
      </c>
      <c r="H170">
        <v>0.85521416805285666</v>
      </c>
    </row>
    <row r="171" spans="1:8" x14ac:dyDescent="0.2">
      <c r="A171">
        <f t="shared" si="8"/>
        <v>160</v>
      </c>
      <c r="B171">
        <f t="shared" si="9"/>
        <v>0.8000000000000006</v>
      </c>
      <c r="C171">
        <f t="shared" si="10"/>
        <v>0.93929253679405855</v>
      </c>
      <c r="D171">
        <f t="shared" si="11"/>
        <v>0.85341561540200628</v>
      </c>
      <c r="E171">
        <v>160</v>
      </c>
      <c r="F171">
        <v>0.8000000000000006</v>
      </c>
      <c r="G171">
        <v>0.9391960532810999</v>
      </c>
      <c r="H171">
        <v>0.86324406989860158</v>
      </c>
    </row>
    <row r="172" spans="1:8" x14ac:dyDescent="0.2">
      <c r="A172">
        <f t="shared" si="8"/>
        <v>161</v>
      </c>
      <c r="B172">
        <f t="shared" si="9"/>
        <v>0.8050000000000006</v>
      </c>
      <c r="C172">
        <f t="shared" si="10"/>
        <v>0.93933884075848995</v>
      </c>
      <c r="D172">
        <f t="shared" si="11"/>
        <v>0.86144656659159546</v>
      </c>
      <c r="E172">
        <v>161</v>
      </c>
      <c r="F172">
        <v>0.8050000000000006</v>
      </c>
      <c r="G172">
        <v>0.93924694656226027</v>
      </c>
      <c r="H172">
        <v>0.87127442107675312</v>
      </c>
    </row>
    <row r="173" spans="1:8" x14ac:dyDescent="0.2">
      <c r="A173">
        <f t="shared" si="8"/>
        <v>162</v>
      </c>
      <c r="B173">
        <f t="shared" si="9"/>
        <v>0.81000000000000061</v>
      </c>
      <c r="C173">
        <f t="shared" si="10"/>
        <v>0.93938211622911094</v>
      </c>
      <c r="D173">
        <f t="shared" si="11"/>
        <v>0.86947791368008054</v>
      </c>
      <c r="E173">
        <v>162</v>
      </c>
      <c r="F173">
        <v>0.81000000000000061</v>
      </c>
      <c r="G173">
        <v>0.93929462049138679</v>
      </c>
      <c r="H173">
        <v>0.87930519316530842</v>
      </c>
    </row>
    <row r="174" spans="1:8" x14ac:dyDescent="0.2">
      <c r="A174">
        <f t="shared" si="8"/>
        <v>163</v>
      </c>
      <c r="B174">
        <f t="shared" si="9"/>
        <v>0.81500000000000061</v>
      </c>
      <c r="C174">
        <f t="shared" si="10"/>
        <v>0.93942256101332411</v>
      </c>
      <c r="D174">
        <f t="shared" si="11"/>
        <v>0.87750963077383948</v>
      </c>
      <c r="E174">
        <v>163</v>
      </c>
      <c r="F174">
        <v>0.81500000000000061</v>
      </c>
      <c r="G174">
        <v>0.93933927841909526</v>
      </c>
      <c r="H174">
        <v>0.88733635953737333</v>
      </c>
    </row>
    <row r="175" spans="1:8" x14ac:dyDescent="0.2">
      <c r="A175">
        <f t="shared" si="8"/>
        <v>164</v>
      </c>
      <c r="B175">
        <f t="shared" si="9"/>
        <v>0.82000000000000062</v>
      </c>
      <c r="C175">
        <f t="shared" si="10"/>
        <v>0.93946036003286226</v>
      </c>
      <c r="D175">
        <f t="shared" si="11"/>
        <v>0.88554169367050339</v>
      </c>
      <c r="E175">
        <v>164</v>
      </c>
      <c r="F175">
        <v>0.82000000000000062</v>
      </c>
      <c r="G175">
        <v>0.93938111088760146</v>
      </c>
      <c r="H175">
        <v>0.89536789524811544</v>
      </c>
    </row>
    <row r="176" spans="1:8" x14ac:dyDescent="0.2">
      <c r="A176">
        <f t="shared" si="8"/>
        <v>165</v>
      </c>
      <c r="B176">
        <f t="shared" si="9"/>
        <v>0.82500000000000062</v>
      </c>
      <c r="C176">
        <f t="shared" si="10"/>
        <v>0.93949568615885892</v>
      </c>
      <c r="D176">
        <f t="shared" si="11"/>
        <v>0.89357407974878433</v>
      </c>
      <c r="E176">
        <v>165</v>
      </c>
      <c r="F176">
        <v>0.82500000000000062</v>
      </c>
      <c r="G176">
        <v>0.93942029643303271</v>
      </c>
      <c r="H176">
        <v>0.9033997769287947</v>
      </c>
    </row>
    <row r="177" spans="1:8" x14ac:dyDescent="0.2">
      <c r="A177">
        <f t="shared" si="8"/>
        <v>166</v>
      </c>
      <c r="B177">
        <f t="shared" si="9"/>
        <v>0.83000000000000063</v>
      </c>
      <c r="C177">
        <f t="shared" si="10"/>
        <v>0.93952870099335206</v>
      </c>
      <c r="D177">
        <f t="shared" si="11"/>
        <v>0.90160676786544258</v>
      </c>
      <c r="E177">
        <v>166</v>
      </c>
      <c r="F177">
        <v>0.83000000000000063</v>
      </c>
      <c r="G177">
        <v>0.93945700233802953</v>
      </c>
      <c r="H177">
        <v>0.91143198268743586</v>
      </c>
    </row>
    <row r="178" spans="1:8" x14ac:dyDescent="0.2">
      <c r="A178">
        <f t="shared" si="8"/>
        <v>167</v>
      </c>
      <c r="B178">
        <f t="shared" si="9"/>
        <v>0.83500000000000063</v>
      </c>
      <c r="C178">
        <f t="shared" si="10"/>
        <v>0.93955955560058502</v>
      </c>
      <c r="D178">
        <f t="shared" si="11"/>
        <v>0.90963973825893574</v>
      </c>
      <c r="E178">
        <v>167</v>
      </c>
      <c r="F178">
        <v>0.83500000000000063</v>
      </c>
      <c r="G178">
        <v>0.93949138533764998</v>
      </c>
      <c r="H178">
        <v>0.91946449201572833</v>
      </c>
    </row>
    <row r="179" spans="1:8" x14ac:dyDescent="0.2">
      <c r="A179">
        <f t="shared" si="8"/>
        <v>168</v>
      </c>
      <c r="B179">
        <f t="shared" si="9"/>
        <v>0.84000000000000064</v>
      </c>
      <c r="C179">
        <f t="shared" si="10"/>
        <v>0.93958839119127002</v>
      </c>
      <c r="D179">
        <f t="shared" si="11"/>
        <v>0.91767297245932078</v>
      </c>
      <c r="E179">
        <v>168</v>
      </c>
      <c r="F179">
        <v>0.84000000000000064</v>
      </c>
      <c r="G179">
        <v>0.93952359228141502</v>
      </c>
      <c r="H179">
        <v>0.9274972857017687</v>
      </c>
    </row>
    <row r="180" spans="1:8" x14ac:dyDescent="0.2">
      <c r="A180">
        <f t="shared" si="8"/>
        <v>169</v>
      </c>
      <c r="B180">
        <f t="shared" si="9"/>
        <v>0.84500000000000064</v>
      </c>
      <c r="C180">
        <f t="shared" si="10"/>
        <v>0.93961533976278577</v>
      </c>
      <c r="D180">
        <f t="shared" si="11"/>
        <v>0.92570645320400613</v>
      </c>
      <c r="E180">
        <v>169</v>
      </c>
      <c r="F180">
        <v>0.84500000000000064</v>
      </c>
      <c r="G180">
        <v>0.9395537607541683</v>
      </c>
      <c r="H180">
        <v>0.93553034574828164</v>
      </c>
    </row>
    <row r="181" spans="1:8" x14ac:dyDescent="0.2">
      <c r="A181">
        <f t="shared" si="8"/>
        <v>170</v>
      </c>
      <c r="B181">
        <f t="shared" si="9"/>
        <v>0.85000000000000064</v>
      </c>
      <c r="C181">
        <f t="shared" si="10"/>
        <v>0.93964052469810078</v>
      </c>
      <c r="D181">
        <f t="shared" si="11"/>
        <v>0.933740164358978</v>
      </c>
      <c r="E181">
        <v>170</v>
      </c>
      <c r="F181">
        <v>0.85000000000000064</v>
      </c>
      <c r="G181">
        <v>0.93958201965826671</v>
      </c>
      <c r="H181">
        <v>0.94356365529597874</v>
      </c>
    </row>
    <row r="182" spans="1:8" x14ac:dyDescent="0.2">
      <c r="A182">
        <f t="shared" si="8"/>
        <v>171</v>
      </c>
      <c r="B182">
        <f t="shared" si="9"/>
        <v>0.85500000000000065</v>
      </c>
      <c r="C182">
        <f t="shared" si="10"/>
        <v>0.93966406132604186</v>
      </c>
      <c r="D182">
        <f t="shared" si="11"/>
        <v>0.94177409084514674</v>
      </c>
      <c r="E182">
        <v>171</v>
      </c>
      <c r="F182">
        <v>0.85500000000000065</v>
      </c>
      <c r="G182">
        <v>0.93960848975947076</v>
      </c>
      <c r="H182">
        <v>0.95159719855173452</v>
      </c>
    </row>
    <row r="183" spans="1:8" x14ac:dyDescent="0.2">
      <c r="A183">
        <f t="shared" si="8"/>
        <v>172</v>
      </c>
      <c r="B183">
        <f t="shared" si="9"/>
        <v>0.86000000000000065</v>
      </c>
      <c r="C183">
        <f t="shared" si="10"/>
        <v>0.93968605744536815</v>
      </c>
      <c r="D183">
        <f t="shared" si="11"/>
        <v>0.94980821856948439</v>
      </c>
      <c r="E183">
        <v>172</v>
      </c>
      <c r="F183">
        <v>0.86000000000000065</v>
      </c>
      <c r="G183">
        <v>0.93963328419876235</v>
      </c>
      <c r="H183">
        <v>0.95963096072127918</v>
      </c>
    </row>
    <row r="184" spans="1:8" x14ac:dyDescent="0.2">
      <c r="A184">
        <f t="shared" si="8"/>
        <v>173</v>
      </c>
      <c r="B184">
        <f t="shared" si="9"/>
        <v>0.86500000000000066</v>
      </c>
      <c r="C184">
        <f t="shared" si="10"/>
        <v>0.9397066138149569</v>
      </c>
      <c r="D184">
        <f t="shared" si="11"/>
        <v>0.95784253436064226</v>
      </c>
      <c r="E184">
        <v>173</v>
      </c>
      <c r="F184">
        <v>0.86500000000000066</v>
      </c>
      <c r="G184">
        <v>0.93965650897218644</v>
      </c>
      <c r="H184">
        <v>0.96766492794612713</v>
      </c>
    </row>
    <row r="185" spans="1:8" x14ac:dyDescent="0.2">
      <c r="A185">
        <f t="shared" si="8"/>
        <v>174</v>
      </c>
      <c r="B185">
        <f t="shared" si="9"/>
        <v>0.87000000000000066</v>
      </c>
      <c r="C185">
        <f t="shared" si="10"/>
        <v>0.93972582461226639</v>
      </c>
      <c r="D185">
        <f t="shared" si="11"/>
        <v>0.96587702590876012</v>
      </c>
      <c r="E185">
        <v>174</v>
      </c>
      <c r="F185">
        <v>0.87000000000000066</v>
      </c>
      <c r="G185">
        <v>0.93967826338068772</v>
      </c>
      <c r="H185">
        <v>0.97569908724447441</v>
      </c>
    </row>
    <row r="186" spans="1:8" x14ac:dyDescent="0.2">
      <c r="A186">
        <f t="shared" si="8"/>
        <v>175</v>
      </c>
      <c r="B186">
        <f t="shared" si="9"/>
        <v>0.87500000000000067</v>
      </c>
      <c r="C186">
        <f t="shared" si="10"/>
        <v>0.93974377786210406</v>
      </c>
      <c r="D186">
        <f t="shared" si="11"/>
        <v>0.97391168170919495</v>
      </c>
      <c r="E186">
        <v>175</v>
      </c>
      <c r="F186">
        <v>0.87500000000000067</v>
      </c>
      <c r="G186">
        <v>0.93969864045179408</v>
      </c>
      <c r="H186">
        <v>0.98373342645581896</v>
      </c>
    </row>
    <row r="187" spans="1:8" x14ac:dyDescent="0.2">
      <c r="A187">
        <f t="shared" si="8"/>
        <v>176</v>
      </c>
      <c r="B187">
        <f t="shared" si="9"/>
        <v>0.88000000000000067</v>
      </c>
      <c r="C187">
        <f t="shared" si="10"/>
        <v>0.93976055583760343</v>
      </c>
      <c r="D187">
        <f t="shared" si="11"/>
        <v>0.98194649100991593</v>
      </c>
      <c r="E187">
        <v>176</v>
      </c>
      <c r="F187">
        <v>0.88000000000000067</v>
      </c>
      <c r="G187">
        <v>0.93971772733488879</v>
      </c>
      <c r="H187">
        <v>0.99176793418906906</v>
      </c>
    </row>
    <row r="188" spans="1:8" x14ac:dyDescent="0.2">
      <c r="A188">
        <f t="shared" si="8"/>
        <v>177</v>
      </c>
      <c r="B188">
        <f t="shared" si="9"/>
        <v>0.88500000000000068</v>
      </c>
      <c r="C188">
        <f t="shared" si="10"/>
        <v>0.93977623543519284</v>
      </c>
      <c r="D188">
        <f t="shared" si="11"/>
        <v>0.98998144376232744</v>
      </c>
      <c r="E188">
        <v>177</v>
      </c>
      <c r="F188">
        <v>0.88500000000000068</v>
      </c>
      <c r="G188">
        <v>0.93973560567170744</v>
      </c>
      <c r="H188">
        <v>0.99980259977392205</v>
      </c>
    </row>
    <row r="189" spans="1:8" x14ac:dyDescent="0.2">
      <c r="A189">
        <f t="shared" si="8"/>
        <v>178</v>
      </c>
      <c r="B189">
        <f t="shared" si="9"/>
        <v>0.89000000000000068</v>
      </c>
      <c r="C189">
        <f t="shared" si="10"/>
        <v>0.93979088852522707</v>
      </c>
      <c r="D189">
        <f t="shared" si="11"/>
        <v>0.99801653057529838</v>
      </c>
      <c r="E189">
        <v>178</v>
      </c>
      <c r="F189">
        <v>0.89000000000000068</v>
      </c>
      <c r="G189">
        <v>0.93975235194359585</v>
      </c>
      <c r="H189">
        <v>1.0078374132153085</v>
      </c>
    </row>
    <row r="190" spans="1:8" x14ac:dyDescent="0.2">
      <c r="A190">
        <f t="shared" si="8"/>
        <v>179</v>
      </c>
      <c r="B190">
        <f t="shared" si="9"/>
        <v>0.89500000000000068</v>
      </c>
      <c r="C190">
        <f t="shared" si="10"/>
        <v>0.93980458227984764</v>
      </c>
      <c r="D190">
        <f t="shared" si="11"/>
        <v>1.0060517426721891</v>
      </c>
      <c r="E190">
        <v>179</v>
      </c>
      <c r="F190">
        <v>0.89500000000000068</v>
      </c>
      <c r="G190">
        <v>0.93976803779697349</v>
      </c>
      <c r="H190">
        <v>1.0158723651507084</v>
      </c>
    </row>
    <row r="191" spans="1:8" x14ac:dyDescent="0.2">
      <c r="A191">
        <f t="shared" si="8"/>
        <v>180</v>
      </c>
      <c r="B191">
        <f t="shared" si="9"/>
        <v>0.90000000000000069</v>
      </c>
      <c r="C191">
        <f t="shared" si="10"/>
        <v>0.93981737947953936</v>
      </c>
      <c r="D191">
        <f t="shared" si="11"/>
        <v>1.0140870718506818</v>
      </c>
      <c r="E191">
        <v>180</v>
      </c>
      <c r="F191">
        <v>0.90000000000000069</v>
      </c>
      <c r="G191">
        <v>0.93978273034835758</v>
      </c>
      <c r="H191">
        <v>1.0239074468101608</v>
      </c>
    </row>
    <row r="192" spans="1:8" x14ac:dyDescent="0.2">
      <c r="A192">
        <f t="shared" si="8"/>
        <v>181</v>
      </c>
      <c r="B192">
        <f t="shared" si="9"/>
        <v>0.90500000000000069</v>
      </c>
      <c r="C192">
        <f t="shared" si="10"/>
        <v>0.93982933879975539</v>
      </c>
      <c r="D192">
        <f t="shared" si="11"/>
        <v>1.0221225104452318</v>
      </c>
      <c r="E192">
        <v>181</v>
      </c>
      <c r="F192">
        <v>0.90500000000000069</v>
      </c>
      <c r="G192">
        <v>0.9397964924702209</v>
      </c>
      <c r="H192">
        <v>1.0319426499787956</v>
      </c>
    </row>
    <row r="193" spans="1:8" x14ac:dyDescent="0.2">
      <c r="A193">
        <f t="shared" si="8"/>
        <v>182</v>
      </c>
      <c r="B193">
        <f t="shared" si="9"/>
        <v>0.9100000000000007</v>
      </c>
      <c r="C193">
        <f t="shared" si="10"/>
        <v>0.93984051507889954</v>
      </c>
      <c r="D193">
        <f t="shared" si="11"/>
        <v>1.0301580512919697</v>
      </c>
      <c r="E193">
        <v>182</v>
      </c>
      <c r="F193">
        <v>0.9100000000000007</v>
      </c>
      <c r="G193">
        <v>0.93980938305887762</v>
      </c>
      <c r="H193">
        <v>1.0399779669617311</v>
      </c>
    </row>
    <row r="194" spans="1:8" x14ac:dyDescent="0.2">
      <c r="A194">
        <f t="shared" si="8"/>
        <v>183</v>
      </c>
      <c r="B194">
        <f t="shared" si="9"/>
        <v>0.9150000000000007</v>
      </c>
      <c r="C194">
        <f t="shared" si="10"/>
        <v>0.93985095956886855</v>
      </c>
      <c r="D194">
        <f t="shared" si="11"/>
        <v>1.0381936876958944</v>
      </c>
      <c r="E194">
        <v>183</v>
      </c>
      <c r="F194">
        <v>0.9150000000000007</v>
      </c>
      <c r="G194">
        <v>0.93982145728551958</v>
      </c>
      <c r="H194">
        <v>1.048013390551187</v>
      </c>
    </row>
    <row r="195" spans="1:8" x14ac:dyDescent="0.2">
      <c r="A195">
        <f t="shared" si="8"/>
        <v>184</v>
      </c>
      <c r="B195">
        <f t="shared" si="9"/>
        <v>0.92000000000000071</v>
      </c>
      <c r="C195">
        <f t="shared" si="10"/>
        <v>0.93986072016928346</v>
      </c>
      <c r="D195">
        <f t="shared" si="11"/>
        <v>1.0462294134002081</v>
      </c>
      <c r="E195">
        <v>184</v>
      </c>
      <c r="F195">
        <v>0.92000000000000071</v>
      </c>
      <c r="G195">
        <v>0.939832766831455</v>
      </c>
      <c r="H195">
        <v>1.0560489139956741</v>
      </c>
    </row>
    <row r="196" spans="1:8" x14ac:dyDescent="0.2">
      <c r="A196">
        <f t="shared" si="8"/>
        <v>185</v>
      </c>
      <c r="B196">
        <f t="shared" si="9"/>
        <v>0.92500000000000071</v>
      </c>
      <c r="C196">
        <f t="shared" si="10"/>
        <v>0.93986984164646548</v>
      </c>
      <c r="D196">
        <f t="shared" si="11"/>
        <v>1.0542652225576554</v>
      </c>
      <c r="E196">
        <v>185</v>
      </c>
      <c r="F196">
        <v>0.92500000000000071</v>
      </c>
      <c r="G196">
        <v>0.93984336010853786</v>
      </c>
      <c r="H196">
        <v>1.0640845309711298</v>
      </c>
    </row>
    <row r="197" spans="1:8" x14ac:dyDescent="0.2">
      <c r="A197">
        <f t="shared" si="8"/>
        <v>186</v>
      </c>
      <c r="B197">
        <f t="shared" si="9"/>
        <v>0.93000000000000071</v>
      </c>
      <c r="C197">
        <f t="shared" si="10"/>
        <v>0.93987836583814499</v>
      </c>
      <c r="D197">
        <f t="shared" si="11"/>
        <v>1.0623011097037327</v>
      </c>
      <c r="E197">
        <v>186</v>
      </c>
      <c r="F197">
        <v>0.93000000000000071</v>
      </c>
      <c r="G197">
        <v>0.93985328246571376</v>
      </c>
      <c r="H197">
        <v>1.0721202355538764</v>
      </c>
    </row>
    <row r="198" spans="1:8" x14ac:dyDescent="0.2">
      <c r="A198">
        <f t="shared" si="8"/>
        <v>187</v>
      </c>
      <c r="B198">
        <f t="shared" si="9"/>
        <v>0.93500000000000072</v>
      </c>
      <c r="C198">
        <f t="shared" si="10"/>
        <v>0.93988633184482739</v>
      </c>
      <c r="D198">
        <f t="shared" si="11"/>
        <v>1.0703370697316488</v>
      </c>
      <c r="E198">
        <v>187</v>
      </c>
      <c r="F198">
        <v>0.93500000000000072</v>
      </c>
      <c r="G198">
        <v>0.93986257638255299</v>
      </c>
      <c r="H198">
        <v>1.0801560221952895</v>
      </c>
    </row>
    <row r="199" spans="1:8" x14ac:dyDescent="0.2">
      <c r="A199">
        <f t="shared" si="8"/>
        <v>188</v>
      </c>
      <c r="B199">
        <f t="shared" si="9"/>
        <v>0.94000000000000072</v>
      </c>
      <c r="C199">
        <f t="shared" si="10"/>
        <v>0.93989377620868331</v>
      </c>
      <c r="D199">
        <f t="shared" si="11"/>
        <v>1.0783730978689221</v>
      </c>
      <c r="E199">
        <v>188</v>
      </c>
      <c r="F199">
        <v>0.94000000000000072</v>
      </c>
      <c r="G199">
        <v>0.93987128165058553</v>
      </c>
      <c r="H199">
        <v>1.0881918856980655</v>
      </c>
    </row>
    <row r="200" spans="1:8" x14ac:dyDescent="0.2">
      <c r="A200">
        <f t="shared" si="8"/>
        <v>189</v>
      </c>
      <c r="B200">
        <f t="shared" si="9"/>
        <v>0.94500000000000073</v>
      </c>
      <c r="C200">
        <f t="shared" si="10"/>
        <v>0.93990073308077104</v>
      </c>
      <c r="D200">
        <f t="shared" si="11"/>
        <v>1.0864091896555064</v>
      </c>
      <c r="E200">
        <v>189</v>
      </c>
      <c r="F200">
        <v>0.94500000000000073</v>
      </c>
      <c r="G200">
        <v>0.93987943554320319</v>
      </c>
      <c r="H200">
        <v>1.0962278211939893</v>
      </c>
    </row>
    <row r="201" spans="1:8" x14ac:dyDescent="0.2">
      <c r="A201">
        <f t="shared" si="8"/>
        <v>190</v>
      </c>
      <c r="B201">
        <f t="shared" si="9"/>
        <v>0.95000000000000073</v>
      </c>
      <c r="C201">
        <f t="shared" si="10"/>
        <v>0.93990723437735091</v>
      </c>
      <c r="D201">
        <f t="shared" si="11"/>
        <v>1.094445340923347</v>
      </c>
      <c r="E201">
        <v>190</v>
      </c>
      <c r="F201">
        <v>0.95000000000000073</v>
      </c>
      <c r="G201">
        <v>0.93988707297484642</v>
      </c>
      <c r="H201">
        <v>1.1042638241231086</v>
      </c>
    </row>
    <row r="202" spans="1:8" x14ac:dyDescent="0.2">
      <c r="A202">
        <f t="shared" si="8"/>
        <v>191</v>
      </c>
      <c r="B202">
        <f t="shared" si="9"/>
        <v>0.95500000000000074</v>
      </c>
      <c r="C202">
        <f t="shared" si="10"/>
        <v>0.93991330992599864</v>
      </c>
      <c r="D202">
        <f t="shared" si="11"/>
        <v>1.1024815477772734</v>
      </c>
      <c r="E202">
        <v>191</v>
      </c>
      <c r="F202">
        <v>0.95500000000000074</v>
      </c>
      <c r="G202">
        <v>0.93989422665014888</v>
      </c>
      <c r="H202">
        <v>1.1122998902142234</v>
      </c>
    </row>
    <row r="203" spans="1:8" x14ac:dyDescent="0.2">
      <c r="A203">
        <f t="shared" si="8"/>
        <v>192</v>
      </c>
      <c r="B203">
        <f t="shared" si="9"/>
        <v>0.96000000000000074</v>
      </c>
      <c r="C203">
        <f t="shared" si="10"/>
        <v>0.9399189876021824</v>
      </c>
      <c r="D203">
        <f t="shared" si="11"/>
        <v>1.1105178065771406</v>
      </c>
      <c r="E203">
        <v>192</v>
      </c>
      <c r="F203">
        <v>0.96000000000000074</v>
      </c>
      <c r="G203">
        <v>0.93990092720367047</v>
      </c>
      <c r="H203">
        <v>1.1203360154666095</v>
      </c>
    </row>
    <row r="204" spans="1:8" x14ac:dyDescent="0.2">
      <c r="A204">
        <f t="shared" si="8"/>
        <v>193</v>
      </c>
      <c r="B204">
        <f t="shared" si="9"/>
        <v>0.96500000000000075</v>
      </c>
      <c r="C204">
        <f t="shared" si="10"/>
        <v>0.93992429345692341</v>
      </c>
      <c r="D204">
        <f t="shared" si="11"/>
        <v>1.1185541139211392</v>
      </c>
      <c r="E204">
        <v>193</v>
      </c>
      <c r="F204">
        <v>0.96500000000000075</v>
      </c>
      <c r="G204">
        <v>0.93990720333081068</v>
      </c>
      <c r="H204">
        <v>1.1283721961328985</v>
      </c>
    </row>
    <row r="205" spans="1:8" x14ac:dyDescent="0.2">
      <c r="A205">
        <f t="shared" ref="A205:A211" si="12">A204+1</f>
        <v>194</v>
      </c>
      <c r="B205">
        <f t="shared" ref="B205:B211" si="13">B204+$B$6</f>
        <v>0.97000000000000075</v>
      </c>
      <c r="C205">
        <f t="shared" ref="C205:C211" si="14">C204+$B$6*($B$1*C204-($B$1/$B$2)*C204^2)</f>
        <v>0.93992925183612042</v>
      </c>
      <c r="D205">
        <f t="shared" ref="D205:D211" si="15">D204+$B$6*($B$3*C204)</f>
        <v>1.126590466630196</v>
      </c>
      <c r="E205">
        <v>194</v>
      </c>
      <c r="F205">
        <v>0.97000000000000075</v>
      </c>
      <c r="G205">
        <v>0.93991308191045664</v>
      </c>
      <c r="H205">
        <v>1.1364084287030392</v>
      </c>
    </row>
    <row r="206" spans="1:8" x14ac:dyDescent="0.2">
      <c r="A206">
        <f t="shared" si="12"/>
        <v>195</v>
      </c>
      <c r="B206">
        <f t="shared" si="13"/>
        <v>0.97500000000000075</v>
      </c>
      <c r="C206">
        <f t="shared" si="14"/>
        <v>0.93993388549208079</v>
      </c>
      <c r="D206">
        <f t="shared" si="15"/>
        <v>1.1346268617333948</v>
      </c>
      <c r="E206">
        <v>195</v>
      </c>
      <c r="F206">
        <v>0.97500000000000075</v>
      </c>
      <c r="G206">
        <v>0.93991858811988638</v>
      </c>
      <c r="H206">
        <v>1.1444447098892747</v>
      </c>
    </row>
    <row r="207" spans="1:8" x14ac:dyDescent="0.2">
      <c r="A207">
        <f t="shared" si="12"/>
        <v>196</v>
      </c>
      <c r="B207">
        <f t="shared" si="13"/>
        <v>0.98000000000000076</v>
      </c>
      <c r="C207">
        <f t="shared" si="14"/>
        <v>0.93993821568776559</v>
      </c>
      <c r="D207">
        <f t="shared" si="15"/>
        <v>1.1426632964543522</v>
      </c>
      <c r="E207">
        <v>196</v>
      </c>
      <c r="F207">
        <v>0.98000000000000076</v>
      </c>
      <c r="G207">
        <v>0.93992374554241476</v>
      </c>
      <c r="H207">
        <v>1.1524810366120695</v>
      </c>
    </row>
    <row r="208" spans="1:8" x14ac:dyDescent="0.2">
      <c r="A208">
        <f t="shared" si="12"/>
        <v>197</v>
      </c>
      <c r="B208">
        <f t="shared" si="13"/>
        <v>0.98500000000000076</v>
      </c>
      <c r="C208">
        <f t="shared" si="14"/>
        <v>0.93994226229422417</v>
      </c>
      <c r="D208">
        <f t="shared" si="15"/>
        <v>1.1506997681984825</v>
      </c>
      <c r="E208">
        <v>197</v>
      </c>
      <c r="F208">
        <v>0.98500000000000076</v>
      </c>
      <c r="G208">
        <v>0.939928576268239</v>
      </c>
      <c r="H208">
        <v>1.1605174059869263</v>
      </c>
    </row>
    <row r="209" spans="1:8" x14ac:dyDescent="0.2">
      <c r="A209">
        <f t="shared" si="12"/>
        <v>198</v>
      </c>
      <c r="B209">
        <f t="shared" si="13"/>
        <v>0.99000000000000077</v>
      </c>
      <c r="C209">
        <f t="shared" si="14"/>
        <v>0.93994604388166147</v>
      </c>
      <c r="D209">
        <f t="shared" si="15"/>
        <v>1.1587362745410981</v>
      </c>
      <c r="E209">
        <v>198</v>
      </c>
      <c r="F209">
        <v>0.99000000000000077</v>
      </c>
      <c r="G209">
        <v>0.93993310098891203</v>
      </c>
      <c r="H209">
        <v>1.1685538153120378</v>
      </c>
    </row>
    <row r="210" spans="1:8" x14ac:dyDescent="0.2">
      <c r="A210">
        <f t="shared" si="12"/>
        <v>199</v>
      </c>
      <c r="B210">
        <f t="shared" si="13"/>
        <v>0.99500000000000077</v>
      </c>
      <c r="C210">
        <f t="shared" si="14"/>
        <v>0.93994957780455335</v>
      </c>
      <c r="D210">
        <f t="shared" si="15"/>
        <v>1.1667728132162862</v>
      </c>
      <c r="E210">
        <v>199</v>
      </c>
      <c r="F210">
        <v>0.99500000000000077</v>
      </c>
      <c r="G210">
        <v>0.93993733908584587</v>
      </c>
      <c r="H210">
        <v>1.1765902620567192</v>
      </c>
    </row>
    <row r="211" spans="1:8" x14ac:dyDescent="0.2">
      <c r="A211">
        <f t="shared" si="12"/>
        <v>200</v>
      </c>
      <c r="B211">
        <f t="shared" si="13"/>
        <v>1.0000000000000007</v>
      </c>
      <c r="C211">
        <f t="shared" si="14"/>
        <v>0.93995288028119861</v>
      </c>
      <c r="D211">
        <f t="shared" si="15"/>
        <v>1.1748093821065151</v>
      </c>
      <c r="E211">
        <v>200</v>
      </c>
      <c r="F211">
        <v>1.0000000000000007</v>
      </c>
      <c r="G211">
        <v>0.93994130871322135</v>
      </c>
      <c r="H211">
        <v>1.1846267438505729</v>
      </c>
    </row>
  </sheetData>
  <mergeCells count="2">
    <mergeCell ref="A9:D9"/>
    <mergeCell ref="E9:H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0937-2D79-FD48-8430-A74E422BF29C}">
  <sheetPr codeName="Sheet4"/>
  <dimension ref="A1:G42"/>
  <sheetViews>
    <sheetView workbookViewId="0">
      <selection activeCell="F34" sqref="F34"/>
    </sheetView>
  </sheetViews>
  <sheetFormatPr baseColWidth="10" defaultRowHeight="16" x14ac:dyDescent="0.2"/>
  <cols>
    <col min="7" max="7" width="11.6640625" bestFit="1" customWidth="1"/>
  </cols>
  <sheetData>
    <row r="1" spans="1:7" x14ac:dyDescent="0.2">
      <c r="A1" t="s">
        <v>31</v>
      </c>
      <c r="B1" t="s">
        <v>4</v>
      </c>
      <c r="C1" t="s">
        <v>44</v>
      </c>
      <c r="D1" t="s">
        <v>45</v>
      </c>
      <c r="F1" t="s">
        <v>22</v>
      </c>
      <c r="G1">
        <v>0.05</v>
      </c>
    </row>
    <row r="2" spans="1:7" x14ac:dyDescent="0.2">
      <c r="A2">
        <v>0</v>
      </c>
      <c r="B2">
        <f>A2*$G$1</f>
        <v>0</v>
      </c>
      <c r="C2">
        <v>1</v>
      </c>
      <c r="D2">
        <f>$G$2</f>
        <v>3.526583</v>
      </c>
      <c r="G2">
        <v>3.526583</v>
      </c>
    </row>
    <row r="3" spans="1:7" x14ac:dyDescent="0.2">
      <c r="A3">
        <f>A2+1</f>
        <v>1</v>
      </c>
      <c r="B3">
        <f t="shared" ref="B3:B42" si="0">A3*$G$1</f>
        <v>0.05</v>
      </c>
      <c r="C3">
        <f>($G$1^2-$G$1*C2-$G$1*D2-C2)/$G$3</f>
        <v>1.1683333174224342</v>
      </c>
      <c r="D3">
        <f>(-$G$1*C2+$G$1-D2)/$G$3</f>
        <v>3.3666663484486872</v>
      </c>
      <c r="G3">
        <v>-1.0475000000000001</v>
      </c>
    </row>
    <row r="4" spans="1:7" x14ac:dyDescent="0.2">
      <c r="A4">
        <f t="shared" ref="A4:A67" si="1">A3+1</f>
        <v>2</v>
      </c>
      <c r="B4">
        <f t="shared" si="0"/>
        <v>0.1</v>
      </c>
      <c r="C4">
        <f t="shared" ref="C4:C41" si="2">($G$1^2-$G$1*C3-$G$1*D3-C3)/$G$3</f>
        <v>1.3294351319484392</v>
      </c>
      <c r="D4">
        <f t="shared" ref="D4:D41" si="3">(-$G$1*C3+$G$1-D3)/$G$3</f>
        <v>3.2220362905201037</v>
      </c>
    </row>
    <row r="5" spans="1:7" x14ac:dyDescent="0.2">
      <c r="A5">
        <f t="shared" si="1"/>
        <v>3</v>
      </c>
      <c r="B5">
        <f t="shared" si="0"/>
        <v>0.15000000000000002</v>
      </c>
      <c r="C5">
        <f t="shared" si="2"/>
        <v>1.4840178549612086</v>
      </c>
      <c r="D5">
        <f t="shared" si="3"/>
        <v>3.0916544602553944</v>
      </c>
    </row>
    <row r="6" spans="1:7" x14ac:dyDescent="0.2">
      <c r="A6">
        <f t="shared" si="1"/>
        <v>4</v>
      </c>
      <c r="B6">
        <f t="shared" si="0"/>
        <v>0.2</v>
      </c>
      <c r="C6">
        <f t="shared" si="2"/>
        <v>1.6327460341021849</v>
      </c>
      <c r="D6">
        <f t="shared" si="3"/>
        <v>2.9745635828195267</v>
      </c>
    </row>
    <row r="7" spans="1:7" x14ac:dyDescent="0.2">
      <c r="A7">
        <f t="shared" si="1"/>
        <v>5</v>
      </c>
      <c r="B7">
        <f t="shared" si="0"/>
        <v>0.25</v>
      </c>
      <c r="C7">
        <f t="shared" si="2"/>
        <v>1.7762401097358189</v>
      </c>
      <c r="D7">
        <f t="shared" si="3"/>
        <v>2.8698815126726833</v>
      </c>
    </row>
    <row r="8" spans="1:7" x14ac:dyDescent="0.2">
      <c r="A8">
        <f t="shared" si="1"/>
        <v>6</v>
      </c>
      <c r="B8">
        <f t="shared" si="0"/>
        <v>0.30000000000000004</v>
      </c>
      <c r="C8">
        <f t="shared" si="2"/>
        <v>1.9150798958054835</v>
      </c>
      <c r="D8">
        <f t="shared" si="3"/>
        <v>2.7767957213932926</v>
      </c>
    </row>
    <row r="9" spans="1:7" x14ac:dyDescent="0.2">
      <c r="A9">
        <f t="shared" si="1"/>
        <v>7</v>
      </c>
      <c r="B9">
        <f t="shared" si="0"/>
        <v>0.35000000000000003</v>
      </c>
      <c r="C9">
        <f t="shared" si="2"/>
        <v>2.0498078058858447</v>
      </c>
      <c r="D9">
        <f t="shared" si="3"/>
        <v>2.6945582016072231</v>
      </c>
    </row>
    <row r="10" spans="1:7" x14ac:dyDescent="0.2">
      <c r="A10">
        <f t="shared" si="1"/>
        <v>8</v>
      </c>
      <c r="B10">
        <f t="shared" si="0"/>
        <v>0.4</v>
      </c>
      <c r="C10">
        <f t="shared" si="2"/>
        <v>2.1809318436854395</v>
      </c>
      <c r="D10">
        <f t="shared" si="3"/>
        <v>2.6224807559918997</v>
      </c>
    </row>
    <row r="11" spans="1:7" x14ac:dyDescent="0.2">
      <c r="A11">
        <f t="shared" si="1"/>
        <v>9</v>
      </c>
      <c r="B11">
        <f t="shared" si="0"/>
        <v>0.45</v>
      </c>
      <c r="C11">
        <f t="shared" si="2"/>
        <v>2.3089283758179535</v>
      </c>
      <c r="D11">
        <f t="shared" si="3"/>
        <v>2.5599306426502828</v>
      </c>
    </row>
    <row r="12" spans="1:7" x14ac:dyDescent="0.2">
      <c r="A12">
        <f t="shared" si="1"/>
        <v>10</v>
      </c>
      <c r="B12">
        <f t="shared" si="0"/>
        <v>0.5</v>
      </c>
      <c r="C12">
        <f t="shared" si="2"/>
        <v>2.4342447033330457</v>
      </c>
      <c r="D12">
        <f t="shared" si="3"/>
        <v>2.5063265503018428</v>
      </c>
    </row>
    <row r="13" spans="1:7" x14ac:dyDescent="0.2">
      <c r="A13">
        <f t="shared" si="1"/>
        <v>11</v>
      </c>
      <c r="B13">
        <f t="shared" si="0"/>
        <v>0.55000000000000004</v>
      </c>
      <c r="C13">
        <f t="shared" si="2"/>
        <v>2.5573014472694893</v>
      </c>
      <c r="D13">
        <f t="shared" si="3"/>
        <v>2.4611348787288732</v>
      </c>
    </row>
    <row r="14" spans="1:7" x14ac:dyDescent="0.2">
      <c r="A14">
        <f t="shared" si="1"/>
        <v>12</v>
      </c>
      <c r="B14">
        <f t="shared" si="0"/>
        <v>0.60000000000000009</v>
      </c>
      <c r="C14">
        <f t="shared" si="2"/>
        <v>2.6784947623574293</v>
      </c>
      <c r="D14">
        <f t="shared" si="3"/>
        <v>2.423866301758804</v>
      </c>
    </row>
    <row r="15" spans="1:7" x14ac:dyDescent="0.2">
      <c r="A15">
        <f t="shared" si="1"/>
        <v>13</v>
      </c>
      <c r="B15">
        <f t="shared" si="0"/>
        <v>0.65</v>
      </c>
      <c r="C15">
        <f t="shared" si="2"/>
        <v>2.7981983919458147</v>
      </c>
      <c r="D15">
        <f t="shared" si="3"/>
        <v>2.394072591767709</v>
      </c>
    </row>
    <row r="16" spans="1:7" x14ac:dyDescent="0.2">
      <c r="A16">
        <f t="shared" si="1"/>
        <v>14</v>
      </c>
      <c r="B16">
        <f t="shared" si="0"/>
        <v>0.70000000000000007</v>
      </c>
      <c r="C16">
        <f t="shared" si="2"/>
        <v>2.9167655762591793</v>
      </c>
      <c r="D16">
        <f t="shared" si="3"/>
        <v>2.3713436862673025</v>
      </c>
    </row>
    <row r="17" spans="1:4" x14ac:dyDescent="0.2">
      <c r="A17">
        <f t="shared" si="1"/>
        <v>15</v>
      </c>
      <c r="B17">
        <f t="shared" si="0"/>
        <v>0.75</v>
      </c>
      <c r="C17">
        <f t="shared" si="2"/>
        <v>3.0345308251890244</v>
      </c>
      <c r="D17">
        <f t="shared" si="3"/>
        <v>2.3553049785969082</v>
      </c>
    </row>
    <row r="18" spans="1:4" x14ac:dyDescent="0.2">
      <c r="A18">
        <f t="shared" si="1"/>
        <v>16</v>
      </c>
      <c r="B18">
        <f t="shared" si="0"/>
        <v>0.8</v>
      </c>
      <c r="C18">
        <f t="shared" si="2"/>
        <v>3.1518115659936234</v>
      </c>
      <c r="D18">
        <f t="shared" si="3"/>
        <v>2.3456148160919899</v>
      </c>
    </row>
    <row r="19" spans="1:4" x14ac:dyDescent="0.2">
      <c r="A19">
        <f t="shared" si="1"/>
        <v>17</v>
      </c>
      <c r="B19">
        <f t="shared" si="0"/>
        <v>0.85000000000000009</v>
      </c>
      <c r="C19">
        <f t="shared" si="2"/>
        <v>3.2689096755111255</v>
      </c>
      <c r="D19">
        <f t="shared" si="3"/>
        <v>2.3419621903500438</v>
      </c>
    </row>
    <row r="20" spans="1:4" x14ac:dyDescent="0.2">
      <c r="A20">
        <f t="shared" si="1"/>
        <v>18</v>
      </c>
      <c r="B20">
        <f t="shared" si="0"/>
        <v>0.9</v>
      </c>
      <c r="C20">
        <f t="shared" si="2"/>
        <v>3.3861129057796502</v>
      </c>
      <c r="D20">
        <f t="shared" si="3"/>
        <v>2.3440646053705008</v>
      </c>
    </row>
    <row r="21" spans="1:4" x14ac:dyDescent="0.2">
      <c r="A21">
        <f t="shared" si="1"/>
        <v>19</v>
      </c>
      <c r="B21">
        <f t="shared" si="0"/>
        <v>0.95000000000000007</v>
      </c>
      <c r="C21">
        <f t="shared" si="2"/>
        <v>3.5036962113003889</v>
      </c>
      <c r="D21">
        <f t="shared" si="3"/>
        <v>2.3516661104147807</v>
      </c>
    </row>
    <row r="22" spans="1:4" x14ac:dyDescent="0.2">
      <c r="A22">
        <f t="shared" si="1"/>
        <v>20</v>
      </c>
      <c r="B22">
        <f t="shared" si="0"/>
        <v>1</v>
      </c>
      <c r="C22">
        <f t="shared" si="2"/>
        <v>3.6219229855715009</v>
      </c>
      <c r="D22">
        <f t="shared" si="3"/>
        <v>2.3645354854222433</v>
      </c>
    </row>
    <row r="23" spans="1:4" x14ac:dyDescent="0.2">
      <c r="A23">
        <f t="shared" si="1"/>
        <v>21</v>
      </c>
      <c r="B23">
        <f t="shared" si="0"/>
        <v>1.05</v>
      </c>
      <c r="C23">
        <f t="shared" si="2"/>
        <v>3.7410462139581746</v>
      </c>
      <c r="D23">
        <f t="shared" si="3"/>
        <v>2.3824645677334781</v>
      </c>
    </row>
    <row r="24" spans="1:4" x14ac:dyDescent="0.2">
      <c r="A24">
        <f t="shared" si="1"/>
        <v>22</v>
      </c>
      <c r="B24">
        <f t="shared" si="0"/>
        <v>1.1000000000000001</v>
      </c>
      <c r="C24">
        <f t="shared" si="2"/>
        <v>3.8613095494441589</v>
      </c>
      <c r="D24">
        <f t="shared" si="3"/>
        <v>2.4052667097197009</v>
      </c>
    </row>
    <row r="25" spans="1:4" x14ac:dyDescent="0.2">
      <c r="A25">
        <f t="shared" si="1"/>
        <v>23</v>
      </c>
      <c r="B25">
        <f t="shared" si="0"/>
        <v>1.1500000000000001</v>
      </c>
      <c r="C25">
        <f t="shared" si="2"/>
        <v>3.9829483173292139</v>
      </c>
      <c r="D25">
        <f t="shared" si="3"/>
        <v>2.432775357701106</v>
      </c>
    </row>
    <row r="26" spans="1:4" x14ac:dyDescent="0.2">
      <c r="A26">
        <f t="shared" si="1"/>
        <v>24</v>
      </c>
      <c r="B26">
        <f t="shared" si="0"/>
        <v>1.2000000000000002</v>
      </c>
      <c r="C26">
        <f t="shared" si="2"/>
        <v>4.1061904544923431</v>
      </c>
      <c r="D26">
        <f t="shared" si="3"/>
        <v>2.4648427432625932</v>
      </c>
    </row>
    <row r="27" spans="1:4" x14ac:dyDescent="0.2">
      <c r="A27">
        <f t="shared" si="1"/>
        <v>25</v>
      </c>
      <c r="B27">
        <f t="shared" si="0"/>
        <v>1.25</v>
      </c>
      <c r="C27">
        <f t="shared" si="2"/>
        <v>4.2312573884296798</v>
      </c>
      <c r="D27">
        <f t="shared" si="3"/>
        <v>2.5013386787467402</v>
      </c>
    </row>
    <row r="28" spans="1:4" x14ac:dyDescent="0.2">
      <c r="A28">
        <f t="shared" si="1"/>
        <v>26</v>
      </c>
      <c r="B28">
        <f t="shared" si="0"/>
        <v>1.3</v>
      </c>
      <c r="C28">
        <f t="shared" si="2"/>
        <v>4.3583648608959429</v>
      </c>
      <c r="D28">
        <f t="shared" si="3"/>
        <v>2.5421494493252736</v>
      </c>
    </row>
    <row r="29" spans="1:4" x14ac:dyDescent="0.2">
      <c r="A29">
        <f t="shared" si="1"/>
        <v>27</v>
      </c>
      <c r="B29">
        <f t="shared" si="0"/>
        <v>1.35</v>
      </c>
      <c r="C29">
        <f t="shared" si="2"/>
        <v>4.4877237006272104</v>
      </c>
      <c r="D29">
        <f t="shared" si="3"/>
        <v>2.5871767946253654</v>
      </c>
    </row>
    <row r="30" spans="1:4" x14ac:dyDescent="0.2">
      <c r="A30">
        <f t="shared" si="1"/>
        <v>28</v>
      </c>
      <c r="B30">
        <f t="shared" si="0"/>
        <v>1.4000000000000001</v>
      </c>
      <c r="C30">
        <f t="shared" si="2"/>
        <v>4.6195405492981756</v>
      </c>
      <c r="D30">
        <f t="shared" si="3"/>
        <v>2.6363369734193087</v>
      </c>
    </row>
    <row r="31" spans="1:4" x14ac:dyDescent="0.2">
      <c r="A31">
        <f t="shared" si="1"/>
        <v>29</v>
      </c>
      <c r="B31">
        <f t="shared" si="0"/>
        <v>1.4500000000000002</v>
      </c>
      <c r="C31">
        <f t="shared" si="2"/>
        <v>4.7540185445671117</v>
      </c>
      <c r="D31">
        <f t="shared" si="3"/>
        <v>2.689559905378728</v>
      </c>
    </row>
    <row r="32" spans="1:4" x14ac:dyDescent="0.2">
      <c r="A32">
        <f t="shared" si="1"/>
        <v>30</v>
      </c>
      <c r="B32">
        <f t="shared" si="0"/>
        <v>1.5</v>
      </c>
      <c r="C32">
        <f t="shared" si="2"/>
        <v>4.8913579637846336</v>
      </c>
      <c r="D32">
        <f t="shared" si="3"/>
        <v>2.7467883843504373</v>
      </c>
    </row>
    <row r="33" spans="1:4" x14ac:dyDescent="0.2">
      <c r="A33">
        <f t="shared" si="1"/>
        <v>31</v>
      </c>
      <c r="B33">
        <f t="shared" si="0"/>
        <v>1.55</v>
      </c>
      <c r="C33">
        <f t="shared" si="2"/>
        <v>5.0317568316862884</v>
      </c>
      <c r="D33">
        <f t="shared" si="3"/>
        <v>2.8079773580330967</v>
      </c>
    </row>
    <row r="34" spans="1:4" x14ac:dyDescent="0.2">
      <c r="A34">
        <f t="shared" si="1"/>
        <v>32</v>
      </c>
      <c r="B34">
        <f t="shared" si="0"/>
        <v>1.6</v>
      </c>
      <c r="C34">
        <f t="shared" si="2"/>
        <v>5.1754114951525132</v>
      </c>
      <c r="D34">
        <f t="shared" si="3"/>
        <v>2.8730932693244968</v>
      </c>
    </row>
    <row r="35" spans="1:4" x14ac:dyDescent="0.2">
      <c r="A35">
        <f t="shared" si="1"/>
        <v>33</v>
      </c>
      <c r="B35">
        <f t="shared" si="0"/>
        <v>1.6500000000000001</v>
      </c>
      <c r="C35">
        <f t="shared" si="2"/>
        <v>5.3225171679010632</v>
      </c>
      <c r="D35">
        <f t="shared" si="3"/>
        <v>2.942113454971</v>
      </c>
    </row>
    <row r="36" spans="1:4" x14ac:dyDescent="0.2">
      <c r="A36">
        <f t="shared" si="1"/>
        <v>34</v>
      </c>
      <c r="B36">
        <f t="shared" si="0"/>
        <v>1.7000000000000002</v>
      </c>
      <c r="C36">
        <f t="shared" si="2"/>
        <v>5.4732684477753368</v>
      </c>
      <c r="D36">
        <f t="shared" si="3"/>
        <v>3.0150255974854918</v>
      </c>
    </row>
    <row r="37" spans="1:4" x14ac:dyDescent="0.2">
      <c r="A37">
        <f t="shared" si="1"/>
        <v>35</v>
      </c>
      <c r="B37">
        <f t="shared" si="0"/>
        <v>1.75</v>
      </c>
      <c r="C37">
        <f t="shared" si="2"/>
        <v>5.6278598091058498</v>
      </c>
      <c r="D37">
        <f t="shared" si="3"/>
        <v>3.0918272266102704</v>
      </c>
    </row>
    <row r="38" spans="1:4" x14ac:dyDescent="0.2">
      <c r="A38">
        <f t="shared" si="1"/>
        <v>36</v>
      </c>
      <c r="B38">
        <f t="shared" si="0"/>
        <v>1.8</v>
      </c>
      <c r="C38">
        <f t="shared" si="2"/>
        <v>5.7864860724502671</v>
      </c>
      <c r="D38">
        <f t="shared" si="3"/>
        <v>3.1725252668883654</v>
      </c>
    </row>
    <row r="39" spans="1:4" x14ac:dyDescent="0.2">
      <c r="A39">
        <f t="shared" si="1"/>
        <v>37</v>
      </c>
      <c r="B39">
        <f t="shared" si="0"/>
        <v>1.85</v>
      </c>
      <c r="C39">
        <f t="shared" si="2"/>
        <v>5.9493428538588997</v>
      </c>
      <c r="D39">
        <f t="shared" si="3"/>
        <v>3.2571356281726764</v>
      </c>
    </row>
    <row r="40" spans="1:4" x14ac:dyDescent="0.2">
      <c r="A40">
        <f t="shared" si="1"/>
        <v>38</v>
      </c>
      <c r="B40">
        <f t="shared" si="0"/>
        <v>1.9000000000000001</v>
      </c>
      <c r="C40">
        <f t="shared" si="2"/>
        <v>6.1166269956663273</v>
      </c>
      <c r="D40">
        <f t="shared" si="3"/>
        <v>3.3456828361485642</v>
      </c>
    </row>
    <row r="41" spans="1:4" x14ac:dyDescent="0.2">
      <c r="A41">
        <f t="shared" si="1"/>
        <v>39</v>
      </c>
      <c r="B41">
        <f t="shared" si="0"/>
        <v>1.9500000000000002</v>
      </c>
      <c r="C41">
        <f t="shared" si="2"/>
        <v>6.2885369806750084</v>
      </c>
      <c r="D41">
        <f t="shared" si="3"/>
        <v>3.4381997001736324</v>
      </c>
    </row>
    <row r="42" spans="1:4" x14ac:dyDescent="0.2">
      <c r="A42">
        <f t="shared" si="1"/>
        <v>40</v>
      </c>
      <c r="B42">
        <f t="shared" si="0"/>
        <v>2</v>
      </c>
      <c r="C42">
        <f>($G$1^2-$G$1*C41-$G$1*D41-C41)/$G$3</f>
        <v>6.4652733314724964</v>
      </c>
      <c r="D42">
        <f>(-$G$1*C41+$G$1-D41)/$G$3</f>
        <v>3.5347270159497688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427FE-2AA9-6343-87B4-D0F2FB953F33}">
  <sheetPr codeName="Sheet8"/>
  <dimension ref="A1:K25"/>
  <sheetViews>
    <sheetView workbookViewId="0">
      <selection activeCell="H32" sqref="H32"/>
    </sheetView>
  </sheetViews>
  <sheetFormatPr baseColWidth="10" defaultRowHeight="16" x14ac:dyDescent="0.2"/>
  <sheetData>
    <row r="1" spans="1:11" x14ac:dyDescent="0.2">
      <c r="A1" t="s">
        <v>46</v>
      </c>
      <c r="B1" t="s">
        <v>47</v>
      </c>
      <c r="C1" t="s">
        <v>48</v>
      </c>
      <c r="D1" t="s">
        <v>49</v>
      </c>
      <c r="E1" t="s">
        <v>50</v>
      </c>
      <c r="F1" t="s">
        <v>51</v>
      </c>
      <c r="G1" s="7" t="s">
        <v>52</v>
      </c>
      <c r="H1" t="s">
        <v>53</v>
      </c>
      <c r="I1" t="s">
        <v>54</v>
      </c>
      <c r="J1" t="s">
        <v>55</v>
      </c>
      <c r="K1" t="s">
        <v>21</v>
      </c>
    </row>
    <row r="2" spans="1:11" x14ac:dyDescent="0.2">
      <c r="A2">
        <v>-2.04</v>
      </c>
      <c r="B2">
        <v>1.1000000000000001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-0.94</v>
      </c>
    </row>
    <row r="3" spans="1:11" x14ac:dyDescent="0.2">
      <c r="A3">
        <v>0.9</v>
      </c>
      <c r="B3">
        <v>-2.04</v>
      </c>
      <c r="C3">
        <v>1.1000000000000001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-0.04</v>
      </c>
    </row>
    <row r="4" spans="1:11" x14ac:dyDescent="0.2">
      <c r="A4">
        <v>0</v>
      </c>
      <c r="B4">
        <v>0.9</v>
      </c>
      <c r="C4">
        <v>-2.04</v>
      </c>
      <c r="D4">
        <v>1.1000000000000001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-0.04</v>
      </c>
    </row>
    <row r="5" spans="1:11" x14ac:dyDescent="0.2">
      <c r="A5">
        <v>0</v>
      </c>
      <c r="B5">
        <v>0</v>
      </c>
      <c r="C5">
        <v>0.9</v>
      </c>
      <c r="D5">
        <v>-2.04</v>
      </c>
      <c r="E5">
        <v>1.1000000000000001</v>
      </c>
      <c r="F5">
        <v>0</v>
      </c>
      <c r="G5">
        <v>0</v>
      </c>
      <c r="H5">
        <v>0</v>
      </c>
      <c r="I5">
        <v>0</v>
      </c>
      <c r="J5">
        <v>0</v>
      </c>
      <c r="K5">
        <v>-0.04</v>
      </c>
    </row>
    <row r="6" spans="1:11" x14ac:dyDescent="0.2">
      <c r="A6">
        <v>0</v>
      </c>
      <c r="B6">
        <v>0</v>
      </c>
      <c r="C6">
        <v>0</v>
      </c>
      <c r="D6">
        <v>0.9</v>
      </c>
      <c r="E6">
        <v>-2.04</v>
      </c>
      <c r="F6">
        <v>1.1000000000000001</v>
      </c>
      <c r="G6">
        <v>0</v>
      </c>
      <c r="H6">
        <v>0</v>
      </c>
      <c r="I6">
        <v>0</v>
      </c>
      <c r="J6">
        <v>0</v>
      </c>
      <c r="K6">
        <v>-0.04</v>
      </c>
    </row>
    <row r="7" spans="1:11" x14ac:dyDescent="0.2">
      <c r="A7">
        <v>0</v>
      </c>
      <c r="B7">
        <v>0</v>
      </c>
      <c r="C7">
        <v>0</v>
      </c>
      <c r="D7">
        <v>0</v>
      </c>
      <c r="E7">
        <v>0.9</v>
      </c>
      <c r="F7">
        <v>-2.04</v>
      </c>
      <c r="G7">
        <v>1.1000000000000001</v>
      </c>
      <c r="H7">
        <v>0</v>
      </c>
      <c r="I7">
        <v>0</v>
      </c>
      <c r="J7">
        <v>0</v>
      </c>
      <c r="K7">
        <v>-0.04</v>
      </c>
    </row>
    <row r="8" spans="1:11" x14ac:dyDescent="0.2">
      <c r="A8">
        <v>0</v>
      </c>
      <c r="B8">
        <v>0</v>
      </c>
      <c r="C8">
        <v>0</v>
      </c>
      <c r="D8">
        <v>0</v>
      </c>
      <c r="E8">
        <v>0</v>
      </c>
      <c r="F8">
        <v>0.9</v>
      </c>
      <c r="G8">
        <v>-2.04</v>
      </c>
      <c r="H8">
        <v>1.1000000000000001</v>
      </c>
      <c r="I8">
        <v>0</v>
      </c>
      <c r="J8">
        <v>0</v>
      </c>
      <c r="K8">
        <v>-0.04</v>
      </c>
    </row>
    <row r="9" spans="1:11" x14ac:dyDescent="0.2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0.9</v>
      </c>
      <c r="H9">
        <v>-2.04</v>
      </c>
      <c r="I9">
        <v>1.1000000000000001</v>
      </c>
      <c r="J9">
        <v>0</v>
      </c>
      <c r="K9">
        <v>-0.04</v>
      </c>
    </row>
    <row r="10" spans="1:11" x14ac:dyDescent="0.2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0.9</v>
      </c>
      <c r="I10">
        <v>-2.04</v>
      </c>
      <c r="J10">
        <v>1.1000000000000001</v>
      </c>
      <c r="K10">
        <v>-0.04</v>
      </c>
    </row>
    <row r="11" spans="1:11" x14ac:dyDescent="0.2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2.5</v>
      </c>
      <c r="I11">
        <v>-10</v>
      </c>
      <c r="J11">
        <v>8.5</v>
      </c>
      <c r="K11">
        <v>10</v>
      </c>
    </row>
    <row r="14" spans="1:11" x14ac:dyDescent="0.2">
      <c r="A14" t="s">
        <v>57</v>
      </c>
      <c r="B14" t="s">
        <v>56</v>
      </c>
    </row>
    <row r="15" spans="1:11" x14ac:dyDescent="0.2">
      <c r="A15">
        <v>0</v>
      </c>
      <c r="B15">
        <v>1</v>
      </c>
    </row>
    <row r="16" spans="1:11" x14ac:dyDescent="0.2">
      <c r="A16">
        <f>A15+0.2</f>
        <v>0.2</v>
      </c>
      <c r="B16" cm="1">
        <f t="array" ref="B16:B25">MMULT(MINVERSE(A2:J11),K2:K11)</f>
        <v>1.6598235309124749</v>
      </c>
    </row>
    <row r="17" spans="1:2" x14ac:dyDescent="0.2">
      <c r="A17">
        <f t="shared" ref="A17:A26" si="0">A16+0.2</f>
        <v>0.4</v>
      </c>
      <c r="B17">
        <v>2.2236727300558625</v>
      </c>
    </row>
    <row r="18" spans="1:2" x14ac:dyDescent="0.2">
      <c r="A18">
        <f t="shared" si="0"/>
        <v>0.60000000000000009</v>
      </c>
      <c r="B18">
        <v>2.7295010831752107</v>
      </c>
    </row>
    <row r="19" spans="1:2" x14ac:dyDescent="0.2">
      <c r="A19">
        <f t="shared" si="0"/>
        <v>0.8</v>
      </c>
      <c r="B19">
        <v>3.2062515932974121</v>
      </c>
    </row>
    <row r="20" spans="1:2" x14ac:dyDescent="0.2">
      <c r="A20">
        <f t="shared" si="0"/>
        <v>1</v>
      </c>
      <c r="B20">
        <v>3.6765475231536637</v>
      </c>
    </row>
    <row r="21" spans="1:2" x14ac:dyDescent="0.2">
      <c r="A21">
        <f t="shared" si="0"/>
        <v>1.2</v>
      </c>
      <c r="B21">
        <v>4.1586641029689124</v>
      </c>
    </row>
    <row r="22" spans="1:2" x14ac:dyDescent="0.2">
      <c r="A22">
        <f t="shared" si="0"/>
        <v>1.4</v>
      </c>
      <c r="B22">
        <v>4.6679836356529849</v>
      </c>
    </row>
    <row r="23" spans="1:2" x14ac:dyDescent="0.2">
      <c r="A23">
        <f t="shared" si="0"/>
        <v>1.5999999999999999</v>
      </c>
      <c r="B23">
        <v>5.2180808400546068</v>
      </c>
    </row>
    <row r="24" spans="1:2" x14ac:dyDescent="0.2">
      <c r="A24">
        <f t="shared" si="0"/>
        <v>1.7999999999999998</v>
      </c>
      <c r="B24">
        <v>5.8215451287488262</v>
      </c>
    </row>
    <row r="25" spans="1:2" x14ac:dyDescent="0.2">
      <c r="A25">
        <f t="shared" si="0"/>
        <v>1.9999999999999998</v>
      </c>
      <c r="B25">
        <v>6.4906175514531466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C0918-905B-984B-93E2-8684907860E1}">
  <sheetPr codeName="Sheet5"/>
  <dimension ref="A1:G10"/>
  <sheetViews>
    <sheetView workbookViewId="0">
      <selection activeCell="K15" sqref="K15"/>
    </sheetView>
  </sheetViews>
  <sheetFormatPr baseColWidth="10" defaultRowHeight="16" x14ac:dyDescent="0.2"/>
  <cols>
    <col min="4" max="4" width="14.1640625" bestFit="1" customWidth="1"/>
    <col min="5" max="5" width="12" bestFit="1" customWidth="1"/>
    <col min="7" max="7" width="12" bestFit="1" customWidth="1"/>
  </cols>
  <sheetData>
    <row r="1" spans="1:7" x14ac:dyDescent="0.2">
      <c r="A1" t="s">
        <v>58</v>
      </c>
      <c r="B1" t="s">
        <v>59</v>
      </c>
      <c r="C1" t="s">
        <v>60</v>
      </c>
      <c r="D1" t="s">
        <v>61</v>
      </c>
      <c r="E1" t="s">
        <v>62</v>
      </c>
      <c r="F1" t="s">
        <v>12</v>
      </c>
      <c r="G1" t="s">
        <v>63</v>
      </c>
    </row>
    <row r="2" spans="1:7" x14ac:dyDescent="0.2">
      <c r="A2">
        <v>1</v>
      </c>
      <c r="B2">
        <v>0</v>
      </c>
      <c r="C2" s="1">
        <v>3.4E-5</v>
      </c>
      <c r="D2">
        <f>$B$10*A2/(1+$B$8*A2+$B$9*B2)^2</f>
        <v>3.4083681078313822E-5</v>
      </c>
      <c r="E2">
        <f>LOG10(D2)</f>
        <v>-4.4674535070489174</v>
      </c>
      <c r="F2" s="1">
        <f>LOG10(C2)-E2</f>
        <v>-1.067575908827223E-3</v>
      </c>
      <c r="G2" s="1">
        <f>F2^2</f>
        <v>1.1397183211082711E-6</v>
      </c>
    </row>
    <row r="3" spans="1:7" x14ac:dyDescent="0.2">
      <c r="A3">
        <f>A2-0.1</f>
        <v>0.9</v>
      </c>
      <c r="B3">
        <f>B2+0.1</f>
        <v>0.1</v>
      </c>
      <c r="C3" s="1">
        <v>3.6000000000000001E-5</v>
      </c>
      <c r="D3">
        <f t="shared" ref="D3:D6" si="0">$B$10*A3/(1+$B$8*A3+$B$9*B3)^2</f>
        <v>3.5616291230072114E-5</v>
      </c>
      <c r="E3">
        <f t="shared" ref="E3:E6" si="1">LOG10(D3)</f>
        <v>-4.4483513061578241</v>
      </c>
      <c r="F3" s="1">
        <f t="shared" ref="F3:F6" si="2">LOG10(C3)-E3</f>
        <v>4.6538069251118586E-3</v>
      </c>
      <c r="G3" s="1">
        <f t="shared" ref="G3:G6" si="3">F3^2</f>
        <v>2.1657918896219091E-5</v>
      </c>
    </row>
    <row r="4" spans="1:7" x14ac:dyDescent="0.2">
      <c r="A4">
        <f t="shared" ref="A4:A6" si="4">A3-0.1</f>
        <v>0.8</v>
      </c>
      <c r="B4">
        <f t="shared" ref="B4:B6" si="5">B3+0.1</f>
        <v>0.2</v>
      </c>
      <c r="C4" s="1">
        <v>3.6999999999999998E-5</v>
      </c>
      <c r="D4">
        <f t="shared" si="0"/>
        <v>3.7204269312175965E-5</v>
      </c>
      <c r="E4">
        <f t="shared" si="1"/>
        <v>-4.4294072205393062</v>
      </c>
      <c r="F4" s="1">
        <f t="shared" si="2"/>
        <v>-2.3910553936987711E-3</v>
      </c>
      <c r="G4" s="1">
        <f t="shared" si="3"/>
        <v>5.7171458957359852E-6</v>
      </c>
    </row>
    <row r="5" spans="1:7" x14ac:dyDescent="0.2">
      <c r="A5">
        <f t="shared" si="4"/>
        <v>0.70000000000000007</v>
      </c>
      <c r="B5">
        <f t="shared" si="5"/>
        <v>0.30000000000000004</v>
      </c>
      <c r="C5" s="1">
        <v>3.8999999999999999E-5</v>
      </c>
      <c r="D5">
        <f t="shared" si="0"/>
        <v>3.8802071214261937E-5</v>
      </c>
      <c r="E5">
        <f t="shared" si="1"/>
        <v>-4.4111450915986605</v>
      </c>
      <c r="F5" s="1">
        <f t="shared" si="2"/>
        <v>2.2096986251600725E-3</v>
      </c>
      <c r="G5" s="1">
        <f t="shared" si="3"/>
        <v>4.8827680140343145E-6</v>
      </c>
    </row>
    <row r="6" spans="1:7" x14ac:dyDescent="0.2">
      <c r="A6">
        <f t="shared" si="4"/>
        <v>0.60000000000000009</v>
      </c>
      <c r="B6">
        <f t="shared" si="5"/>
        <v>0.4</v>
      </c>
      <c r="C6" s="1">
        <v>4.0000000000000003E-5</v>
      </c>
      <c r="D6">
        <f t="shared" si="0"/>
        <v>4.0318700969214588E-5</v>
      </c>
      <c r="E6">
        <f t="shared" si="1"/>
        <v>-4.3944934688985979</v>
      </c>
      <c r="F6" s="1">
        <f t="shared" si="2"/>
        <v>-3.4465397734395609E-3</v>
      </c>
      <c r="G6" s="1">
        <f t="shared" si="3"/>
        <v>1.1878636409900819E-5</v>
      </c>
    </row>
    <row r="8" spans="1:7" x14ac:dyDescent="0.2">
      <c r="A8" t="s">
        <v>64</v>
      </c>
      <c r="B8">
        <v>19.978401019449343</v>
      </c>
      <c r="F8" t="s">
        <v>67</v>
      </c>
      <c r="G8" s="1">
        <f>SUM(G2:G6)</f>
        <v>4.5276187536998482E-5</v>
      </c>
    </row>
    <row r="9" spans="1:7" x14ac:dyDescent="0.2">
      <c r="A9" t="s">
        <v>65</v>
      </c>
      <c r="B9">
        <v>4.883894213092093</v>
      </c>
    </row>
    <row r="10" spans="1:7" x14ac:dyDescent="0.2">
      <c r="A10" t="s">
        <v>66</v>
      </c>
      <c r="B10">
        <v>1.4999999999999999E-2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Problem 1a and 1b</vt:lpstr>
      <vt:lpstr>Problem 1c</vt:lpstr>
      <vt:lpstr>Problem 2</vt:lpstr>
      <vt:lpstr>Problem 3</vt:lpstr>
      <vt:lpstr>Problem 4a</vt:lpstr>
      <vt:lpstr>Problem 4b</vt:lpstr>
      <vt:lpstr>Problem 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negrete</dc:creator>
  <cp:lastModifiedBy>diego negrete</cp:lastModifiedBy>
  <dcterms:created xsi:type="dcterms:W3CDTF">2025-12-09T21:59:20Z</dcterms:created>
  <dcterms:modified xsi:type="dcterms:W3CDTF">2025-12-10T02:14:45Z</dcterms:modified>
</cp:coreProperties>
</file>