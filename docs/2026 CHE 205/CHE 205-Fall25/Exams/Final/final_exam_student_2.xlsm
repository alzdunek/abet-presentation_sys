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3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ic365-my.sharepoint.com/personal/tnghi3_uic_edu/Documents/"/>
    </mc:Choice>
  </mc:AlternateContent>
  <xr:revisionPtr revIDLastSave="6647" documentId="8_{87B50654-6013-9649-98D5-672917323A31}" xr6:coauthVersionLast="47" xr6:coauthVersionMax="47" xr10:uidLastSave="{EFD0FA00-2256-DB4A-8019-219FAF1404A9}"/>
  <bookViews>
    <workbookView xWindow="0" yWindow="0" windowWidth="25600" windowHeight="16000" xr2:uid="{2120F157-2AC7-BE44-970B-67183355CFD2}"/>
  </bookViews>
  <sheets>
    <sheet name="Problem 1" sheetId="1" r:id="rId1"/>
    <sheet name="Problem 2" sheetId="2" r:id="rId2"/>
    <sheet name="Problem 3" sheetId="3" r:id="rId3"/>
    <sheet name="Prroblem 4" sheetId="4" r:id="rId4"/>
    <sheet name="Problem 5" sheetId="5" r:id="rId5"/>
  </sheets>
  <definedNames>
    <definedName name="_xleta.SUM" hidden="1" xlm="1">#NAME?</definedName>
    <definedName name="solver_adj" localSheetId="4" hidden="1">'Problem 5'!$A$9:$B$9</definedName>
    <definedName name="solver_adj" localSheetId="3" hidden="1">'Prroblem 4'!$H$6:$H$15</definedName>
    <definedName name="solver_cvg" localSheetId="4" hidden="1">0.0001</definedName>
    <definedName name="solver_cvg" localSheetId="3" hidden="1">0.0001</definedName>
    <definedName name="solver_drv" localSheetId="4" hidden="1">1</definedName>
    <definedName name="solver_drv" localSheetId="3" hidden="1">1</definedName>
    <definedName name="solver_eng" localSheetId="4" hidden="1">1</definedName>
    <definedName name="solver_eng" localSheetId="3" hidden="1">1</definedName>
    <definedName name="solver_itr" localSheetId="4" hidden="1">2147483647</definedName>
    <definedName name="solver_itr" localSheetId="3" hidden="1">2147483647</definedName>
    <definedName name="solver_lhs1" localSheetId="4" hidden="1">'Problem 5'!$A$9</definedName>
    <definedName name="solver_lhs1" localSheetId="3" hidden="1">'Prroblem 4'!$H$5</definedName>
    <definedName name="solver_lhs2" localSheetId="4" hidden="1">'Problem 5'!$B$9</definedName>
    <definedName name="solver_lin" localSheetId="4" hidden="1">2</definedName>
    <definedName name="solver_lin" localSheetId="3" hidden="1">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2</definedName>
    <definedName name="solver_num" localSheetId="3" hidden="1">1</definedName>
    <definedName name="solver_opt" localSheetId="4" hidden="1">'Problem 5'!$H$9</definedName>
    <definedName name="solver_opt" localSheetId="3" hidden="1">'Prroblem 4'!$G$2</definedName>
    <definedName name="solver_pre" localSheetId="4" hidden="1">0.000001</definedName>
    <definedName name="solver_pre" localSheetId="3" hidden="1">0.000001</definedName>
    <definedName name="solver_rbv" localSheetId="4" hidden="1">1</definedName>
    <definedName name="solver_rbv" localSheetId="3" hidden="1">1</definedName>
    <definedName name="solver_rel1" localSheetId="4" hidden="1">3</definedName>
    <definedName name="solver_rel1" localSheetId="3" hidden="1">2</definedName>
    <definedName name="solver_rel2" localSheetId="4" hidden="1">3</definedName>
    <definedName name="solver_rhs1" localSheetId="4" hidden="1">0</definedName>
    <definedName name="solver_rhs1" localSheetId="3" hidden="1">1</definedName>
    <definedName name="solver_rhs2" localSheetId="4" hidden="1">0</definedName>
    <definedName name="solver_rlx" localSheetId="4" hidden="1">2</definedName>
    <definedName name="solver_rlx" localSheetId="3" hidden="1">2</definedName>
    <definedName name="solver_rsd" localSheetId="4" hidden="1">0</definedName>
    <definedName name="solver_rsd" localSheetId="3" hidden="1">0</definedName>
    <definedName name="solver_scl" localSheetId="4" hidden="1">1</definedName>
    <definedName name="solver_scl" localSheetId="3" hidden="1">1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100</definedName>
    <definedName name="solver_tim" localSheetId="4" hidden="1">2147483647</definedName>
    <definedName name="solver_tim" localSheetId="3" hidden="1">2147483647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2</definedName>
    <definedName name="solver_ver" localSheetId="3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5" l="1"/>
  <c r="H3" i="5"/>
  <c r="G3" i="5"/>
  <c r="D3" i="5"/>
  <c r="D4" i="5"/>
  <c r="D5" i="5"/>
  <c r="D6" i="5"/>
  <c r="D2" i="5"/>
  <c r="F2" i="5"/>
  <c r="G2" i="5" s="1"/>
  <c r="H2" i="5" s="1"/>
  <c r="E2" i="5"/>
  <c r="E3" i="5"/>
  <c r="E4" i="5"/>
  <c r="E5" i="5"/>
  <c r="E6" i="5"/>
  <c r="B3" i="5"/>
  <c r="B4" i="5" s="1"/>
  <c r="B5" i="5" s="1"/>
  <c r="B6" i="5" s="1"/>
  <c r="A3" i="5"/>
  <c r="F3" i="5" s="1"/>
  <c r="I15" i="4"/>
  <c r="I7" i="4"/>
  <c r="I8" i="4"/>
  <c r="I9" i="4"/>
  <c r="I10" i="4"/>
  <c r="I11" i="4"/>
  <c r="I12" i="4"/>
  <c r="I13" i="4"/>
  <c r="I14" i="4"/>
  <c r="I6" i="4"/>
  <c r="G6" i="4"/>
  <c r="G7" i="4" s="1"/>
  <c r="G8" i="4" s="1"/>
  <c r="G9" i="4" s="1"/>
  <c r="G10" i="4" s="1"/>
  <c r="G11" i="4" s="1"/>
  <c r="G12" i="4" s="1"/>
  <c r="G13" i="4" s="1"/>
  <c r="G14" i="4" s="1"/>
  <c r="G15" i="4" s="1"/>
  <c r="F7" i="4"/>
  <c r="F8" i="4"/>
  <c r="F9" i="4"/>
  <c r="F10" i="4" s="1"/>
  <c r="F11" i="4" s="1"/>
  <c r="F6" i="4"/>
  <c r="B8" i="4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A8" i="4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D7" i="4"/>
  <c r="D8" i="4" s="1"/>
  <c r="B3" i="4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C11" i="3"/>
  <c r="C12" i="3" s="1"/>
  <c r="B11" i="3"/>
  <c r="B12" i="3" s="1"/>
  <c r="C13" i="3" s="1"/>
  <c r="A11" i="3"/>
  <c r="B14" i="1"/>
  <c r="B17" i="1"/>
  <c r="B18" i="1"/>
  <c r="B19" i="1"/>
  <c r="B20" i="1"/>
  <c r="B25" i="1"/>
  <c r="B26" i="1"/>
  <c r="B27" i="1"/>
  <c r="B28" i="1"/>
  <c r="B33" i="1"/>
  <c r="B34" i="1"/>
  <c r="B35" i="1"/>
  <c r="B36" i="1"/>
  <c r="B41" i="1"/>
  <c r="B42" i="1"/>
  <c r="B43" i="1"/>
  <c r="B44" i="1"/>
  <c r="B49" i="1"/>
  <c r="B50" i="1"/>
  <c r="B51" i="1"/>
  <c r="B52" i="1"/>
  <c r="B13" i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B53" i="1" s="1"/>
  <c r="A14" i="1"/>
  <c r="B48" i="1" l="1"/>
  <c r="B40" i="1"/>
  <c r="B32" i="1"/>
  <c r="B24" i="1"/>
  <c r="B16" i="1"/>
  <c r="B39" i="1"/>
  <c r="B31" i="1"/>
  <c r="B46" i="1"/>
  <c r="B38" i="1"/>
  <c r="B30" i="1"/>
  <c r="B22" i="1"/>
  <c r="B47" i="1"/>
  <c r="B23" i="1"/>
  <c r="B15" i="1"/>
  <c r="B45" i="1"/>
  <c r="B37" i="1"/>
  <c r="B29" i="1"/>
  <c r="B21" i="1"/>
  <c r="A4" i="5"/>
  <c r="F4" i="5" s="1"/>
  <c r="H4" i="5" s="1"/>
  <c r="B13" i="3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G2" i="4"/>
  <c r="F12" i="4"/>
  <c r="C8" i="4"/>
  <c r="D9" i="4" s="1"/>
  <c r="A5" i="5" l="1"/>
  <c r="F5" i="5" s="1"/>
  <c r="G5" i="5" s="1"/>
  <c r="H5" i="5" s="1"/>
  <c r="C14" i="3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F13" i="4"/>
  <c r="C9" i="4"/>
  <c r="C10" i="4" s="1"/>
  <c r="D10" i="4" l="1"/>
  <c r="A6" i="5"/>
  <c r="F6" i="5" s="1"/>
  <c r="G6" i="5" s="1"/>
  <c r="H6" i="5" s="1"/>
  <c r="H9" i="5" s="1"/>
  <c r="F14" i="4"/>
  <c r="C11" i="4"/>
  <c r="D11" i="4"/>
  <c r="F15" i="4" l="1"/>
  <c r="C12" i="4"/>
  <c r="D12" i="4"/>
  <c r="C13" i="4" l="1"/>
  <c r="D13" i="4"/>
  <c r="C14" i="4" l="1"/>
  <c r="D14" i="4"/>
  <c r="C15" i="4" l="1"/>
  <c r="D15" i="4"/>
  <c r="C16" i="4" l="1"/>
  <c r="D16" i="4"/>
  <c r="C17" i="4" l="1"/>
  <c r="D17" i="4"/>
  <c r="C18" i="4" l="1"/>
  <c r="D18" i="4"/>
  <c r="D19" i="4" l="1"/>
  <c r="C19" i="4"/>
  <c r="D20" i="4" l="1"/>
  <c r="C20" i="4"/>
  <c r="C21" i="4" l="1"/>
  <c r="D21" i="4"/>
  <c r="C22" i="4" l="1"/>
  <c r="D22" i="4"/>
  <c r="C23" i="4" l="1"/>
  <c r="D23" i="4"/>
  <c r="C24" i="4" l="1"/>
  <c r="D24" i="4"/>
  <c r="C25" i="4" l="1"/>
  <c r="D25" i="4"/>
  <c r="C26" i="4" l="1"/>
  <c r="D26" i="4"/>
  <c r="C27" i="4" l="1"/>
  <c r="D27" i="4"/>
  <c r="D28" i="4" l="1"/>
  <c r="C28" i="4"/>
  <c r="D29" i="4" l="1"/>
  <c r="C29" i="4"/>
  <c r="C30" i="4" l="1"/>
  <c r="D30" i="4"/>
  <c r="C31" i="4" l="1"/>
  <c r="D31" i="4"/>
  <c r="C32" i="4" l="1"/>
  <c r="D32" i="4"/>
  <c r="C33" i="4" l="1"/>
  <c r="D33" i="4"/>
  <c r="D34" i="4" l="1"/>
  <c r="C34" i="4"/>
  <c r="D35" i="4" l="1"/>
  <c r="C35" i="4"/>
  <c r="C36" i="4" l="1"/>
  <c r="D36" i="4"/>
  <c r="C37" i="4" l="1"/>
  <c r="D37" i="4"/>
  <c r="C38" i="4" l="1"/>
  <c r="D38" i="4"/>
  <c r="D39" i="4" l="1"/>
  <c r="C39" i="4"/>
  <c r="D40" i="4" l="1"/>
  <c r="C40" i="4"/>
  <c r="C41" i="4" l="1"/>
  <c r="D41" i="4"/>
  <c r="C42" i="4" l="1"/>
  <c r="D42" i="4"/>
  <c r="C43" i="4" l="1"/>
  <c r="D43" i="4"/>
  <c r="C44" i="4" l="1"/>
  <c r="D44" i="4"/>
  <c r="D45" i="4" l="1"/>
  <c r="C45" i="4"/>
  <c r="D46" i="4" l="1"/>
  <c r="C46" i="4"/>
  <c r="C47" i="4" l="1"/>
  <c r="D47" i="4"/>
  <c r="B4" i="4" l="1"/>
</calcChain>
</file>

<file path=xl/sharedStrings.xml><?xml version="1.0" encoding="utf-8"?>
<sst xmlns="http://schemas.openxmlformats.org/spreadsheetml/2006/main" count="65" uniqueCount="59">
  <si>
    <t>a</t>
  </si>
  <si>
    <t>b</t>
  </si>
  <si>
    <t>c</t>
  </si>
  <si>
    <t>d</t>
  </si>
  <si>
    <t>tolerance</t>
  </si>
  <si>
    <t>x0</t>
  </si>
  <si>
    <t>x</t>
  </si>
  <si>
    <t>interations</t>
  </si>
  <si>
    <t>interation</t>
  </si>
  <si>
    <t>error</t>
  </si>
  <si>
    <t xml:space="preserve">a) Plot the function </t>
  </si>
  <si>
    <t>f(x)</t>
  </si>
  <si>
    <t>t = 0</t>
  </si>
  <si>
    <t>t = 0.01</t>
  </si>
  <si>
    <t>t = 0.1</t>
  </si>
  <si>
    <t>t = 1</t>
  </si>
  <si>
    <t>b1</t>
  </si>
  <si>
    <t>b2</t>
  </si>
  <si>
    <t>b3</t>
  </si>
  <si>
    <t>dt</t>
  </si>
  <si>
    <t>t_final</t>
  </si>
  <si>
    <t>y0</t>
  </si>
  <si>
    <t>z0</t>
  </si>
  <si>
    <t>t</t>
  </si>
  <si>
    <t>y</t>
  </si>
  <si>
    <t>z</t>
  </si>
  <si>
    <t>t_RK2</t>
  </si>
  <si>
    <t>y_RK2</t>
  </si>
  <si>
    <t>z_RK2</t>
  </si>
  <si>
    <t>b) VBA Values</t>
  </si>
  <si>
    <t>a) Forward Euler (not VBA)</t>
  </si>
  <si>
    <t>h</t>
  </si>
  <si>
    <t>Denom =1+h-h^2</t>
  </si>
  <si>
    <t>BC residual</t>
  </si>
  <si>
    <t>i</t>
  </si>
  <si>
    <t>T</t>
  </si>
  <si>
    <t>Guess_S0</t>
  </si>
  <si>
    <t>S=dT/dx</t>
  </si>
  <si>
    <t>T2</t>
  </si>
  <si>
    <t>S2</t>
  </si>
  <si>
    <t>(Use Solver)</t>
  </si>
  <si>
    <t>SSE</t>
  </si>
  <si>
    <t>j</t>
  </si>
  <si>
    <t>T_j</t>
  </si>
  <si>
    <t>Residual</t>
  </si>
  <si>
    <t>a) Using backward Euler together with ”shooting method"</t>
  </si>
  <si>
    <t>b) Using the "Finite difference method"</t>
  </si>
  <si>
    <t>kA</t>
  </si>
  <si>
    <t>kB</t>
  </si>
  <si>
    <t>PA</t>
  </si>
  <si>
    <t>PB</t>
  </si>
  <si>
    <t>r_data</t>
  </si>
  <si>
    <t>r_pred</t>
  </si>
  <si>
    <t>error^2</t>
  </si>
  <si>
    <t>log10(0.015*PA)</t>
  </si>
  <si>
    <t>log10(r)</t>
  </si>
  <si>
    <t>log_r_pred</t>
  </si>
  <si>
    <t>Total SSE</t>
  </si>
  <si>
    <t>k1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</si>
</sst>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E+00"/>
  </numFmts>
  <fonts count="6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1"/>
      <name val="CMR12"/>
    </font>
    <font>
      <b/>
      <i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1"/>
      <color rgb="FF000000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BC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11" fontId="0" fillId="0" borderId="0" xfId="0" applyNumberFormat="1"/>
    <xf numFmtId="2" fontId="0" fillId="2" borderId="0" xfId="0" applyNumberForma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Font="1"/>
    <xf numFmtId="0" fontId="2" fillId="4" borderId="0" xfId="0" applyFont="1" applyFill="1"/>
    <xf numFmtId="0" fontId="0" fillId="4" borderId="0" xfId="0" applyFill="1"/>
    <xf numFmtId="0" fontId="1" fillId="0" borderId="0" xfId="0" applyFont="1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5" borderId="0" xfId="0" applyFont="1" applyFill="1" applyAlignment="1">
      <alignment horizontal="center" vertical="center"/>
    </xf>
    <xf numFmtId="0" fontId="1" fillId="6" borderId="0" xfId="0" applyFont="1" applyFill="1"/>
    <xf numFmtId="0" fontId="0" fillId="6" borderId="0" xfId="0" applyFill="1"/>
    <xf numFmtId="0" fontId="1" fillId="6" borderId="0" xfId="0" applyFont="1" applyFill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1" fillId="7" borderId="0" xfId="0" applyFont="1" applyFill="1" applyAlignment="1">
      <alignment horizontal="center" vertical="center"/>
    </xf>
    <xf numFmtId="0" fontId="0" fillId="8" borderId="0" xfId="0" applyFill="1"/>
    <xf numFmtId="0" fontId="1" fillId="8" borderId="0" xfId="0" applyFont="1" applyFill="1"/>
    <xf numFmtId="0" fontId="3" fillId="8" borderId="0" xfId="0" applyFont="1" applyFill="1"/>
    <xf numFmtId="0" fontId="0" fillId="5" borderId="0" xfId="0" applyFill="1"/>
    <xf numFmtId="0" fontId="1" fillId="8" borderId="0" xfId="0" applyFont="1" applyFill="1" applyAlignment="1">
      <alignment horizontal="center" vertical="center"/>
    </xf>
    <xf numFmtId="0" fontId="2" fillId="8" borderId="0" xfId="0" applyFont="1" applyFill="1"/>
    <xf numFmtId="0" fontId="1" fillId="5" borderId="0" xfId="0" applyFont="1" applyFill="1"/>
    <xf numFmtId="0" fontId="1" fillId="0" borderId="0" xfId="0" applyFont="1" applyAlignment="1">
      <alignment horizontal="right" vertical="center"/>
    </xf>
    <xf numFmtId="166" fontId="0" fillId="0" borderId="0" xfId="0" applyNumberFormat="1"/>
    <xf numFmtId="11" fontId="4" fillId="0" borderId="0" xfId="0" applyNumberFormat="1" applyFont="1" applyAlignment="1">
      <alignment horizontal="center" vertical="center"/>
    </xf>
    <xf numFmtId="166" fontId="1" fillId="0" borderId="0" xfId="0" applyNumberFormat="1" applyFont="1"/>
    <xf numFmtId="0" fontId="5" fillId="0" borderId="0" xfId="0" applyFont="1" applyAlignment="1">
      <alignment horizontal="center" vertical="center"/>
    </xf>
    <xf numFmtId="11" fontId="0" fillId="7" borderId="0" xfId="0" applyNumberFormat="1" applyFill="1"/>
    <xf numFmtId="0" fontId="4" fillId="7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BC9"/>
      <color rgb="FFE3FF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Initial Gues x(0)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'Problem 1'!$A$13:$A$53</c:f>
              <c:numCache>
                <c:formatCode>General</c:formatCode>
                <c:ptCount val="41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</c:numCache>
            </c:numRef>
          </c:xVal>
          <c:yVal>
            <c:numRef>
              <c:f>'Problem 1'!$B$13:$B$53</c:f>
              <c:numCache>
                <c:formatCode>General</c:formatCode>
                <c:ptCount val="41"/>
                <c:pt idx="0">
                  <c:v>-30.374266112266113</c:v>
                </c:pt>
                <c:pt idx="1">
                  <c:v>-26.558760486218112</c:v>
                </c:pt>
                <c:pt idx="2">
                  <c:v>-23.402068273092368</c:v>
                </c:pt>
                <c:pt idx="3">
                  <c:v>-20.747131537242467</c:v>
                </c:pt>
                <c:pt idx="4">
                  <c:v>-18.483136144325567</c:v>
                </c:pt>
                <c:pt idx="5">
                  <c:v>-16.529659826721378</c:v>
                </c:pt>
                <c:pt idx="6">
                  <c:v>-14.826922215108826</c:v>
                </c:pt>
                <c:pt idx="7">
                  <c:v>-13.32956183195299</c:v>
                </c:pt>
                <c:pt idx="8">
                  <c:v>-12.002536259301291</c:v>
                </c:pt>
                <c:pt idx="9">
                  <c:v>-10.818345864661648</c:v>
                </c:pt>
                <c:pt idx="10">
                  <c:v>-9.7551080530071275</c:v>
                </c:pt>
                <c:pt idx="11">
                  <c:v>-8.7951928317398611</c:v>
                </c:pt>
                <c:pt idx="12">
                  <c:v>-7.9242376587334853</c:v>
                </c:pt>
                <c:pt idx="13">
                  <c:v>-7.1304240187598413</c:v>
                </c:pt>
                <c:pt idx="14">
                  <c:v>-6.4039380468529394</c:v>
                </c:pt>
                <c:pt idx="15">
                  <c:v>-5.7365627944760256</c:v>
                </c:pt>
                <c:pt idx="16">
                  <c:v>-5.1213661202185712</c:v>
                </c:pt>
                <c:pt idx="17">
                  <c:v>-4.5524590255168658</c:v>
                </c:pt>
                <c:pt idx="18">
                  <c:v>-4.0248065583945287</c:v>
                </c:pt>
                <c:pt idx="19">
                  <c:v>-3.5340784115279806</c:v>
                </c:pt>
                <c:pt idx="20">
                  <c:v>-3.0765298221922031</c:v>
                </c:pt>
                <c:pt idx="21">
                  <c:v>-2.6489058384778996</c:v>
                </c:pt>
                <c:pt idx="22">
                  <c:v>-2.2483637729285171</c:v>
                </c:pt>
                <c:pt idx="23">
                  <c:v>-1.8724099362725894</c:v>
                </c:pt>
                <c:pt idx="24">
                  <c:v>-1.5188476747034247</c:v>
                </c:pt>
                <c:pt idx="25">
                  <c:v>-1.1857344227118851</c:v>
                </c:pt>
                <c:pt idx="26">
                  <c:v>-0.87134599787883715</c:v>
                </c:pt>
                <c:pt idx="27">
                  <c:v>-0.57414675188568509</c:v>
                </c:pt>
                <c:pt idx="28">
                  <c:v>-0.29276448697500612</c:v>
                </c:pt>
                <c:pt idx="29">
                  <c:v>-2.5969273260825432E-2</c:v>
                </c:pt>
                <c:pt idx="30">
                  <c:v>0.22734452296820429</c:v>
                </c:pt>
                <c:pt idx="31">
                  <c:v>0.46817355381826076</c:v>
                </c:pt>
                <c:pt idx="32">
                  <c:v>0.6974185945401743</c:v>
                </c:pt>
                <c:pt idx="33">
                  <c:v>0.91589580173081941</c:v>
                </c:pt>
                <c:pt idx="34">
                  <c:v>1.1243464215747583</c:v>
                </c:pt>
                <c:pt idx="35">
                  <c:v>1.323445191493601</c:v>
                </c:pt>
                <c:pt idx="36">
                  <c:v>1.5138076358576527</c:v>
                </c:pt>
                <c:pt idx="37">
                  <c:v>1.6959964219538683</c:v>
                </c:pt>
                <c:pt idx="38">
                  <c:v>1.8705269144617098</c:v>
                </c:pt>
                <c:pt idx="39">
                  <c:v>2.0378720439224622</c:v>
                </c:pt>
                <c:pt idx="40">
                  <c:v>2.1984665860540087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74-914C-8532-6299FC4A9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375712"/>
        <c:axId val="664499376"/>
      </c:scatterChart>
      <c:valAx>
        <c:axId val="43537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99376"/>
        <c:crosses val="autoZero"/>
        <c:crossBetween val="midCat"/>
      </c:valAx>
      <c:valAx>
        <c:axId val="6644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7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Crank-Nicolson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2'!$B$1</c:f>
              <c:strCache>
                <c:ptCount val="1"/>
                <c:pt idx="0">
                  <c:v>t = 0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'Problem 2'!$A$2:$A$22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0.30000000000000004</c:v>
                </c:pt>
                <c:pt idx="7">
                  <c:v>0.35000000000000003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0.60000000000000009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</c:v>
                </c:pt>
                <c:pt idx="16">
                  <c:v>0.8</c:v>
                </c:pt>
                <c:pt idx="17">
                  <c:v>0.85000000000000009</c:v>
                </c:pt>
                <c:pt idx="18">
                  <c:v>0.9</c:v>
                </c:pt>
                <c:pt idx="19">
                  <c:v>0.95000000000000007</c:v>
                </c:pt>
                <c:pt idx="20">
                  <c:v>1</c:v>
                </c:pt>
              </c:numCache>
            </c:numRef>
          </c:xVal>
          <c:yVal>
            <c:numRef>
              <c:f>'Problem 2'!$B$2:$B$22</c:f>
              <c:numCache>
                <c:formatCode>General</c:formatCode>
                <c:ptCount val="21"/>
                <c:pt idx="0">
                  <c:v>0</c:v>
                </c:pt>
                <c:pt idx="1">
                  <c:v>0.15643446504023087</c:v>
                </c:pt>
                <c:pt idx="2">
                  <c:v>0.3090169943749474</c:v>
                </c:pt>
                <c:pt idx="3">
                  <c:v>0.4539904997395468</c:v>
                </c:pt>
                <c:pt idx="4">
                  <c:v>0.58778525229247314</c:v>
                </c:pt>
                <c:pt idx="5">
                  <c:v>0.70710678118654746</c:v>
                </c:pt>
                <c:pt idx="6">
                  <c:v>0.80901699437494745</c:v>
                </c:pt>
                <c:pt idx="7">
                  <c:v>0.8910065241883679</c:v>
                </c:pt>
                <c:pt idx="8">
                  <c:v>0.95105651629515353</c:v>
                </c:pt>
                <c:pt idx="9">
                  <c:v>0.98768834059513777</c:v>
                </c:pt>
                <c:pt idx="10">
                  <c:v>1</c:v>
                </c:pt>
                <c:pt idx="11">
                  <c:v>0.98768834059513766</c:v>
                </c:pt>
                <c:pt idx="12">
                  <c:v>0.95105651629515353</c:v>
                </c:pt>
                <c:pt idx="13">
                  <c:v>0.8910065241883679</c:v>
                </c:pt>
                <c:pt idx="14">
                  <c:v>0.80901699437494745</c:v>
                </c:pt>
                <c:pt idx="15">
                  <c:v>0.70710678118654757</c:v>
                </c:pt>
                <c:pt idx="16">
                  <c:v>0.58778525229247325</c:v>
                </c:pt>
                <c:pt idx="17">
                  <c:v>0.45399049973954647</c:v>
                </c:pt>
                <c:pt idx="18">
                  <c:v>0.30901699437494751</c:v>
                </c:pt>
                <c:pt idx="19">
                  <c:v>0.15643446504023098</c:v>
                </c:pt>
                <c:pt idx="20">
                  <c:v>0.206434465040231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3-CE46-890F-327DEED32FE5}"/>
            </c:ext>
          </c:extLst>
        </c:ser>
        <c:ser>
          <c:idx val="1"/>
          <c:order val="1"/>
          <c:tx>
            <c:strRef>
              <c:f>'Problem 2'!$C$1</c:f>
              <c:strCache>
                <c:ptCount val="1"/>
                <c:pt idx="0">
                  <c:v>t = 0.01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'Problem 2'!$A$2:$A$22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0.30000000000000004</c:v>
                </c:pt>
                <c:pt idx="7">
                  <c:v>0.35000000000000003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0.60000000000000009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</c:v>
                </c:pt>
                <c:pt idx="16">
                  <c:v>0.8</c:v>
                </c:pt>
                <c:pt idx="17">
                  <c:v>0.85000000000000009</c:v>
                </c:pt>
                <c:pt idx="18">
                  <c:v>0.9</c:v>
                </c:pt>
                <c:pt idx="19">
                  <c:v>0.95000000000000007</c:v>
                </c:pt>
                <c:pt idx="20">
                  <c:v>1</c:v>
                </c:pt>
              </c:numCache>
            </c:numRef>
          </c:xVal>
          <c:yVal>
            <c:numRef>
              <c:f>'Problem 2'!$C$2:$C$22</c:f>
              <c:numCache>
                <c:formatCode>General</c:formatCode>
                <c:ptCount val="21"/>
                <c:pt idx="0">
                  <c:v>0</c:v>
                </c:pt>
                <c:pt idx="1">
                  <c:v>0.12998093491655285</c:v>
                </c:pt>
                <c:pt idx="2">
                  <c:v>0.26164358360736306</c:v>
                </c:pt>
                <c:pt idx="3">
                  <c:v>0.39027466850421105</c:v>
                </c:pt>
                <c:pt idx="4">
                  <c:v>0.51145507618399488</c:v>
                </c:pt>
                <c:pt idx="5">
                  <c:v>0.62128107628030804</c:v>
                </c:pt>
                <c:pt idx="6">
                  <c:v>0.71645615517931516</c:v>
                </c:pt>
                <c:pt idx="7">
                  <c:v>0.7942998970855959</c:v>
                </c:pt>
                <c:pt idx="8">
                  <c:v>0.85272806891712616</c:v>
                </c:pt>
                <c:pt idx="9">
                  <c:v>0.89024053839772443</c:v>
                </c:pt>
                <c:pt idx="10">
                  <c:v>0.9059367111668849</c:v>
                </c:pt>
                <c:pt idx="11">
                  <c:v>0.89957820407917866</c:v>
                </c:pt>
                <c:pt idx="12">
                  <c:v>0.87173874921231376</c:v>
                </c:pt>
                <c:pt idx="13">
                  <c:v>0.82411183861319903</c:v>
                </c:pt>
                <c:pt idx="14">
                  <c:v>0.76005460454645624</c:v>
                </c:pt>
                <c:pt idx="15">
                  <c:v>0.6853670018296345</c:v>
                </c:pt>
                <c:pt idx="16">
                  <c:v>0.60907297374719815</c:v>
                </c:pt>
                <c:pt idx="17">
                  <c:v>0.54362892566144239</c:v>
                </c:pt>
                <c:pt idx="18">
                  <c:v>0.5038081646418533</c:v>
                </c:pt>
                <c:pt idx="19">
                  <c:v>0.50390073946107194</c:v>
                </c:pt>
                <c:pt idx="20">
                  <c:v>0.55390073946107199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3-CE46-890F-327DEED32FE5}"/>
            </c:ext>
          </c:extLst>
        </c:ser>
        <c:ser>
          <c:idx val="2"/>
          <c:order val="2"/>
          <c:tx>
            <c:strRef>
              <c:f>'Problem 2'!$D$1</c:f>
              <c:strCache>
                <c:ptCount val="1"/>
                <c:pt idx="0">
                  <c:v>t = 0.1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'Problem 2'!$A$2:$A$22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0.30000000000000004</c:v>
                </c:pt>
                <c:pt idx="7">
                  <c:v>0.35000000000000003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0.60000000000000009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</c:v>
                </c:pt>
                <c:pt idx="16">
                  <c:v>0.8</c:v>
                </c:pt>
                <c:pt idx="17">
                  <c:v>0.85000000000000009</c:v>
                </c:pt>
                <c:pt idx="18">
                  <c:v>0.9</c:v>
                </c:pt>
                <c:pt idx="19">
                  <c:v>0.95000000000000007</c:v>
                </c:pt>
                <c:pt idx="20">
                  <c:v>1</c:v>
                </c:pt>
              </c:numCache>
            </c:numRef>
          </c:xVal>
          <c:yVal>
            <c:numRef>
              <c:f>'Problem 2'!$D$2:$D$22</c:f>
              <c:numCache>
                <c:formatCode>General</c:formatCode>
                <c:ptCount val="21"/>
                <c:pt idx="0">
                  <c:v>0</c:v>
                </c:pt>
                <c:pt idx="1">
                  <c:v>5.260381046085906E-2</c:v>
                </c:pt>
                <c:pt idx="2">
                  <c:v>0.1070843176283522</c:v>
                </c:pt>
                <c:pt idx="3">
                  <c:v>0.16271331397168035</c:v>
                </c:pt>
                <c:pt idx="4">
                  <c:v>0.21875993533279375</c:v>
                </c:pt>
                <c:pt idx="5">
                  <c:v>0.27452829150733127</c:v>
                </c:pt>
                <c:pt idx="6">
                  <c:v>0.3293943905779847</c:v>
                </c:pt>
                <c:pt idx="7">
                  <c:v>0.38284013810183753</c:v>
                </c:pt>
                <c:pt idx="8">
                  <c:v>0.43448222524111429</c:v>
                </c:pt>
                <c:pt idx="9">
                  <c:v>0.48409388751204396</c:v>
                </c:pt>
                <c:pt idx="10">
                  <c:v>0.53161782275878533</c:v>
                </c:pt>
                <c:pt idx="11">
                  <c:v>0.57716899931748245</c:v>
                </c:pt>
                <c:pt idx="12">
                  <c:v>0.62102664893714576</c:v>
                </c:pt>
                <c:pt idx="13">
                  <c:v>0.66361539854373264</c:v>
                </c:pt>
                <c:pt idx="14">
                  <c:v>0.7054762140470654</c:v>
                </c:pt>
                <c:pt idx="15">
                  <c:v>0.74722856217263467</c:v>
                </c:pt>
                <c:pt idx="16">
                  <c:v>0.78952588996593642</c:v>
                </c:pt>
                <c:pt idx="17">
                  <c:v>0.83300712049178338</c:v>
                </c:pt>
                <c:pt idx="18">
                  <c:v>0.87824731367364151</c:v>
                </c:pt>
                <c:pt idx="19">
                  <c:v>0.92571089687341757</c:v>
                </c:pt>
                <c:pt idx="20">
                  <c:v>0.97571089687341761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F3-CE46-890F-327DEED32FE5}"/>
            </c:ext>
          </c:extLst>
        </c:ser>
        <c:ser>
          <c:idx val="3"/>
          <c:order val="3"/>
          <c:tx>
            <c:strRef>
              <c:f>'Problem 2'!$E$1</c:f>
              <c:strCache>
                <c:ptCount val="1"/>
                <c:pt idx="0">
                  <c:v>t = 1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'Problem 2'!$A$2:$A$22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0.30000000000000004</c:v>
                </c:pt>
                <c:pt idx="7">
                  <c:v>0.35000000000000003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0.60000000000000009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</c:v>
                </c:pt>
                <c:pt idx="16">
                  <c:v>0.8</c:v>
                </c:pt>
                <c:pt idx="17">
                  <c:v>0.85000000000000009</c:v>
                </c:pt>
                <c:pt idx="18">
                  <c:v>0.9</c:v>
                </c:pt>
                <c:pt idx="19">
                  <c:v>0.95000000000000007</c:v>
                </c:pt>
                <c:pt idx="20">
                  <c:v>1</c:v>
                </c:pt>
              </c:numCache>
            </c:numRef>
          </c:xVal>
          <c:yVal>
            <c:numRef>
              <c:f>'Problem 2'!$E$2:$E$22</c:f>
              <c:numCache>
                <c:formatCode>General</c:formatCode>
                <c:ptCount val="21"/>
                <c:pt idx="0">
                  <c:v>0</c:v>
                </c:pt>
                <c:pt idx="1">
                  <c:v>2.0130899622781227E-2</c:v>
                </c:pt>
                <c:pt idx="2">
                  <c:v>4.1286436925556391E-2</c:v>
                </c:pt>
                <c:pt idx="3">
                  <c:v>6.3511120224155254E-2</c:v>
                </c:pt>
                <c:pt idx="4">
                  <c:v>8.6851480534278713E-2</c:v>
                </c:pt>
                <c:pt idx="5">
                  <c:v>0.1113562422367854</c:v>
                </c:pt>
                <c:pt idx="6">
                  <c:v>0.13707650779311617</c:v>
                </c:pt>
                <c:pt idx="7">
                  <c:v>0.16406595680432159</c:v>
                </c:pt>
                <c:pt idx="8">
                  <c:v>0.19238105965318772</c:v>
                </c:pt>
                <c:pt idx="9">
                  <c:v>0.22208130591347755</c:v>
                </c:pt>
                <c:pt idx="10">
                  <c:v>0.25322944765396255</c:v>
                </c:pt>
                <c:pt idx="11">
                  <c:v>0.28589175770840181</c:v>
                </c:pt>
                <c:pt idx="12">
                  <c:v>0.32013830292667977</c:v>
                </c:pt>
                <c:pt idx="13">
                  <c:v>0.35604323236771751</c:v>
                </c:pt>
                <c:pt idx="14">
                  <c:v>0.3936850803423475</c:v>
                </c:pt>
                <c:pt idx="15">
                  <c:v>0.43314708416494824</c:v>
                </c:pt>
                <c:pt idx="16">
                  <c:v>0.47451751642714701</c:v>
                </c:pt>
                <c:pt idx="17">
                  <c:v>0.51789003156621494</c:v>
                </c:pt>
                <c:pt idx="18">
                  <c:v>0.56336402646582606</c:v>
                </c:pt>
                <c:pt idx="19">
                  <c:v>0.61104501479852924</c:v>
                </c:pt>
                <c:pt idx="20">
                  <c:v>0.66104501479852928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F3-CE46-890F-327DEED32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2475392"/>
        <c:axId val="1862775168"/>
      </c:scatterChart>
      <c:valAx>
        <c:axId val="186247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775168"/>
        <c:crosses val="autoZero"/>
        <c:crossBetween val="midCat"/>
      </c:valAx>
      <c:valAx>
        <c:axId val="186277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47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Forward Euler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y(t)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'Problem 3'!$A$11:$A$211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'Problem 3'!$B$11:$B$211</c:f>
              <c:numCache>
                <c:formatCode>General</c:formatCode>
                <c:ptCount val="201"/>
                <c:pt idx="0" formatCode="0.00">
                  <c:v>0.03</c:v>
                </c:pt>
                <c:pt idx="1">
                  <c:v>3.1902287234042551E-2</c:v>
                </c:pt>
                <c:pt idx="2">
                  <c:v>3.3920968948441488E-2</c:v>
                </c:pt>
                <c:pt idx="3">
                  <c:v>3.606261538817794E-2</c:v>
                </c:pt>
                <c:pt idx="4">
                  <c:v>3.8334095897193346E-2</c:v>
                </c:pt>
                <c:pt idx="5">
                  <c:v>4.0742582965171512E-2</c:v>
                </c:pt>
                <c:pt idx="6">
                  <c:v>4.3295554858574142E-2</c:v>
                </c:pt>
                <c:pt idx="7">
                  <c:v>4.600079659317402E-2</c:v>
                </c:pt>
                <c:pt idx="8">
                  <c:v>4.886639898246093E-2</c:v>
                </c:pt>
                <c:pt idx="9">
                  <c:v>5.1900755473053499E-2</c:v>
                </c:pt>
                <c:pt idx="10">
                  <c:v>5.5112556455024539E-2</c:v>
                </c:pt>
                <c:pt idx="11">
                  <c:v>5.8510780712323282E-2</c:v>
                </c:pt>
                <c:pt idx="12">
                  <c:v>6.2104683656851151E-2</c:v>
                </c:pt>
                <c:pt idx="13">
                  <c:v>6.5903781969934794E-2</c:v>
                </c:pt>
                <c:pt idx="14">
                  <c:v>6.9917834257789871E-2</c:v>
                </c:pt>
                <c:pt idx="15">
                  <c:v>7.4156817314070714E-2</c:v>
                </c:pt>
                <c:pt idx="16">
                  <c:v>7.8630897573890232E-2</c:v>
                </c:pt>
                <c:pt idx="17">
                  <c:v>8.3350397341054983E-2</c:v>
                </c:pt>
                <c:pt idx="18">
                  <c:v>8.8325755375119913E-2</c:v>
                </c:pt>
                <c:pt idx="19">
                  <c:v>9.3567481438786695E-2</c:v>
                </c:pt>
                <c:pt idx="20">
                  <c:v>9.9086104430821637E-2</c:v>
                </c:pt>
                <c:pt idx="21">
                  <c:v>0.10489211376680795</c:v>
                </c:pt>
                <c:pt idx="22">
                  <c:v>0.11099589372146396</c:v>
                </c:pt>
                <c:pt idx="23">
                  <c:v>0.11740765051372172</c:v>
                </c:pt>
                <c:pt idx="24">
                  <c:v>0.12413733200094021</c:v>
                </c:pt>
                <c:pt idx="25">
                  <c:v>0.13119453995300348</c:v>
                </c:pt>
                <c:pt idx="26">
                  <c:v>0.13858843500180504</c:v>
                </c:pt>
                <c:pt idx="27">
                  <c:v>0.14632763450749312</c:v>
                </c:pt>
                <c:pt idx="28">
                  <c:v>0.1544201037500248</c:v>
                </c:pt>
                <c:pt idx="29">
                  <c:v>0.16287304104250033</c:v>
                </c:pt>
                <c:pt idx="30">
                  <c:v>0.17169275756998911</c:v>
                </c:pt>
                <c:pt idx="31">
                  <c:v>0.18088455298164238</c:v>
                </c:pt>
                <c:pt idx="32">
                  <c:v>0.19045258800116055</c:v>
                </c:pt>
                <c:pt idx="33">
                  <c:v>0.20039975556619374</c:v>
                </c:pt>
                <c:pt idx="34">
                  <c:v>0.21072755225468384</c:v>
                </c:pt>
                <c:pt idx="35">
                  <c:v>0.22143595199780083</c:v>
                </c:pt>
                <c:pt idx="36">
                  <c:v>0.2325232843059602</c:v>
                </c:pt>
                <c:pt idx="37">
                  <c:v>0.24398611943623444</c:v>
                </c:pt>
                <c:pt idx="38">
                  <c:v>0.25581916309518049</c:v>
                </c:pt>
                <c:pt idx="39">
                  <c:v>0.26801516338904241</c:v>
                </c:pt>
                <c:pt idx="40">
                  <c:v>0.2805648327917451</c:v>
                </c:pt>
                <c:pt idx="41">
                  <c:v>0.29345678788889734</c:v>
                </c:pt>
                <c:pt idx="42">
                  <c:v>0.30667750956322276</c:v>
                </c:pt>
                <c:pt idx="43">
                  <c:v>0.32021132610545483</c:v>
                </c:pt>
                <c:pt idx="44">
                  <c:v>0.33404042145952489</c:v>
                </c:pt>
                <c:pt idx="45">
                  <c:v>0.34814487044005982</c:v>
                </c:pt>
                <c:pt idx="46">
                  <c:v>0.36250270229611881</c:v>
                </c:pt>
                <c:pt idx="47">
                  <c:v>0.37708999344463667</c:v>
                </c:pt>
                <c:pt idx="48">
                  <c:v>0.39188098957193807</c:v>
                </c:pt>
                <c:pt idx="49">
                  <c:v>0.40684825661846785</c:v>
                </c:pt>
                <c:pt idx="50">
                  <c:v>0.42196285944151646</c:v>
                </c:pt>
                <c:pt idx="51">
                  <c:v>0.43719456621791664</c:v>
                </c:pt>
                <c:pt idx="52">
                  <c:v>0.45251207593088599</c:v>
                </c:pt>
                <c:pt idx="53">
                  <c:v>0.46788326561122623</c:v>
                </c:pt>
                <c:pt idx="54">
                  <c:v>0.48327545340168054</c:v>
                </c:pt>
                <c:pt idx="55">
                  <c:v>0.49865567301133179</c:v>
                </c:pt>
                <c:pt idx="56">
                  <c:v>0.51399095474801215</c:v>
                </c:pt>
                <c:pt idx="57">
                  <c:v>0.52924860807936691</c:v>
                </c:pt>
                <c:pt idx="58">
                  <c:v>0.54439650058985956</c:v>
                </c:pt>
                <c:pt idx="59">
                  <c:v>0.55940332827693284</c:v>
                </c:pt>
                <c:pt idx="60">
                  <c:v>0.57423887236256255</c:v>
                </c:pt>
                <c:pt idx="61">
                  <c:v>0.58887423817692641</c:v>
                </c:pt>
                <c:pt idx="62">
                  <c:v>0.60328207218236207</c:v>
                </c:pt>
                <c:pt idx="63">
                  <c:v>0.61743675382584906</c:v>
                </c:pt>
                <c:pt idx="64">
                  <c:v>0.63131455961009897</c:v>
                </c:pt>
                <c:pt idx="65">
                  <c:v>0.64489379752731801</c:v>
                </c:pt>
                <c:pt idx="66">
                  <c:v>0.65815491077509891</c:v>
                </c:pt>
                <c:pt idx="67">
                  <c:v>0.67108055044063564</c:v>
                </c:pt>
                <c:pt idx="68">
                  <c:v>0.68365561756974114</c:v>
                </c:pt>
                <c:pt idx="69">
                  <c:v>0.69586727570676077</c:v>
                </c:pt>
                <c:pt idx="70">
                  <c:v>0.70770493558079783</c:v>
                </c:pt>
                <c:pt idx="71">
                  <c:v>0.71916021410828146</c:v>
                </c:pt>
                <c:pt idx="72">
                  <c:v>0.73022687027286792</c:v>
                </c:pt>
                <c:pt idx="73">
                  <c:v>0.74090072072735003</c:v>
                </c:pt>
                <c:pt idx="74">
                  <c:v>0.75117953813997329</c:v>
                </c:pt>
                <c:pt idx="75">
                  <c:v>0.76106293538487346</c:v>
                </c:pt>
                <c:pt idx="76">
                  <c:v>0.77055223866227429</c:v>
                </c:pt>
                <c:pt idx="77">
                  <c:v>0.77965035254014525</c:v>
                </c:pt>
                <c:pt idx="78">
                  <c:v>0.78836161974839047</c:v>
                </c:pt>
                <c:pt idx="79">
                  <c:v>0.79669167834324406</c:v>
                </c:pt>
                <c:pt idx="80">
                  <c:v>0.80464731860732219</c:v>
                </c:pt>
                <c:pt idx="81">
                  <c:v>0.81223634177301884</c:v>
                </c:pt>
                <c:pt idx="82">
                  <c:v>0.81946742236580961</c:v>
                </c:pt>
                <c:pt idx="83">
                  <c:v>0.82634997567025348</c:v>
                </c:pt>
                <c:pt idx="84">
                  <c:v>0.83289403153409125</c:v>
                </c:pt>
                <c:pt idx="85">
                  <c:v>0.83911011545211167</c:v>
                </c:pt>
                <c:pt idx="86">
                  <c:v>0.84500913761694763</c:v>
                </c:pt>
                <c:pt idx="87">
                  <c:v>0.85060229039258428</c:v>
                </c:pt>
                <c:pt idx="88">
                  <c:v>0.85590095446055092</c:v>
                </c:pt>
                <c:pt idx="89">
                  <c:v>0.86091661370969086</c:v>
                </c:pt>
                <c:pt idx="90">
                  <c:v>0.86566077878813397</c:v>
                </c:pt>
                <c:pt idx="91">
                  <c:v>0.87014491910987257</c:v>
                </c:pt>
                <c:pt idx="92">
                  <c:v>0.87438040300672493</c:v>
                </c:pt>
                <c:pt idx="93">
                  <c:v>0.87837844563757572</c:v>
                </c:pt>
                <c:pt idx="94">
                  <c:v>0.88215006420840636</c:v>
                </c:pt>
                <c:pt idx="95">
                  <c:v>0.88570604001641906</c:v>
                </c:pt>
                <c:pt idx="96">
                  <c:v>0.8890568868071087</c:v>
                </c:pt>
                <c:pt idx="97">
                  <c:v>0.89221282492208687</c:v>
                </c:pt>
                <c:pt idx="98">
                  <c:v>0.89518376071556649</c:v>
                </c:pt>
                <c:pt idx="99">
                  <c:v>0.89797927072658434</c:v>
                </c:pt>
                <c:pt idx="100">
                  <c:v>0.90060859011036765</c:v>
                </c:pt>
                <c:pt idx="101">
                  <c:v>0.90308060485405606</c:v>
                </c:pt>
                <c:pt idx="102">
                  <c:v>0.90540384732778001</c:v>
                </c:pt>
                <c:pt idx="103">
                  <c:v>0.9075864947506066</c:v>
                </c:pt>
                <c:pt idx="104">
                  <c:v>0.90963637018100874</c:v>
                </c:pt>
                <c:pt idx="105">
                  <c:v>0.91156094567241441</c:v>
                </c:pt>
                <c:pt idx="106">
                  <c:v>0.91336734726531421</c:v>
                </c:pt>
                <c:pt idx="107">
                  <c:v>0.91506236151778142</c:v>
                </c:pt>
                <c:pt idx="108">
                  <c:v>0.91665244330564755</c:v>
                </c:pt>
                <c:pt idx="109">
                  <c:v>0.91814372465164307</c:v>
                </c:pt>
                <c:pt idx="110">
                  <c:v>0.91954202436932986</c:v>
                </c:pt>
                <c:pt idx="111">
                  <c:v>0.92085285833246611</c:v>
                </c:pt>
                <c:pt idx="112">
                  <c:v>0.92208145020346677</c:v>
                </c:pt>
                <c:pt idx="113">
                  <c:v>0.92323274247582465</c:v>
                </c:pt>
                <c:pt idx="114">
                  <c:v>0.92431140770474352</c:v>
                </c:pt>
                <c:pt idx="115">
                  <c:v>0.92532185981785142</c:v>
                </c:pt>
                <c:pt idx="116">
                  <c:v>0.92626826541377361</c:v>
                </c:pt>
                <c:pt idx="117">
                  <c:v>0.92715455497063326</c:v>
                </c:pt>
                <c:pt idx="118">
                  <c:v>0.92798443389931295</c:v>
                </c:pt>
                <c:pt idx="119">
                  <c:v>0.9287613933876514</c:v>
                </c:pt>
                <c:pt idx="120">
                  <c:v>0.9294887209917736</c:v>
                </c:pt>
                <c:pt idx="121">
                  <c:v>0.93016951093956934</c:v>
                </c:pt>
                <c:pt idx="122">
                  <c:v>0.93080667411904516</c:v>
                </c:pt>
                <c:pt idx="123">
                  <c:v>0.93140294773098242</c:v>
                </c:pt>
                <c:pt idx="124">
                  <c:v>0.93196090459113989</c:v>
                </c:pt>
                <c:pt idx="125">
                  <c:v>0.93248296207222658</c:v>
                </c:pt>
                <c:pt idx="126">
                  <c:v>0.93297139068013601</c:v>
                </c:pt>
                <c:pt idx="127">
                  <c:v>0.93342832226254713</c:v>
                </c:pt>
                <c:pt idx="128">
                  <c:v>0.93385575785103891</c:v>
                </c:pt>
                <c:pt idx="129">
                  <c:v>0.93425557514040347</c:v>
                </c:pt>
                <c:pt idx="130">
                  <c:v>0.93462953561092899</c:v>
                </c:pt>
                <c:pt idx="131">
                  <c:v>0.93497929130112811</c:v>
                </c:pt>
                <c:pt idx="132">
                  <c:v>0.93530639123974735</c:v>
                </c:pt>
                <c:pt idx="133">
                  <c:v>0.93561228754695958</c:v>
                </c:pt>
                <c:pt idx="134">
                  <c:v>0.93589834121545568</c:v>
                </c:pt>
                <c:pt idx="135">
                  <c:v>0.93616582758274391</c:v>
                </c:pt>
                <c:pt idx="136">
                  <c:v>0.93641594150637508</c:v>
                </c:pt>
                <c:pt idx="137">
                  <c:v>0.93664980225405725</c:v>
                </c:pt>
                <c:pt idx="138">
                  <c:v>0.93686845812074271</c:v>
                </c:pt>
                <c:pt idx="139">
                  <c:v>0.93707289078476763</c:v>
                </c:pt>
                <c:pt idx="140">
                  <c:v>0.93726401941503823</c:v>
                </c:pt>
                <c:pt idx="141">
                  <c:v>0.93744270454108791</c:v>
                </c:pt>
                <c:pt idx="142">
                  <c:v>0.93760975169759964</c:v>
                </c:pt>
                <c:pt idx="143">
                  <c:v>0.93776591485471006</c:v>
                </c:pt>
                <c:pt idx="144">
                  <c:v>0.93791189964509192</c:v>
                </c:pt>
                <c:pt idx="145">
                  <c:v>0.93804836639846334</c:v>
                </c:pt>
                <c:pt idx="146">
                  <c:v>0.93817593299380198</c:v>
                </c:pt>
                <c:pt idx="147">
                  <c:v>0.93829517753915581</c:v>
                </c:pt>
                <c:pt idx="148">
                  <c:v>0.93840664088854819</c:v>
                </c:pt>
                <c:pt idx="149">
                  <c:v>0.93851082900507343</c:v>
                </c:pt>
                <c:pt idx="150">
                  <c:v>0.93860821517887782</c:v>
                </c:pt>
                <c:pt idx="151">
                  <c:v>0.93869924210832434</c:v>
                </c:pt>
                <c:pt idx="152">
                  <c:v>0.93878432385224342</c:v>
                </c:pt>
                <c:pt idx="153">
                  <c:v>0.9388638476607869</c:v>
                </c:pt>
                <c:pt idx="154">
                  <c:v>0.93893817569202664</c:v>
                </c:pt>
                <c:pt idx="155">
                  <c:v>0.93900764662106972</c:v>
                </c:pt>
                <c:pt idx="156">
                  <c:v>0.93907257714811043</c:v>
                </c:pt>
                <c:pt idx="157">
                  <c:v>0.93913326341149317</c:v>
                </c:pt>
                <c:pt idx="158">
                  <c:v>0.93918998231153339</c:v>
                </c:pt>
                <c:pt idx="159">
                  <c:v>0.93924299275052481</c:v>
                </c:pt>
                <c:pt idx="160">
                  <c:v>0.93929253679405855</c:v>
                </c:pt>
                <c:pt idx="161">
                  <c:v>0.93933884075848995</c:v>
                </c:pt>
                <c:pt idx="162">
                  <c:v>0.93938211622911094</c:v>
                </c:pt>
                <c:pt idx="163">
                  <c:v>0.93942256101332411</c:v>
                </c:pt>
                <c:pt idx="164">
                  <c:v>0.93946036003286226</c:v>
                </c:pt>
                <c:pt idx="165">
                  <c:v>0.93949568615885892</c:v>
                </c:pt>
                <c:pt idx="166">
                  <c:v>0.93952870099335206</c:v>
                </c:pt>
                <c:pt idx="167">
                  <c:v>0.93955955560058502</c:v>
                </c:pt>
                <c:pt idx="168">
                  <c:v>0.93958839119127002</c:v>
                </c:pt>
                <c:pt idx="169">
                  <c:v>0.93961533976278577</c:v>
                </c:pt>
                <c:pt idx="170">
                  <c:v>0.93964052469810078</c:v>
                </c:pt>
                <c:pt idx="171">
                  <c:v>0.93966406132604186</c:v>
                </c:pt>
                <c:pt idx="172">
                  <c:v>0.93968605744536815</c:v>
                </c:pt>
                <c:pt idx="173">
                  <c:v>0.9397066138149569</c:v>
                </c:pt>
                <c:pt idx="174">
                  <c:v>0.93972582461226639</c:v>
                </c:pt>
                <c:pt idx="175">
                  <c:v>0.93974377786210406</c:v>
                </c:pt>
                <c:pt idx="176">
                  <c:v>0.93976055583760343</c:v>
                </c:pt>
                <c:pt idx="177">
                  <c:v>0.93977623543519284</c:v>
                </c:pt>
                <c:pt idx="178">
                  <c:v>0.93979088852522707</c:v>
                </c:pt>
                <c:pt idx="179">
                  <c:v>0.93980458227984764</c:v>
                </c:pt>
                <c:pt idx="180">
                  <c:v>0.93981737947953936</c:v>
                </c:pt>
                <c:pt idx="181">
                  <c:v>0.93982933879975539</c:v>
                </c:pt>
                <c:pt idx="182">
                  <c:v>0.93984051507889954</c:v>
                </c:pt>
                <c:pt idx="183">
                  <c:v>0.93985095956886855</c:v>
                </c:pt>
                <c:pt idx="184">
                  <c:v>0.93986072016928346</c:v>
                </c:pt>
                <c:pt idx="185">
                  <c:v>0.93986984164646548</c:v>
                </c:pt>
                <c:pt idx="186">
                  <c:v>0.93987836583814499</c:v>
                </c:pt>
                <c:pt idx="187">
                  <c:v>0.93988633184482739</c:v>
                </c:pt>
                <c:pt idx="188">
                  <c:v>0.93989377620868331</c:v>
                </c:pt>
                <c:pt idx="189">
                  <c:v>0.93990073308077104</c:v>
                </c:pt>
                <c:pt idx="190">
                  <c:v>0.93990723437735091</c:v>
                </c:pt>
                <c:pt idx="191">
                  <c:v>0.93991330992599864</c:v>
                </c:pt>
                <c:pt idx="192">
                  <c:v>0.9399189876021824</c:v>
                </c:pt>
                <c:pt idx="193">
                  <c:v>0.93992429345692341</c:v>
                </c:pt>
                <c:pt idx="194">
                  <c:v>0.93992925183612042</c:v>
                </c:pt>
                <c:pt idx="195">
                  <c:v>0.93993388549208079</c:v>
                </c:pt>
                <c:pt idx="196">
                  <c:v>0.93993821568776559</c:v>
                </c:pt>
                <c:pt idx="197">
                  <c:v>0.93994226229422417</c:v>
                </c:pt>
                <c:pt idx="198">
                  <c:v>0.93994604388166147</c:v>
                </c:pt>
                <c:pt idx="199">
                  <c:v>0.93994957780455335</c:v>
                </c:pt>
                <c:pt idx="200">
                  <c:v>0.93995288028119861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C-D448-BB4F-DC38407FBADF}"/>
            </c:ext>
          </c:extLst>
        </c:ser>
        <c:ser>
          <c:idx val="1"/>
          <c:order val="1"/>
          <c:tx>
            <c:v>z(t)</c:v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'Problem 3'!$A$11:$A$211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'Problem 3'!$C$11:$C$211</c:f>
              <c:numCache>
                <c:formatCode>General</c:formatCode>
                <c:ptCount val="201"/>
                <c:pt idx="0" formatCode="0.00">
                  <c:v>0</c:v>
                </c:pt>
                <c:pt idx="1">
                  <c:v>2.565E-4</c:v>
                </c:pt>
                <c:pt idx="2">
                  <c:v>5.2926455585106385E-4</c:v>
                </c:pt>
                <c:pt idx="3">
                  <c:v>8.1928884036023848E-4</c:v>
                </c:pt>
                <c:pt idx="4">
                  <c:v>1.1276242019291598E-3</c:v>
                </c:pt>
                <c:pt idx="5">
                  <c:v>1.455380721850163E-3</c:v>
                </c:pt>
                <c:pt idx="6">
                  <c:v>1.8037298062023794E-3</c:v>
                </c:pt>
                <c:pt idx="7">
                  <c:v>2.1739068002431883E-3</c:v>
                </c:pt>
                <c:pt idx="8">
                  <c:v>2.5672136111148263E-3</c:v>
                </c:pt>
                <c:pt idx="9">
                  <c:v>2.9850213224148674E-3</c:v>
                </c:pt>
                <c:pt idx="10">
                  <c:v>3.428772781709475E-3</c:v>
                </c:pt>
                <c:pt idx="11">
                  <c:v>3.8999851393999346E-3</c:v>
                </c:pt>
                <c:pt idx="12">
                  <c:v>4.4002523144902987E-3</c:v>
                </c:pt>
                <c:pt idx="13">
                  <c:v>4.9312473597563763E-3</c:v>
                </c:pt>
                <c:pt idx="14">
                  <c:v>5.4947246955993189E-3</c:v>
                </c:pt>
                <c:pt idx="15">
                  <c:v>6.0925221785034225E-3</c:v>
                </c:pt>
                <c:pt idx="16">
                  <c:v>6.7265629665387268E-3</c:v>
                </c:pt>
                <c:pt idx="17">
                  <c:v>7.3988571407954881E-3</c:v>
                </c:pt>
                <c:pt idx="18">
                  <c:v>8.1115030380615079E-3</c:v>
                </c:pt>
                <c:pt idx="19">
                  <c:v>8.8666882465187839E-3</c:v>
                </c:pt>
                <c:pt idx="20">
                  <c:v>9.6666902128204092E-3</c:v>
                </c:pt>
                <c:pt idx="21">
                  <c:v>1.0513876405703934E-2</c:v>
                </c:pt>
                <c:pt idx="22">
                  <c:v>1.1410703978410142E-2</c:v>
                </c:pt>
                <c:pt idx="23">
                  <c:v>1.2359718869728659E-2</c:v>
                </c:pt>
                <c:pt idx="24">
                  <c:v>1.336355428162098E-2</c:v>
                </c:pt>
                <c:pt idx="25">
                  <c:v>1.4424928470229019E-2</c:v>
                </c:pt>
                <c:pt idx="26">
                  <c:v>1.5546641786827199E-2</c:v>
                </c:pt>
                <c:pt idx="27">
                  <c:v>1.6731572906092632E-2</c:v>
                </c:pt>
                <c:pt idx="28">
                  <c:v>1.7982674181131697E-2</c:v>
                </c:pt>
                <c:pt idx="29">
                  <c:v>1.930296606819441E-2</c:v>
                </c:pt>
                <c:pt idx="30">
                  <c:v>2.0695530569107789E-2</c:v>
                </c:pt>
                <c:pt idx="31">
                  <c:v>2.2163503646331194E-2</c:v>
                </c:pt>
                <c:pt idx="32">
                  <c:v>2.3710066574324236E-2</c:v>
                </c:pt>
                <c:pt idx="33">
                  <c:v>2.533843620173416E-2</c:v>
                </c:pt>
                <c:pt idx="34">
                  <c:v>2.7051854111825115E-2</c:v>
                </c:pt>
                <c:pt idx="35">
                  <c:v>2.885357468360266E-2</c:v>
                </c:pt>
                <c:pt idx="36">
                  <c:v>3.0746852073183856E-2</c:v>
                </c:pt>
                <c:pt idx="37">
                  <c:v>3.2734926153999817E-2</c:v>
                </c:pt>
                <c:pt idx="38">
                  <c:v>3.4821007475179619E-2</c:v>
                </c:pt>
                <c:pt idx="39">
                  <c:v>3.700826131964341E-2</c:v>
                </c:pt>
                <c:pt idx="40">
                  <c:v>3.9299790966619723E-2</c:v>
                </c:pt>
                <c:pt idx="41">
                  <c:v>4.1698620286989146E-2</c:v>
                </c:pt>
                <c:pt idx="42">
                  <c:v>4.4207675823439221E-2</c:v>
                </c:pt>
                <c:pt idx="43">
                  <c:v>4.6829768530204777E-2</c:v>
                </c:pt>
                <c:pt idx="44">
                  <c:v>4.9567575368406412E-2</c:v>
                </c:pt>
                <c:pt idx="45">
                  <c:v>5.2423620971885347E-2</c:v>
                </c:pt>
                <c:pt idx="46">
                  <c:v>5.5400259614147858E-2</c:v>
                </c:pt>
                <c:pt idx="47">
                  <c:v>5.8499657718779671E-2</c:v>
                </c:pt>
                <c:pt idx="48">
                  <c:v>6.1723777162731315E-2</c:v>
                </c:pt>
                <c:pt idx="49">
                  <c:v>6.5074359623571387E-2</c:v>
                </c:pt>
                <c:pt idx="50">
                  <c:v>6.8552912217659287E-2</c:v>
                </c:pt>
                <c:pt idx="51">
                  <c:v>7.2160694665884248E-2</c:v>
                </c:pt>
                <c:pt idx="52">
                  <c:v>7.589870820704743E-2</c:v>
                </c:pt>
                <c:pt idx="53">
                  <c:v>7.9767686456256509E-2</c:v>
                </c:pt>
                <c:pt idx="54">
                  <c:v>8.3768088377232486E-2</c:v>
                </c:pt>
                <c:pt idx="55">
                  <c:v>8.7900093503816862E-2</c:v>
                </c:pt>
                <c:pt idx="56">
                  <c:v>9.2163599508063743E-2</c:v>
                </c:pt>
                <c:pt idx="57">
                  <c:v>9.6558222171159253E-2</c:v>
                </c:pt>
                <c:pt idx="58">
                  <c:v>0.10108329777023783</c:v>
                </c:pt>
                <c:pt idx="59">
                  <c:v>0.10573788785028114</c:v>
                </c:pt>
                <c:pt idx="60">
                  <c:v>0.11052078630704891</c:v>
                </c:pt>
                <c:pt idx="61">
                  <c:v>0.11543052866574882</c:v>
                </c:pt>
                <c:pt idx="62">
                  <c:v>0.12046540340216154</c:v>
                </c:pt>
                <c:pt idx="63">
                  <c:v>0.12562346511932074</c:v>
                </c:pt>
                <c:pt idx="64">
                  <c:v>0.13090254936453175</c:v>
                </c:pt>
                <c:pt idx="65">
                  <c:v>0.13630028884919809</c:v>
                </c:pt>
                <c:pt idx="66">
                  <c:v>0.14181413081805666</c:v>
                </c:pt>
                <c:pt idx="67">
                  <c:v>0.14744135530518376</c:v>
                </c:pt>
                <c:pt idx="68">
                  <c:v>0.15317909401145119</c:v>
                </c:pt>
                <c:pt idx="69">
                  <c:v>0.15902434954167247</c:v>
                </c:pt>
                <c:pt idx="70">
                  <c:v>0.16497401474896528</c:v>
                </c:pt>
                <c:pt idx="71">
                  <c:v>0.1710248919481811</c:v>
                </c:pt>
                <c:pt idx="72">
                  <c:v>0.17717371177880692</c:v>
                </c:pt>
                <c:pt idx="73">
                  <c:v>0.18341715151963994</c:v>
                </c:pt>
                <c:pt idx="74">
                  <c:v>0.18975185268185879</c:v>
                </c:pt>
                <c:pt idx="75">
                  <c:v>0.19617443773295556</c:v>
                </c:pt>
                <c:pt idx="76">
                  <c:v>0.20268152583049623</c:v>
                </c:pt>
                <c:pt idx="77">
                  <c:v>0.20926974747105867</c:v>
                </c:pt>
                <c:pt idx="78">
                  <c:v>0.21593575798527692</c:v>
                </c:pt>
                <c:pt idx="79">
                  <c:v>0.22267624983412565</c:v>
                </c:pt>
                <c:pt idx="80">
                  <c:v>0.22948796368396038</c:v>
                </c:pt>
                <c:pt idx="81">
                  <c:v>0.23636769825805298</c:v>
                </c:pt>
                <c:pt idx="82">
                  <c:v>0.2433123189802123</c:v>
                </c:pt>
                <c:pt idx="83">
                  <c:v>0.25031876544143999</c:v>
                </c:pt>
                <c:pt idx="84">
                  <c:v>0.25738405773342066</c:v>
                </c:pt>
                <c:pt idx="85">
                  <c:v>0.26450530170303715</c:v>
                </c:pt>
                <c:pt idx="86">
                  <c:v>0.27167969319015273</c:v>
                </c:pt>
                <c:pt idx="87">
                  <c:v>0.27890452131677762</c:v>
                </c:pt>
                <c:pt idx="88">
                  <c:v>0.28617717089963424</c:v>
                </c:pt>
                <c:pt idx="89">
                  <c:v>0.29349512406027195</c:v>
                </c:pt>
                <c:pt idx="90">
                  <c:v>0.3008559611074898</c:v>
                </c:pt>
                <c:pt idx="91">
                  <c:v>0.30825736076612836</c:v>
                </c:pt>
                <c:pt idx="92">
                  <c:v>0.31569709982451777</c:v>
                </c:pt>
                <c:pt idx="93">
                  <c:v>0.32317305227022525</c:v>
                </c:pt>
                <c:pt idx="94">
                  <c:v>0.33068318798042651</c:v>
                </c:pt>
                <c:pt idx="95">
                  <c:v>0.33822557102940837</c:v>
                </c:pt>
                <c:pt idx="96">
                  <c:v>0.34579835767154876</c:v>
                </c:pt>
                <c:pt idx="97">
                  <c:v>0.35339979405374955</c:v>
                </c:pt>
                <c:pt idx="98">
                  <c:v>0.36102821370683341</c:v>
                </c:pt>
                <c:pt idx="99">
                  <c:v>0.36868203486095152</c:v>
                </c:pt>
                <c:pt idx="100">
                  <c:v>0.37635975762566382</c:v>
                </c:pt>
                <c:pt idx="101">
                  <c:v>0.38405996107110746</c:v>
                </c:pt>
                <c:pt idx="102">
                  <c:v>0.39178130024260965</c:v>
                </c:pt>
                <c:pt idx="103">
                  <c:v>0.39952250313726217</c:v>
                </c:pt>
                <c:pt idx="104">
                  <c:v>0.40728236766737985</c:v>
                </c:pt>
                <c:pt idx="105">
                  <c:v>0.4150597586324275</c:v>
                </c:pt>
                <c:pt idx="106">
                  <c:v>0.42285360471792666</c:v>
                </c:pt>
                <c:pt idx="107">
                  <c:v>0.43066289553704507</c:v>
                </c:pt>
                <c:pt idx="108">
                  <c:v>0.43848667872802211</c:v>
                </c:pt>
                <c:pt idx="109">
                  <c:v>0.44632405711828538</c:v>
                </c:pt>
                <c:pt idx="110">
                  <c:v>0.4541741859640569</c:v>
                </c:pt>
                <c:pt idx="111">
                  <c:v>0.46203627027241467</c:v>
                </c:pt>
                <c:pt idx="112">
                  <c:v>0.46990956221115726</c:v>
                </c:pt>
                <c:pt idx="113">
                  <c:v>0.4777933586103969</c:v>
                </c:pt>
                <c:pt idx="114">
                  <c:v>0.48568699855856517</c:v>
                </c:pt>
                <c:pt idx="115">
                  <c:v>0.49358986109444075</c:v>
                </c:pt>
                <c:pt idx="116">
                  <c:v>0.50150136299588333</c:v>
                </c:pt>
                <c:pt idx="117">
                  <c:v>0.50942095666517107</c:v>
                </c:pt>
                <c:pt idx="118">
                  <c:v>0.51734812811016995</c:v>
                </c:pt>
                <c:pt idx="119">
                  <c:v>0.52528239502000906</c:v>
                </c:pt>
                <c:pt idx="120">
                  <c:v>0.53322330493347347</c:v>
                </c:pt>
                <c:pt idx="121">
                  <c:v>0.54117043349795313</c:v>
                </c:pt>
                <c:pt idx="122">
                  <c:v>0.54912338281648643</c:v>
                </c:pt>
                <c:pt idx="123">
                  <c:v>0.55708177988020424</c:v>
                </c:pt>
                <c:pt idx="124">
                  <c:v>0.56504527508330415</c:v>
                </c:pt>
                <c:pt idx="125">
                  <c:v>0.5730135408175584</c:v>
                </c:pt>
                <c:pt idx="126">
                  <c:v>0.58098627014327597</c:v>
                </c:pt>
                <c:pt idx="127">
                  <c:v>0.58896317553359112</c:v>
                </c:pt>
                <c:pt idx="128">
                  <c:v>0.59694398768893586</c:v>
                </c:pt>
                <c:pt idx="129">
                  <c:v>0.60492845441856224</c:v>
                </c:pt>
                <c:pt idx="130">
                  <c:v>0.61291633958601266</c:v>
                </c:pt>
                <c:pt idx="131">
                  <c:v>0.62090742211548611</c:v>
                </c:pt>
                <c:pt idx="132">
                  <c:v>0.6289014950561107</c:v>
                </c:pt>
                <c:pt idx="133">
                  <c:v>0.63689836470121053</c:v>
                </c:pt>
                <c:pt idx="134">
                  <c:v>0.64489784975973707</c:v>
                </c:pt>
                <c:pt idx="135">
                  <c:v>0.65289978057712927</c:v>
                </c:pt>
                <c:pt idx="136">
                  <c:v>0.66090399840296177</c:v>
                </c:pt>
                <c:pt idx="137">
                  <c:v>0.66891035470284133</c:v>
                </c:pt>
                <c:pt idx="138">
                  <c:v>0.6769187105121135</c:v>
                </c:pt>
                <c:pt idx="139">
                  <c:v>0.68492893582904579</c:v>
                </c:pt>
                <c:pt idx="140">
                  <c:v>0.69294090904525552</c:v>
                </c:pt>
                <c:pt idx="141">
                  <c:v>0.70095451641125406</c:v>
                </c:pt>
                <c:pt idx="142">
                  <c:v>0.7089696515350804</c:v>
                </c:pt>
                <c:pt idx="143">
                  <c:v>0.71698621491209491</c:v>
                </c:pt>
                <c:pt idx="144">
                  <c:v>0.72500411348410265</c:v>
                </c:pt>
                <c:pt idx="145">
                  <c:v>0.73302326022606823</c:v>
                </c:pt>
                <c:pt idx="146">
                  <c:v>0.74104357375877505</c:v>
                </c:pt>
                <c:pt idx="147">
                  <c:v>0.74906497798587202</c:v>
                </c:pt>
                <c:pt idx="148">
                  <c:v>0.75708740175383182</c:v>
                </c:pt>
                <c:pt idx="149">
                  <c:v>0.7651107785334289</c:v>
                </c:pt>
                <c:pt idx="150">
                  <c:v>0.77313504612142225</c:v>
                </c:pt>
                <c:pt idx="151">
                  <c:v>0.78116014636120168</c:v>
                </c:pt>
                <c:pt idx="152">
                  <c:v>0.7891860248812278</c:v>
                </c:pt>
                <c:pt idx="153">
                  <c:v>0.79721263085016447</c:v>
                </c:pt>
                <c:pt idx="154">
                  <c:v>0.80523991674766415</c:v>
                </c:pt>
                <c:pt idx="155">
                  <c:v>0.81326783814983095</c:v>
                </c:pt>
                <c:pt idx="156">
                  <c:v>0.8212963535284411</c:v>
                </c:pt>
                <c:pt idx="157">
                  <c:v>0.82932542406305743</c:v>
                </c:pt>
                <c:pt idx="158">
                  <c:v>0.83735501346522567</c:v>
                </c:pt>
                <c:pt idx="159">
                  <c:v>0.84538508781398924</c:v>
                </c:pt>
                <c:pt idx="160">
                  <c:v>0.85341561540200628</c:v>
                </c:pt>
                <c:pt idx="161">
                  <c:v>0.86144656659159546</c:v>
                </c:pt>
                <c:pt idx="162">
                  <c:v>0.86947791368008054</c:v>
                </c:pt>
                <c:pt idx="163">
                  <c:v>0.87750963077383948</c:v>
                </c:pt>
                <c:pt idx="164">
                  <c:v>0.88554169367050339</c:v>
                </c:pt>
                <c:pt idx="165">
                  <c:v>0.89357407974878433</c:v>
                </c:pt>
                <c:pt idx="166">
                  <c:v>0.90160676786544258</c:v>
                </c:pt>
                <c:pt idx="167">
                  <c:v>0.90963973825893574</c:v>
                </c:pt>
                <c:pt idx="168">
                  <c:v>0.91767297245932078</c:v>
                </c:pt>
                <c:pt idx="169">
                  <c:v>0.92570645320400613</c:v>
                </c:pt>
                <c:pt idx="170">
                  <c:v>0.933740164358978</c:v>
                </c:pt>
                <c:pt idx="171">
                  <c:v>0.94177409084514674</c:v>
                </c:pt>
                <c:pt idx="172">
                  <c:v>0.94980821856948439</c:v>
                </c:pt>
                <c:pt idx="173">
                  <c:v>0.95784253436064226</c:v>
                </c:pt>
                <c:pt idx="174">
                  <c:v>0.96587702590876012</c:v>
                </c:pt>
                <c:pt idx="175">
                  <c:v>0.97391168170919495</c:v>
                </c:pt>
                <c:pt idx="176">
                  <c:v>0.98194649100991593</c:v>
                </c:pt>
                <c:pt idx="177">
                  <c:v>0.98998144376232744</c:v>
                </c:pt>
                <c:pt idx="178">
                  <c:v>0.99801653057529838</c:v>
                </c:pt>
                <c:pt idx="179">
                  <c:v>1.0060517426721891</c:v>
                </c:pt>
                <c:pt idx="180">
                  <c:v>1.0140870718506818</c:v>
                </c:pt>
                <c:pt idx="181">
                  <c:v>1.0221225104452318</c:v>
                </c:pt>
                <c:pt idx="182">
                  <c:v>1.0301580512919697</c:v>
                </c:pt>
                <c:pt idx="183">
                  <c:v>1.0381936876958944</c:v>
                </c:pt>
                <c:pt idx="184">
                  <c:v>1.0462294134002081</c:v>
                </c:pt>
                <c:pt idx="185">
                  <c:v>1.0542652225576554</c:v>
                </c:pt>
                <c:pt idx="186">
                  <c:v>1.0623011097037327</c:v>
                </c:pt>
                <c:pt idx="187">
                  <c:v>1.0703370697316488</c:v>
                </c:pt>
                <c:pt idx="188">
                  <c:v>1.0783730978689221</c:v>
                </c:pt>
                <c:pt idx="189">
                  <c:v>1.0864091896555064</c:v>
                </c:pt>
                <c:pt idx="190">
                  <c:v>1.094445340923347</c:v>
                </c:pt>
                <c:pt idx="191">
                  <c:v>1.1024815477772734</c:v>
                </c:pt>
                <c:pt idx="192">
                  <c:v>1.1105178065771406</c:v>
                </c:pt>
                <c:pt idx="193">
                  <c:v>1.1185541139211392</c:v>
                </c:pt>
                <c:pt idx="194">
                  <c:v>1.126590466630196</c:v>
                </c:pt>
                <c:pt idx="195">
                  <c:v>1.1346268617333948</c:v>
                </c:pt>
                <c:pt idx="196">
                  <c:v>1.1426632964543522</c:v>
                </c:pt>
                <c:pt idx="197">
                  <c:v>1.1506997681984825</c:v>
                </c:pt>
                <c:pt idx="198">
                  <c:v>1.1587362745410981</c:v>
                </c:pt>
                <c:pt idx="199">
                  <c:v>1.1667728132162862</c:v>
                </c:pt>
                <c:pt idx="200">
                  <c:v>1.1748093821065151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C-D448-BB4F-DC38407FB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055760"/>
        <c:axId val="1862292720"/>
      </c:scatterChart>
      <c:valAx>
        <c:axId val="619055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292720"/>
        <c:crosses val="autoZero"/>
        <c:crossBetween val="midCat"/>
      </c:valAx>
      <c:valAx>
        <c:axId val="186229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y(t) &amp; z(t)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05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202755905511806"/>
          <c:y val="0.39893445610965289"/>
          <c:w val="0.11657865809249911"/>
          <c:h val="0.15375570223849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effectLst/>
              </a:rPr>
              <a:t>2nd-order RK </a:t>
            </a:r>
            <a:endParaRPr lang="en-US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y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'Problem 3'!$E$11:$E$211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'Problem 3'!$F$11:$F$211</c:f>
              <c:numCache>
                <c:formatCode>General</c:formatCode>
                <c:ptCount val="201"/>
                <c:pt idx="0">
                  <c:v>0.03</c:v>
                </c:pt>
                <c:pt idx="1">
                  <c:v>3.1960484474220743E-2</c:v>
                </c:pt>
                <c:pt idx="2">
                  <c:v>3.4044301251944555E-2</c:v>
                </c:pt>
                <c:pt idx="3">
                  <c:v>3.625856703645837E-2</c:v>
                </c:pt>
                <c:pt idx="4">
                  <c:v>3.8610723352005917E-2</c:v>
                </c:pt>
                <c:pt idx="5">
                  <c:v>4.1108539613097711E-2</c:v>
                </c:pt>
                <c:pt idx="6">
                  <c:v>4.3760114342380488E-2</c:v>
                </c:pt>
                <c:pt idx="7">
                  <c:v>4.6573874232801557E-2</c:v>
                </c:pt>
                <c:pt idx="8">
                  <c:v>4.9558570723074589E-2</c:v>
                </c:pt>
                <c:pt idx="9">
                  <c:v>5.272327372894766E-2</c:v>
                </c:pt>
                <c:pt idx="10">
                  <c:v>5.6077362147128454E-2</c:v>
                </c:pt>
                <c:pt idx="11">
                  <c:v>5.9630510724712413E-2</c:v>
                </c:pt>
                <c:pt idx="12">
                  <c:v>6.3392672865517613E-2</c:v>
                </c:pt>
                <c:pt idx="13">
                  <c:v>6.7374058926950559E-2</c:v>
                </c:pt>
                <c:pt idx="14">
                  <c:v>7.1585109548177761E-2</c:v>
                </c:pt>
                <c:pt idx="15">
                  <c:v>7.6036463543903712E-2</c:v>
                </c:pt>
                <c:pt idx="16">
                  <c:v>8.0738919899572978E-2</c:v>
                </c:pt>
                <c:pt idx="17">
                  <c:v>8.5703393415100512E-2</c:v>
                </c:pt>
                <c:pt idx="18">
                  <c:v>9.094086356720528E-2</c:v>
                </c:pt>
                <c:pt idx="19">
                  <c:v>9.6462316197093792E-2</c:v>
                </c:pt>
                <c:pt idx="20">
                  <c:v>0.10227867768267788</c:v>
                </c:pt>
                <c:pt idx="21">
                  <c:v>0.10840074132476044</c:v>
                </c:pt>
                <c:pt idx="22">
                  <c:v>0.11483908576661706</c:v>
                </c:pt>
                <c:pt idx="23">
                  <c:v>0.12160398537785522</c:v>
                </c:pt>
                <c:pt idx="24">
                  <c:v>0.12870531266770335</c:v>
                </c:pt>
                <c:pt idx="25">
                  <c:v>0.13615243295082743</c:v>
                </c:pt>
                <c:pt idx="26">
                  <c:v>0.14395409167057063</c:v>
                </c:pt>
                <c:pt idx="27">
                  <c:v>0.15211829498949175</c:v>
                </c:pt>
                <c:pt idx="28">
                  <c:v>0.16065218448352789</c:v>
                </c:pt>
                <c:pt idx="29">
                  <c:v>0.16956190702110113</c:v>
                </c:pt>
                <c:pt idx="30">
                  <c:v>0.17885248116773211</c:v>
                </c:pt>
                <c:pt idx="31">
                  <c:v>0.18852766172442731</c:v>
                </c:pt>
                <c:pt idx="32">
                  <c:v>0.19858980427693199</c:v>
                </c:pt>
                <c:pt idx="33">
                  <c:v>0.20903973189400488</c:v>
                </c:pt>
                <c:pt idx="34">
                  <c:v>0.21987660635585216</c:v>
                </c:pt>
                <c:pt idx="35">
                  <c:v>0.23109780650722139</c:v>
                </c:pt>
                <c:pt idx="36">
                  <c:v>0.24269881650098274</c:v>
                </c:pt>
                <c:pt idx="37">
                  <c:v>0.25467312681449739</c:v>
                </c:pt>
                <c:pt idx="38">
                  <c:v>0.26701215097006675</c:v>
                </c:pt>
                <c:pt idx="39">
                  <c:v>0.27970516086055663</c:v>
                </c:pt>
                <c:pt idx="40">
                  <c:v>0.29273924346188412</c:v>
                </c:pt>
                <c:pt idx="41">
                  <c:v>0.30609928149797239</c:v>
                </c:pt>
                <c:pt idx="42">
                  <c:v>0.31976796030690807</c:v>
                </c:pt>
                <c:pt idx="43">
                  <c:v>0.33372580273937946</c:v>
                </c:pt>
                <c:pt idx="44">
                  <c:v>0.34795123340672018</c:v>
                </c:pt>
                <c:pt idx="45">
                  <c:v>0.36242067299580039</c:v>
                </c:pt>
                <c:pt idx="46">
                  <c:v>0.37710866269649762</c:v>
                </c:pt>
                <c:pt idx="47">
                  <c:v>0.39198801806434591</c:v>
                </c:pt>
                <c:pt idx="48">
                  <c:v>0.4070300108902799</c:v>
                </c:pt>
                <c:pt idx="49">
                  <c:v>0.42220457689854296</c:v>
                </c:pt>
                <c:pt idx="50">
                  <c:v>0.43748054637220285</c:v>
                </c:pt>
                <c:pt idx="51">
                  <c:v>0.45282589414318247</c:v>
                </c:pt>
                <c:pt idx="52">
                  <c:v>0.46820800480890185</c:v>
                </c:pt>
                <c:pt idx="53">
                  <c:v>0.48359394857625254</c:v>
                </c:pt>
                <c:pt idx="54">
                  <c:v>0.4989507628068508</c:v>
                </c:pt>
                <c:pt idx="55">
                  <c:v>0.51424573416060471</c:v>
                </c:pt>
                <c:pt idx="56">
                  <c:v>0.52944667621593844</c:v>
                </c:pt>
                <c:pt idx="57">
                  <c:v>0.54452219758543607</c:v>
                </c:pt>
                <c:pt idx="58">
                  <c:v>0.55944195583855849</c:v>
                </c:pt>
                <c:pt idx="59">
                  <c:v>0.57417689297474339</c:v>
                </c:pt>
                <c:pt idx="60">
                  <c:v>0.58869944874071412</c:v>
                </c:pt>
                <c:pt idx="61">
                  <c:v>0.60298374873042904</c:v>
                </c:pt>
                <c:pt idx="62">
                  <c:v>0.61700576491667636</c:v>
                </c:pt>
                <c:pt idx="63">
                  <c:v>0.63074344701013407</c:v>
                </c:pt>
                <c:pt idx="64">
                  <c:v>0.64417682379510488</c:v>
                </c:pt>
                <c:pt idx="65">
                  <c:v>0.65728807432312075</c:v>
                </c:pt>
                <c:pt idx="66">
                  <c:v>0.67006156953123008</c:v>
                </c:pt>
                <c:pt idx="67">
                  <c:v>0.68248388547015426</c:v>
                </c:pt>
                <c:pt idx="68">
                  <c:v>0.69454378986253562</c:v>
                </c:pt>
                <c:pt idx="69">
                  <c:v>0.70623220415222276</c:v>
                </c:pt>
                <c:pt idx="70">
                  <c:v>0.71754214354609636</c:v>
                </c:pt>
                <c:pt idx="71">
                  <c:v>0.72846863778927984</c:v>
                </c:pt>
                <c:pt idx="72">
                  <c:v>0.73900863555591945</c:v>
                </c:pt>
                <c:pt idx="73">
                  <c:v>0.74916089538782449</c:v>
                </c:pt>
                <c:pt idx="74">
                  <c:v>0.75892586608162993</c:v>
                </c:pt>
                <c:pt idx="75">
                  <c:v>0.76830555932317923</c:v>
                </c:pt>
                <c:pt idx="76">
                  <c:v>0.7773034172080151</c:v>
                </c:pt>
                <c:pt idx="77">
                  <c:v>0.78592417708204632</c:v>
                </c:pt>
                <c:pt idx="78">
                  <c:v>0.79417373589919571</c:v>
                </c:pt>
                <c:pt idx="79">
                  <c:v>0.80205901603490781</c:v>
                </c:pt>
                <c:pt idx="80">
                  <c:v>0.80958783422644098</c:v>
                </c:pt>
                <c:pt idx="81">
                  <c:v>0.81676877504211798</c:v>
                </c:pt>
                <c:pt idx="82">
                  <c:v>0.82361107001986622</c:v>
                </c:pt>
                <c:pt idx="83">
                  <c:v>0.83012448336659328</c:v>
                </c:pt>
                <c:pt idx="84">
                  <c:v>0.83631920487884126</c:v>
                </c:pt>
                <c:pt idx="85">
                  <c:v>0.84220575053498603</c:v>
                </c:pt>
                <c:pt idx="86">
                  <c:v>0.84779487102195983</c:v>
                </c:pt>
                <c:pt idx="87">
                  <c:v>0.85309746829598143</c:v>
                </c:pt>
                <c:pt idx="88">
                  <c:v>0.85812452013707385</c:v>
                </c:pt>
                <c:pt idx="89">
                  <c:v>0.86288701254051814</c:v>
                </c:pt>
                <c:pt idx="90">
                  <c:v>0.86739587969357757</c:v>
                </c:pt>
                <c:pt idx="91">
                  <c:v>0.87166195121118117</c:v>
                </c:pt>
                <c:pt idx="92">
                  <c:v>0.87569590624788596</c:v>
                </c:pt>
                <c:pt idx="93">
                  <c:v>0.87950823406331391</c:v>
                </c:pt>
                <c:pt idx="94">
                  <c:v>0.88310920059231335</c:v>
                </c:pt>
                <c:pt idx="95">
                  <c:v>0.88650882055729163</c:v>
                </c:pt>
                <c:pt idx="96">
                  <c:v>0.88971683465656426</c:v>
                </c:pt>
                <c:pt idx="97">
                  <c:v>0.89274269136735174</c:v>
                </c:pt>
                <c:pt idx="98">
                  <c:v>0.89559553291357386</c:v>
                </c:pt>
                <c:pt idx="99">
                  <c:v>0.898284184965358</c:v>
                </c:pt>
                <c:pt idx="100">
                  <c:v>0.90081714965788395</c:v>
                </c:pt>
                <c:pt idx="101">
                  <c:v>0.90320260154069465</c:v>
                </c:pt>
                <c:pt idx="102">
                  <c:v>0.90544838609395095</c:v>
                </c:pt>
                <c:pt idx="103">
                  <c:v>0.90756202047447776</c:v>
                </c:pt>
                <c:pt idx="104">
                  <c:v>0.90955069618117912</c:v>
                </c:pt>
                <c:pt idx="105">
                  <c:v>0.91142128335594641</c:v>
                </c:pt>
                <c:pt idx="106">
                  <c:v>0.91318033646212693</c:v>
                </c:pt>
                <c:pt idx="107">
                  <c:v>0.91483410110762864</c:v>
                </c:pt>
                <c:pt idx="108">
                  <c:v>0.91638852180357755</c:v>
                </c:pt>
                <c:pt idx="109">
                  <c:v>0.91784925047194055</c:v>
                </c:pt>
                <c:pt idx="110">
                  <c:v>0.91922165553658375</c:v>
                </c:pt>
                <c:pt idx="111">
                  <c:v>0.92051083145177992</c:v>
                </c:pt>
                <c:pt idx="112">
                  <c:v>0.92172160854020613</c:v>
                </c:pt>
                <c:pt idx="113">
                  <c:v>0.92285856302898883</c:v>
                </c:pt>
                <c:pt idx="114">
                  <c:v>0.92392602718739503</c:v>
                </c:pt>
                <c:pt idx="115">
                  <c:v>0.92492809948339794</c:v>
                </c:pt>
                <c:pt idx="116">
                  <c:v>0.925868654688626</c:v>
                </c:pt>
                <c:pt idx="117">
                  <c:v>0.92675135387221608</c:v>
                </c:pt>
                <c:pt idx="118">
                  <c:v>0.92757965423391897</c:v>
                </c:pt>
                <c:pt idx="119">
                  <c:v>0.92835681873553211</c:v>
                </c:pt>
                <c:pt idx="120">
                  <c:v>0.92908592549744817</c:v>
                </c:pt>
                <c:pt idx="121">
                  <c:v>0.92976987693389457</c:v>
                </c:pt>
                <c:pt idx="122">
                  <c:v>0.93041140860637961</c:v>
                </c:pt>
                <c:pt idx="123">
                  <c:v>0.93101309778003338</c:v>
                </c:pt>
                <c:pt idx="124">
                  <c:v>0.9315773716720156</c:v>
                </c:pt>
                <c:pt idx="125">
                  <c:v>0.93210651538502098</c:v>
                </c:pt>
                <c:pt idx="126">
                  <c:v>0.93260267952222009</c:v>
                </c:pt>
                <c:pt idx="127">
                  <c:v>0.93306788748277869</c:v>
                </c:pt>
                <c:pt idx="128">
                  <c:v>0.9335040424394726</c:v>
                </c:pt>
                <c:pt idx="129">
                  <c:v>0.9339129340018919</c:v>
                </c:pt>
                <c:pt idx="130">
                  <c:v>0.93429624457036686</c:v>
                </c:pt>
                <c:pt idx="131">
                  <c:v>0.93465555538708756</c:v>
                </c:pt>
                <c:pt idx="132">
                  <c:v>0.93499235229195987</c:v>
                </c:pt>
                <c:pt idx="133">
                  <c:v>0.93530803119159034</c:v>
                </c:pt>
                <c:pt idx="134">
                  <c:v>0.93560390325043818</c:v>
                </c:pt>
                <c:pt idx="135">
                  <c:v>0.9358811998136497</c:v>
                </c:pt>
                <c:pt idx="136">
                  <c:v>0.93614107707142247</c:v>
                </c:pt>
                <c:pt idx="137">
                  <c:v>0.93638462047494941</c:v>
                </c:pt>
                <c:pt idx="138">
                  <c:v>0.93661284891409446</c:v>
                </c:pt>
                <c:pt idx="139">
                  <c:v>0.93682671866695777</c:v>
                </c:pt>
                <c:pt idx="140">
                  <c:v>0.937027127131426</c:v>
                </c:pt>
                <c:pt idx="141">
                  <c:v>0.93721491634867393</c:v>
                </c:pt>
                <c:pt idx="142">
                  <c:v>0.93739087632840568</c:v>
                </c:pt>
                <c:pt idx="143">
                  <c:v>0.93755574818540488</c:v>
                </c:pt>
                <c:pt idx="144">
                  <c:v>0.93771022709671037</c:v>
                </c:pt>
                <c:pt idx="145">
                  <c:v>0.93785496508845889</c:v>
                </c:pt>
                <c:pt idx="146">
                  <c:v>0.9379905736611367</c:v>
                </c:pt>
                <c:pt idx="147">
                  <c:v>0.93811762626167572</c:v>
                </c:pt>
                <c:pt idx="148">
                  <c:v>0.93823666061050837</c:v>
                </c:pt>
                <c:pt idx="149">
                  <c:v>0.93834818089137229</c:v>
                </c:pt>
                <c:pt idx="150">
                  <c:v>0.93845265981133019</c:v>
                </c:pt>
                <c:pt idx="151">
                  <c:v>0.93855054053814391</c:v>
                </c:pt>
                <c:pt idx="152">
                  <c:v>0.9386422385218206</c:v>
                </c:pt>
                <c:pt idx="153">
                  <c:v>0.93872814320683151</c:v>
                </c:pt>
                <c:pt idx="154">
                  <c:v>0.93880861964119189</c:v>
                </c:pt>
                <c:pt idx="155">
                  <c:v>0.9388840099882898</c:v>
                </c:pt>
                <c:pt idx="156">
                  <c:v>0.93895463494705345</c:v>
                </c:pt>
                <c:pt idx="157">
                  <c:v>0.93902079508576497</c:v>
                </c:pt>
                <c:pt idx="158">
                  <c:v>0.93908277209455016</c:v>
                </c:pt>
                <c:pt idx="159">
                  <c:v>0.93914082996131021</c:v>
                </c:pt>
                <c:pt idx="160">
                  <c:v>0.9391952160756053</c:v>
                </c:pt>
                <c:pt idx="161">
                  <c:v>0.93924616226475599</c:v>
                </c:pt>
                <c:pt idx="162">
                  <c:v>0.9392938857661941</c:v>
                </c:pt>
                <c:pt idx="163">
                  <c:v>0.93933859013987153</c:v>
                </c:pt>
                <c:pt idx="164">
                  <c:v>0.93938046612432158</c:v>
                </c:pt>
                <c:pt idx="165">
                  <c:v>0.93941969243976586</c:v>
                </c:pt>
                <c:pt idx="166">
                  <c:v>0.93945643654146382</c:v>
                </c:pt>
                <c:pt idx="167">
                  <c:v>0.93949085532632126</c:v>
                </c:pt>
                <c:pt idx="168">
                  <c:v>0.93952309579559801</c:v>
                </c:pt>
                <c:pt idx="169">
                  <c:v>0.93955329567639034</c:v>
                </c:pt>
                <c:pt idx="170">
                  <c:v>0.93958158400440717</c:v>
                </c:pt>
                <c:pt idx="171">
                  <c:v>0.93960808167041032</c:v>
                </c:pt>
                <c:pt idx="172">
                  <c:v>0.93963290193254967</c:v>
                </c:pt>
                <c:pt idx="173">
                  <c:v>0.93965615089669052</c:v>
                </c:pt>
                <c:pt idx="174">
                  <c:v>0.93967792796670635</c:v>
                </c:pt>
                <c:pt idx="175">
                  <c:v>0.93969832626659111</c:v>
                </c:pt>
                <c:pt idx="176">
                  <c:v>0.93971743303613342</c:v>
                </c:pt>
                <c:pt idx="177">
                  <c:v>0.93973533000179132</c:v>
                </c:pt>
                <c:pt idx="178">
                  <c:v>0.9397520937243049</c:v>
                </c:pt>
                <c:pt idx="179">
                  <c:v>0.93976779592449244</c:v>
                </c:pt>
                <c:pt idx="180">
                  <c:v>0.93978250378858663</c:v>
                </c:pt>
                <c:pt idx="181">
                  <c:v>0.93979628025438533</c:v>
                </c:pt>
                <c:pt idx="182">
                  <c:v>0.93980918427941262</c:v>
                </c:pt>
                <c:pt idx="183">
                  <c:v>0.93982127109221258</c:v>
                </c:pt>
                <c:pt idx="184">
                  <c:v>0.93983259242783035</c:v>
                </c:pt>
                <c:pt idx="185">
                  <c:v>0.93984319674846761</c:v>
                </c:pt>
                <c:pt idx="186">
                  <c:v>0.93985312945024213</c:v>
                </c:pt>
                <c:pt idx="187">
                  <c:v>0.93986243305691963</c:v>
                </c:pt>
                <c:pt idx="188">
                  <c:v>0.93987114740143629</c:v>
                </c:pt>
                <c:pt idx="189">
                  <c:v>0.93987930979597611</c:v>
                </c:pt>
                <c:pt idx="190">
                  <c:v>0.93988695519132226</c:v>
                </c:pt>
                <c:pt idx="191">
                  <c:v>0.93989411632615594</c:v>
                </c:pt>
                <c:pt idx="192">
                  <c:v>0.93990082386693363</c:v>
                </c:pt>
                <c:pt idx="193">
                  <c:v>0.93990710653893617</c:v>
                </c:pt>
                <c:pt idx="194">
                  <c:v>0.93991299124904371</c:v>
                </c:pt>
                <c:pt idx="195">
                  <c:v>0.93991850320075832</c:v>
                </c:pt>
                <c:pt idx="196">
                  <c:v>0.93992366600196087</c:v>
                </c:pt>
                <c:pt idx="197">
                  <c:v>0.93992850176586162</c:v>
                </c:pt>
                <c:pt idx="198">
                  <c:v>0.93993303120557159</c:v>
                </c:pt>
                <c:pt idx="199">
                  <c:v>0.93993727372269742</c:v>
                </c:pt>
                <c:pt idx="200">
                  <c:v>0.93994124749033736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BC-7941-988A-CB69AD42E9DA}"/>
            </c:ext>
          </c:extLst>
        </c:ser>
        <c:ser>
          <c:idx val="1"/>
          <c:order val="1"/>
          <c:tx>
            <c:v>z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'Problem 3'!$E$11:$E$211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'Problem 3'!$G$11:$G$211</c:f>
              <c:numCache>
                <c:formatCode>General</c:formatCode>
                <c:ptCount val="201"/>
                <c:pt idx="0">
                  <c:v>0</c:v>
                </c:pt>
                <c:pt idx="1">
                  <c:v>2.6463227792553187E-4</c:v>
                </c:pt>
                <c:pt idx="2">
                  <c:v>5.465394733310861E-4</c:v>
                </c:pt>
                <c:pt idx="3">
                  <c:v>8.4680582518096268E-4</c:v>
                </c:pt>
                <c:pt idx="4">
                  <c:v>1.1665777999567478E-3</c:v>
                </c:pt>
                <c:pt idx="5">
                  <c:v>1.5070668854666363E-3</c:v>
                </c:pt>
                <c:pt idx="6">
                  <c:v>1.869552403583572E-3</c:v>
                </c:pt>
                <c:pt idx="7">
                  <c:v>2.2553843248379257E-3</c:v>
                </c:pt>
                <c:pt idx="8">
                  <c:v>2.6659860650751119E-3</c:v>
                </c:pt>
                <c:pt idx="9">
                  <c:v>3.1028572414445042E-3</c:v>
                </c:pt>
                <c:pt idx="10">
                  <c:v>3.5675763618176187E-3</c:v>
                </c:pt>
                <c:pt idx="11">
                  <c:v>4.0618034183511429E-3</c:v>
                </c:pt>
                <c:pt idx="12">
                  <c:v>4.5872823523316593E-3</c:v>
                </c:pt>
                <c:pt idx="13">
                  <c:v>5.1458433536901048E-3</c:v>
                </c:pt>
                <c:pt idx="14">
                  <c:v>5.739404954691496E-3</c:v>
                </c:pt>
                <c:pt idx="15">
                  <c:v>6.3699758733371838E-3</c:v>
                </c:pt>
                <c:pt idx="16">
                  <c:v>7.0396565580239335E-3</c:v>
                </c:pt>
                <c:pt idx="17">
                  <c:v>7.7506403810620669E-3</c:v>
                </c:pt>
                <c:pt idx="18">
                  <c:v>8.5052144248551446E-3</c:v>
                </c:pt>
                <c:pt idx="19">
                  <c:v>9.3057598009945904E-3</c:v>
                </c:pt>
                <c:pt idx="20">
                  <c:v>1.0154751439350114E-2</c:v>
                </c:pt>
                <c:pt idx="21">
                  <c:v>1.1054757281584414E-2</c:v>
                </c:pt>
                <c:pt idx="22">
                  <c:v>1.200843681154925E-2</c:v>
                </c:pt>
                <c:pt idx="23">
                  <c:v>1.3018538853906291E-2</c:v>
                </c:pt>
                <c:pt idx="24">
                  <c:v>1.4087898572250172E-2</c:v>
                </c:pt>
                <c:pt idx="25">
                  <c:v>1.5219433599192924E-2</c:v>
                </c:pt>
                <c:pt idx="26">
                  <c:v>1.6416139233502946E-2</c:v>
                </c:pt>
                <c:pt idx="27">
                  <c:v>1.7681082643681088E-2</c:v>
                </c:pt>
                <c:pt idx="28">
                  <c:v>1.9017396023494181E-2</c:v>
                </c:pt>
                <c:pt idx="29">
                  <c:v>2.0428268653146394E-2</c:v>
                </c:pt>
                <c:pt idx="30">
                  <c:v>2.1916937830094171E-2</c:v>
                </c:pt>
                <c:pt idx="31">
                  <c:v>2.3486678646101489E-2</c:v>
                </c:pt>
                <c:pt idx="32">
                  <c:v>2.5140792602033134E-2</c:v>
                </c:pt>
                <c:pt idx="33">
                  <c:v>2.6882595069069454E-2</c:v>
                </c:pt>
                <c:pt idx="34">
                  <c:v>2.8715401624389094E-2</c:v>
                </c:pt>
                <c:pt idx="35">
                  <c:v>3.0642513310705183E-2</c:v>
                </c:pt>
                <c:pt idx="36">
                  <c:v>3.2667200892050635E-2</c:v>
                </c:pt>
                <c:pt idx="37">
                  <c:v>3.4792688202476094E-2</c:v>
                </c:pt>
                <c:pt idx="38">
                  <c:v>3.7022134709325985E-2</c:v>
                </c:pt>
                <c:pt idx="39">
                  <c:v>3.935861743786484E-2</c:v>
                </c:pt>
                <c:pt idx="40">
                  <c:v>4.1805112428513619E-2</c:v>
                </c:pt>
                <c:pt idx="41">
                  <c:v>4.4364475921023827E-2</c:v>
                </c:pt>
                <c:pt idx="42">
                  <c:v>4.7039425480714256E-2</c:v>
                </c:pt>
                <c:pt idx="43">
                  <c:v>4.9832521299550112E-2</c:v>
                </c:pt>
                <c:pt idx="44">
                  <c:v>5.2746147918505702E-2</c:v>
                </c:pt>
                <c:pt idx="45">
                  <c:v>5.5782496626528573E-2</c:v>
                </c:pt>
                <c:pt idx="46">
                  <c:v>5.8943548794829874E-2</c:v>
                </c:pt>
                <c:pt idx="47">
                  <c:v>6.2231060402626527E-2</c:v>
                </c:pt>
                <c:pt idx="48">
                  <c:v>6.5646548001508057E-2</c:v>
                </c:pt>
                <c:pt idx="49">
                  <c:v>6.9191276350169723E-2</c:v>
                </c:pt>
                <c:pt idx="50">
                  <c:v>7.2866247929464528E-2</c:v>
                </c:pt>
                <c:pt idx="51">
                  <c:v>7.6672194519956521E-2</c:v>
                </c:pt>
                <c:pt idx="52">
                  <c:v>8.0609570991037938E-2</c:v>
                </c:pt>
                <c:pt idx="53">
                  <c:v>8.467855141306975E-2</c:v>
                </c:pt>
                <c:pt idx="54">
                  <c:v>8.8879027562989737E-2</c:v>
                </c:pt>
                <c:pt idx="55">
                  <c:v>9.3210609850633397E-2</c:v>
                </c:pt>
                <c:pt idx="56">
                  <c:v>9.767263064896331E-2</c:v>
                </c:pt>
                <c:pt idx="57">
                  <c:v>0.10226414996787393</c:v>
                </c:pt>
                <c:pt idx="58">
                  <c:v>0.10698396336957973</c:v>
                </c:pt>
                <c:pt idx="59">
                  <c:v>0.11183061198506507</c:v>
                </c:pt>
                <c:pt idx="60">
                  <c:v>0.11680239445678776</c:v>
                </c:pt>
                <c:pt idx="61">
                  <c:v>0.1218973806037057</c:v>
                </c:pt>
                <c:pt idx="62">
                  <c:v>0.1271134265814276</c:v>
                </c:pt>
                <c:pt idx="63">
                  <c:v>0.13244819129331525</c:v>
                </c:pt>
                <c:pt idx="64">
                  <c:v>0.13789915379786619</c:v>
                </c:pt>
                <c:pt idx="65">
                  <c:v>0.14346363145361771</c:v>
                </c:pt>
                <c:pt idx="66">
                  <c:v>0.14913879854483603</c:v>
                </c:pt>
                <c:pt idx="67">
                  <c:v>0.15492170513889525</c:v>
                </c:pt>
                <c:pt idx="68">
                  <c:v>0.16080929593885532</c:v>
                </c:pt>
                <c:pt idx="69">
                  <c:v>0.16679842891154451</c:v>
                </c:pt>
                <c:pt idx="70">
                  <c:v>0.17288589349160061</c:v>
                </c:pt>
                <c:pt idx="71">
                  <c:v>0.1790684281845509</c:v>
                </c:pt>
                <c:pt idx="72">
                  <c:v>0.18534273741625856</c:v>
                </c:pt>
                <c:pt idx="73">
                  <c:v>0.19170550750111104</c:v>
                </c:pt>
                <c:pt idx="74">
                  <c:v>0.1981534216264334</c:v>
                </c:pt>
                <c:pt idx="75">
                  <c:v>0.20468317377512024</c:v>
                </c:pt>
                <c:pt idx="76">
                  <c:v>0.21129148153184402</c:v>
                </c:pt>
                <c:pt idx="77">
                  <c:v>0.21797509773997664</c:v>
                </c:pt>
                <c:pt idx="78">
                  <c:v>0.22473082099622255</c:v>
                </c:pt>
                <c:pt idx="79">
                  <c:v>0.23155550498768115</c:v>
                </c:pt>
                <c:pt idx="80">
                  <c:v>0.23844606669150697</c:v>
                </c:pt>
                <c:pt idx="81">
                  <c:v>0.24539949347047071</c:v>
                </c:pt>
                <c:pt idx="82">
                  <c:v>0.25241284910857692</c:v>
                </c:pt>
                <c:pt idx="83">
                  <c:v>0.25948327883954975</c:v>
                </c:pt>
                <c:pt idx="84">
                  <c:v>0.26660801342759355</c:v>
                </c:pt>
                <c:pt idx="85">
                  <c:v>0.27378437236453779</c:v>
                </c:pt>
                <c:pt idx="86">
                  <c:v>0.28100976625047491</c:v>
                </c:pt>
                <c:pt idx="87">
                  <c:v>0.28828169842649798</c:v>
                </c:pt>
                <c:pt idx="88">
                  <c:v>0.29559776592834774</c:v>
                </c:pt>
                <c:pt idx="89">
                  <c:v>0.30295565982888684</c:v>
                </c:pt>
                <c:pt idx="90">
                  <c:v>0.31035316503552635</c:v>
                </c:pt>
                <c:pt idx="91">
                  <c:v>0.31778815960621615</c:v>
                </c:pt>
                <c:pt idx="92">
                  <c:v>0.32525861364454167</c:v>
                </c:pt>
                <c:pt idx="93">
                  <c:v>0.33276258783099133</c:v>
                </c:pt>
                <c:pt idx="94">
                  <c:v>0.34029823164370415</c:v>
                </c:pt>
                <c:pt idx="95">
                  <c:v>0.34786378131808537</c:v>
                </c:pt>
                <c:pt idx="96">
                  <c:v>0.35545755759068687</c:v>
                </c:pt>
                <c:pt idx="97">
                  <c:v>0.36307796326876635</c:v>
                </c:pt>
                <c:pt idx="98">
                  <c:v>0.37072348066303001</c:v>
                </c:pt>
                <c:pt idx="99">
                  <c:v>0.3783926689172788</c:v>
                </c:pt>
                <c:pt idx="100">
                  <c:v>0.38608416126505452</c:v>
                </c:pt>
                <c:pt idx="101">
                  <c:v>0.39379666223995313</c:v>
                </c:pt>
                <c:pt idx="102">
                  <c:v>0.40152894486305052</c:v>
                </c:pt>
                <c:pt idx="103">
                  <c:v>0.40927984782789029</c:v>
                </c:pt>
                <c:pt idx="104">
                  <c:v>0.41704827270071326</c:v>
                </c:pt>
                <c:pt idx="105">
                  <c:v>0.42483318115106883</c:v>
                </c:pt>
                <c:pt idx="106">
                  <c:v>0.43263359222563319</c:v>
                </c:pt>
                <c:pt idx="107">
                  <c:v>0.44044857967596351</c:v>
                </c:pt>
                <c:pt idx="108">
                  <c:v>0.44827726934903001</c:v>
                </c:pt>
                <c:pt idx="109">
                  <c:v>0.45611883664767894</c:v>
                </c:pt>
                <c:pt idx="110">
                  <c:v>0.4639725040666785</c:v>
                </c:pt>
                <c:pt idx="111">
                  <c:v>0.47183753880866941</c:v>
                </c:pt>
                <c:pt idx="112">
                  <c:v>0.47971325048317615</c:v>
                </c:pt>
                <c:pt idx="113">
                  <c:v>0.4875989888908126</c:v>
                </c:pt>
                <c:pt idx="114">
                  <c:v>0.49549414189393237</c:v>
                </c:pt>
                <c:pt idx="115">
                  <c:v>0.50339813337420936</c:v>
                </c:pt>
                <c:pt idx="116">
                  <c:v>0.51131042127698323</c:v>
                </c:pt>
                <c:pt idx="117">
                  <c:v>0.51923049574165114</c:v>
                </c:pt>
                <c:pt idx="118">
                  <c:v>0.52715787731692199</c:v>
                </c:pt>
                <c:pt idx="119">
                  <c:v>0.53509211525936606</c:v>
                </c:pt>
                <c:pt idx="120">
                  <c:v>0.54303278591337834</c:v>
                </c:pt>
                <c:pt idx="121">
                  <c:v>0.550979491170418</c:v>
                </c:pt>
                <c:pt idx="122">
                  <c:v>0.55893185700519188</c:v>
                </c:pt>
                <c:pt idx="123">
                  <c:v>0.56688953208629522</c:v>
                </c:pt>
                <c:pt idx="124">
                  <c:v>0.57485218645871405</c:v>
                </c:pt>
                <c:pt idx="125">
                  <c:v>0.58281951029551837</c:v>
                </c:pt>
                <c:pt idx="126">
                  <c:v>0.59079121271603097</c:v>
                </c:pt>
                <c:pt idx="127">
                  <c:v>0.59876702066773979</c:v>
                </c:pt>
                <c:pt idx="128">
                  <c:v>0.60674667786922254</c:v>
                </c:pt>
                <c:pt idx="129">
                  <c:v>0.6147299438113778</c:v>
                </c:pt>
                <c:pt idx="130">
                  <c:v>0.62271659281429215</c:v>
                </c:pt>
                <c:pt idx="131">
                  <c:v>0.63070641313712439</c:v>
                </c:pt>
                <c:pt idx="132">
                  <c:v>0.63869920613844744</c:v>
                </c:pt>
                <c:pt idx="133">
                  <c:v>0.64669478548455772</c:v>
                </c:pt>
                <c:pt idx="134">
                  <c:v>0.65469297640333712</c:v>
                </c:pt>
                <c:pt idx="135">
                  <c:v>0.66269361498133095</c:v>
                </c:pt>
                <c:pt idx="136">
                  <c:v>0.67069654750178942</c:v>
                </c:pt>
                <c:pt idx="137">
                  <c:v>0.67870162982150628</c:v>
                </c:pt>
                <c:pt idx="138">
                  <c:v>0.68670872678437234</c:v>
                </c:pt>
                <c:pt idx="139">
                  <c:v>0.69471771166965113</c:v>
                </c:pt>
                <c:pt idx="140">
                  <c:v>0.70272846567306957</c:v>
                </c:pt>
                <c:pt idx="141">
                  <c:v>0.71074087741890213</c:v>
                </c:pt>
                <c:pt idx="142">
                  <c:v>0.71875484250131239</c:v>
                </c:pt>
                <c:pt idx="143">
                  <c:v>0.72677026305329806</c:v>
                </c:pt>
                <c:pt idx="144">
                  <c:v>0.73478704734166644</c:v>
                </c:pt>
                <c:pt idx="145">
                  <c:v>0.74280510938654609</c:v>
                </c:pt>
                <c:pt idx="146">
                  <c:v>0.75082436860401669</c:v>
                </c:pt>
                <c:pt idx="147">
                  <c:v>0.75884474947051117</c:v>
                </c:pt>
                <c:pt idx="148">
                  <c:v>0.76686618120771755</c:v>
                </c:pt>
                <c:pt idx="149">
                  <c:v>0.77488859748677275</c:v>
                </c:pt>
                <c:pt idx="150">
                  <c:v>0.78291193615060928</c:v>
                </c:pt>
                <c:pt idx="151">
                  <c:v>0.79093613895337456</c:v>
                </c:pt>
                <c:pt idx="152">
                  <c:v>0.79896115131590562</c:v>
                </c:pt>
                <c:pt idx="153">
                  <c:v>0.80698692209629608</c:v>
                </c:pt>
                <c:pt idx="154">
                  <c:v>0.81501340337464911</c:v>
                </c:pt>
                <c:pt idx="155">
                  <c:v>0.82304055025115896</c:v>
                </c:pt>
                <c:pt idx="156">
                  <c:v>0.83106832065671521</c:v>
                </c:pt>
                <c:pt idx="157">
                  <c:v>0.83909667517526854</c:v>
                </c:pt>
                <c:pt idx="158">
                  <c:v>0.84712557687724255</c:v>
                </c:pt>
                <c:pt idx="159">
                  <c:v>0.8551549911633165</c:v>
                </c:pt>
                <c:pt idx="160">
                  <c:v>0.86318488561794493</c:v>
                </c:pt>
                <c:pt idx="161">
                  <c:v>0.87121522987201627</c:v>
                </c:pt>
                <c:pt idx="162">
                  <c:v>0.87924599547408888</c:v>
                </c:pt>
                <c:pt idx="163">
                  <c:v>0.88727715576967681</c:v>
                </c:pt>
                <c:pt idx="164">
                  <c:v>0.8953086857880872</c:v>
                </c:pt>
                <c:pt idx="165">
                  <c:v>0.90334056213634439</c:v>
                </c:pt>
                <c:pt idx="166">
                  <c:v>0.9113727628997601</c:v>
                </c:pt>
                <c:pt idx="167">
                  <c:v>0.91940526754873886</c:v>
                </c:pt>
                <c:pt idx="168">
                  <c:v>0.92743805685143144</c:v>
                </c:pt>
                <c:pt idx="169">
                  <c:v>0.93547111279187189</c:v>
                </c:pt>
                <c:pt idx="170">
                  <c:v>0.94350441849325795</c:v>
                </c:pt>
                <c:pt idx="171">
                  <c:v>0.95153795814605313</c:v>
                </c:pt>
                <c:pt idx="172">
                  <c:v>0.95957171694061116</c:v>
                </c:pt>
                <c:pt idx="173">
                  <c:v>0.96760568100403876</c:v>
                </c:pt>
                <c:pt idx="174">
                  <c:v>0.97563983734103288</c:v>
                </c:pt>
                <c:pt idx="175">
                  <c:v>0.98367417377844368</c:v>
                </c:pt>
                <c:pt idx="176">
                  <c:v>0.99170867891332959</c:v>
                </c:pt>
                <c:pt idx="177">
                  <c:v>0.99974334206428606</c:v>
                </c:pt>
                <c:pt idx="178">
                  <c:v>1.0077781532258423</c:v>
                </c:pt>
                <c:pt idx="179">
                  <c:v>1.0158131030257338</c:v>
                </c:pt>
                <c:pt idx="180">
                  <c:v>1.0238481826848702</c:v>
                </c:pt>
                <c:pt idx="181">
                  <c:v>1.0318833839798291</c:v>
                </c:pt>
                <c:pt idx="182">
                  <c:v>1.0399186992077167</c:v>
                </c:pt>
                <c:pt idx="183">
                  <c:v>1.0479541211532464</c:v>
                </c:pt>
                <c:pt idx="184">
                  <c:v>1.0559896430578974</c:v>
                </c:pt>
                <c:pt idx="185">
                  <c:v>1.0640252585910199</c:v>
                </c:pt>
                <c:pt idx="186">
                  <c:v>1.0720609618227657</c:v>
                </c:pt>
                <c:pt idx="187">
                  <c:v>1.0800967471987293</c:v>
                </c:pt>
                <c:pt idx="188">
                  <c:v>1.0881326095161923</c:v>
                </c:pt>
                <c:pt idx="189">
                  <c:v>1.0961685439018671</c:v>
                </c:pt>
                <c:pt idx="190">
                  <c:v>1.1042045457910494</c:v>
                </c:pt>
                <c:pt idx="191">
                  <c:v>1.112240610908088</c:v>
                </c:pt>
                <c:pt idx="192">
                  <c:v>1.1202767352480891</c:v>
                </c:pt>
                <c:pt idx="193">
                  <c:v>1.1283129150597784</c:v>
                </c:pt>
                <c:pt idx="194">
                  <c:v>1.136349146829446</c:v>
                </c:pt>
                <c:pt idx="195">
                  <c:v>1.144385427265908</c:v>
                </c:pt>
                <c:pt idx="196">
                  <c:v>1.1524217532864185</c:v>
                </c:pt>
                <c:pt idx="197">
                  <c:v>1.1604581220034731</c:v>
                </c:pt>
                <c:pt idx="198">
                  <c:v>1.1684945307124477</c:v>
                </c:pt>
                <c:pt idx="199">
                  <c:v>1.176530976880019</c:v>
                </c:pt>
                <c:pt idx="200">
                  <c:v>1.1845674581333177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BC-7941-988A-CB69AD42E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280864"/>
        <c:axId val="764474336"/>
      </c:scatterChart>
      <c:valAx>
        <c:axId val="57628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t_RK2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74336"/>
        <c:crosses val="autoZero"/>
        <c:crossBetween val="midCat"/>
      </c:valAx>
      <c:valAx>
        <c:axId val="76447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&amp; z (RK2)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8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Backward Euler - Shooting Method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'Prroblem 4'!$C$6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'Prroblem 4'!$B$7:$B$47</c:f>
              <c:numCache>
                <c:formatCode>General</c:formatCode>
                <c:ptCount val="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</c:numCache>
            </c:numRef>
          </c:xVal>
          <c:yVal>
            <c:numRef>
              <c:f>'Prroblem 4'!$C$7:$C$47</c:f>
              <c:numCache>
                <c:formatCode>General</c:formatCode>
                <c:ptCount val="41"/>
                <c:pt idx="0">
                  <c:v>1</c:v>
                </c:pt>
                <c:pt idx="1">
                  <c:v>1.1683334792576627</c:v>
                </c:pt>
                <c:pt idx="2">
                  <c:v>1.3294354486665476</c:v>
                </c:pt>
                <c:pt idx="3">
                  <c:v>1.4840183202947588</c:v>
                </c:pt>
                <c:pt idx="4">
                  <c:v>1.6327466424226329</c:v>
                </c:pt>
                <c:pt idx="5">
                  <c:v>1.7762408560111107</c:v>
                </c:pt>
                <c:pt idx="6">
                  <c:v>1.9150807755609969</c:v>
                </c:pt>
                <c:pt idx="7">
                  <c:v>2.0498088151684319</c:v>
                </c:pt>
                <c:pt idx="8">
                  <c:v>2.1809329790303473</c:v>
                </c:pt>
                <c:pt idx="9">
                  <c:v>2.3089296342184058</c:v>
                </c:pt>
                <c:pt idx="10">
                  <c:v>2.4342460822123004</c:v>
                </c:pt>
                <c:pt idx="11">
                  <c:v>2.5573029444551882</c:v>
                </c:pt>
                <c:pt idx="12">
                  <c:v>2.6784963760580767</c:v>
                </c:pt>
                <c:pt idx="13">
                  <c:v>2.7982001207292311</c:v>
                </c:pt>
                <c:pt idx="14">
                  <c:v>2.9167674190327895</c:v>
                </c:pt>
                <c:pt idx="15">
                  <c:v>3.0345327811818494</c:v>
                </c:pt>
                <c:pt idx="16">
                  <c:v>3.1518136347398582</c:v>
                </c:pt>
                <c:pt idx="17">
                  <c:v>3.2689118568351887</c:v>
                </c:pt>
                <c:pt idx="18">
                  <c:v>3.3861151997826049</c:v>
                </c:pt>
                <c:pt idx="19">
                  <c:v>3.5036986183476384</c:v>
                </c:pt>
                <c:pt idx="20">
                  <c:v>3.621925506281674</c:v>
                </c:pt>
                <c:pt idx="21">
                  <c:v>3.74104884919312</c:v>
                </c:pt>
                <c:pt idx="22">
                  <c:v>3.8613123002999727</c:v>
                </c:pt>
                <c:pt idx="23">
                  <c:v>3.9829511851282335</c:v>
                </c:pt>
                <c:pt idx="24">
                  <c:v>4.1061934407760434</c:v>
                </c:pt>
                <c:pt idx="25">
                  <c:v>4.2312604949524157</c:v>
                </c:pt>
                <c:pt idx="26">
                  <c:v>4.3583680896194839</c:v>
                </c:pt>
                <c:pt idx="27">
                  <c:v>4.4877270537160152</c:v>
                </c:pt>
                <c:pt idx="28">
                  <c:v>4.6195440291153673</c:v>
                </c:pt>
                <c:pt idx="29">
                  <c:v>4.7540221536711096</c:v>
                </c:pt>
                <c:pt idx="30">
                  <c:v>4.8913617049264033</c:v>
                </c:pt>
                <c:pt idx="31">
                  <c:v>5.0317607078071767</c:v>
                </c:pt>
                <c:pt idx="32">
                  <c:v>5.1754155093826331</c:v>
                </c:pt>
                <c:pt idx="33">
                  <c:v>5.3225213235582061</c:v>
                </c:pt>
                <c:pt idx="34">
                  <c:v>5.4732727483643817</c:v>
                </c:pt>
                <c:pt idx="35">
                  <c:v>5.6278642583186418</c:v>
                </c:pt>
                <c:pt idx="36">
                  <c:v>5.7864906741659503</c:v>
                </c:pt>
                <c:pt idx="37">
                  <c:v>5.9493476121446838</c:v>
                </c:pt>
                <c:pt idx="38">
                  <c:v>6.1166319147786652</c:v>
                </c:pt>
                <c:pt idx="39">
                  <c:v>6.2885420650611739</c:v>
                </c:pt>
                <c:pt idx="40">
                  <c:v>6.4652785857725457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3F-5747-868D-7BD09EB25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222240"/>
        <c:axId val="854017744"/>
      </c:scatterChart>
      <c:valAx>
        <c:axId val="85322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017744"/>
        <c:crosses val="autoZero"/>
        <c:crossBetween val="midCat"/>
      </c:valAx>
      <c:valAx>
        <c:axId val="85401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22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effectLst/>
              </a:rPr>
              <a:t>Finite Difference Method 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'Prroblem 4'!$G$5:$G$15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</c:numCache>
            </c:numRef>
          </c:xVal>
          <c:yVal>
            <c:numRef>
              <c:f>'Prroblem 4'!$H$5:$H$15</c:f>
              <c:numCache>
                <c:formatCode>General</c:formatCode>
                <c:ptCount val="11"/>
                <c:pt idx="0">
                  <c:v>1</c:v>
                </c:pt>
                <c:pt idx="1">
                  <c:v>1.6668000012580317</c:v>
                </c:pt>
                <c:pt idx="2">
                  <c:v>2.2365793298872592</c:v>
                </c:pt>
                <c:pt idx="3">
                  <c:v>2.7477132615307696</c:v>
                </c:pt>
                <c:pt idx="4">
                  <c:v>3.2294974482640528</c:v>
                </c:pt>
                <c:pt idx="5">
                  <c:v>3.7048522919841096</c:v>
                </c:pt>
                <c:pt idx="6">
                  <c:v>4.1923097415073105</c:v>
                </c:pt>
                <c:pt idx="7">
                  <c:v>4.7074780405827417</c:v>
                </c:pt>
                <c:pt idx="8">
                  <c:v>5.2641326090668485</c:v>
                </c:pt>
                <c:pt idx="9">
                  <c:v>5.8750408162570347</c:v>
                </c:pt>
                <c:pt idx="10">
                  <c:v>6.5526027771657089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A2-5544-AE35-C34782F59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948288"/>
        <c:axId val="854146784"/>
      </c:scatterChart>
      <c:valAx>
        <c:axId val="6769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146784"/>
        <c:crosses val="autoZero"/>
        <c:crossBetween val="midCat"/>
      </c:valAx>
      <c:valAx>
        <c:axId val="85414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T_j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94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304800</xdr:colOff>
      <xdr:row>0</xdr:row>
      <xdr:rowOff>101600</xdr:rowOff>
    </xdr:from>
    <xdr:ext cx="1833259" cy="19016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96664277-9F42-7F7C-75A3-857DCCCB3A34}"/>
                </a:ext>
              </a:extLst>
            </xdr:cNvPr>
            <xdr:cNvSpPr txBox="1"/>
          </xdr:nvSpPr>
          <xdr:spPr>
            <a:xfrm>
              <a:off x="5257800" y="101600"/>
              <a:ext cx="1833259" cy="1901674"/>
            </a:xfrm>
            <a:prstGeom prst="rect">
              <a:avLst/>
            </a:prstGeom>
            <a:solidFill>
              <a:schemeClr val="accent2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f(x)=0 with Newton’s method: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ar-AE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+1</m:t>
                        </m:r>
                      </m:sub>
                    </m:sSub>
                    <m:r>
                      <a:rPr lang="ar-AE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sub>
                    </m:sSub>
                    <m:r>
                      <a:rPr lang="ar-AE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f>
                      <m:f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sub>
                            </m:sSub>
                          </m:e>
                        </m:d>
                      </m:num>
                      <m:den>
                        <m:sSup>
                          <m:sSup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p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′</m:t>
                            </m:r>
                          </m:sup>
                        </m:sSup>
                        <m:d>
                          <m:d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ar-AE"/>
            </a:p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with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𝑓</m:t>
                    </m:r>
                    <m:d>
                      <m:d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</m:d>
                    <m:r>
                      <a:rPr lang="ar-AE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ar-AE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r>
                      <a:rPr lang="ar-AE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</m:t>
                        </m:r>
                      </m:num>
                      <m:den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den>
                    </m:f>
                    <m:r>
                      <a:rPr lang="ar-AE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f>
                      <m:f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num>
                      <m:den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ar-AE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ar-AE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e>
                      <m:sup>
                        <m:r>
                          <a:rPr lang="ar-AE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d>
                      <m:d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</m:d>
                    <m:r>
                      <a:rPr lang="ar-AE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=−</m:t>
                    </m:r>
                    <m:f>
                      <m:f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</m:t>
                        </m:r>
                      </m:num>
                      <m:den>
                        <m:sSup>
                          <m:sSup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p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ar-AE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num>
                      <m:den>
                        <m:d>
                          <m:dPr>
                            <m:endChr m:val=""/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  <m:sSup>
                              <m:sSup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"/>
                                    <m:endChr m:val=""/>
                                    <m:ctrlPr>
                                      <a:rPr lang="ar-AE" sz="11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ar-AE" sz="1100" i="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)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ar-AE" sz="1100" i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e>
                        </m:d>
                      </m:den>
                    </m:f>
                  </m:oMath>
                </m:oMathPara>
              </a14:m>
              <a:endParaRPr lang="ar-AE"/>
            </a:p>
            <a:p>
              <a:r>
                <a:rPr lang="en-US" sz="1100"/>
                <a:t>VBA: 8_inter</a:t>
              </a:r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96664277-9F42-7F7C-75A3-857DCCCB3A34}"/>
                </a:ext>
              </a:extLst>
            </xdr:cNvPr>
            <xdr:cNvSpPr txBox="1"/>
          </xdr:nvSpPr>
          <xdr:spPr>
            <a:xfrm>
              <a:off x="5257800" y="101600"/>
              <a:ext cx="1833259" cy="1901674"/>
            </a:xfrm>
            <a:prstGeom prst="rect">
              <a:avLst/>
            </a:prstGeom>
            <a:solidFill>
              <a:schemeClr val="accent2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f(x)=0 with Newton’s method:</a:t>
              </a:r>
            </a:p>
            <a:p>
              <a:pPr/>
              <a:r>
                <a:rPr lang="ar-AE" sz="11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𝑥_(𝑘+1)=𝑥_𝑘−𝑓(𝑥_𝑘 )/(𝑓^′ (𝑥_𝑘 ) )</a:t>
              </a:r>
              <a:endParaRPr lang="ar-AE"/>
            </a:p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with</a:t>
              </a:r>
            </a:p>
            <a:p>
              <a:pPr/>
              <a:r>
                <a:rPr lang="en-US" sz="11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ar-AE" sz="11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(𝑥)=𝑎+𝑏/𝑥−𝑑/(𝑥−𝑐)</a:t>
              </a:r>
              <a:endParaRPr lang="ar-AE"/>
            </a:p>
            <a:p>
              <a:pPr/>
              <a:r>
                <a:rPr lang="ar-AE" sz="11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𝑓^′ (𝑥)=−𝑏/𝑥^2 +𝑑/(𝑥−𝑐├ )┤^2 ┤ </a:t>
              </a:r>
              <a:endParaRPr lang="ar-AE"/>
            </a:p>
            <a:p>
              <a:r>
                <a:rPr lang="en-US" sz="1100"/>
                <a:t>VBA: 8_inter</a:t>
              </a:r>
            </a:p>
            <a:p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25400</xdr:colOff>
      <xdr:row>5</xdr:row>
      <xdr:rowOff>0</xdr:rowOff>
    </xdr:from>
    <xdr:ext cx="2235200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41650B6-D898-7087-8B74-1379F6D58B2D}"/>
            </a:ext>
          </a:extLst>
        </xdr:cNvPr>
        <xdr:cNvSpPr txBox="1"/>
      </xdr:nvSpPr>
      <xdr:spPr>
        <a:xfrm>
          <a:off x="1676400" y="1016000"/>
          <a:ext cx="2235200" cy="609013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b) From the chart, root is around ~4.</a:t>
          </a:r>
          <a:r>
            <a:rPr lang="en-US" sz="1100" b="1" baseline="0"/>
            <a:t> So, </a:t>
          </a:r>
          <a:r>
            <a:rPr lang="en-US" sz="1100" b="1"/>
            <a:t>x(0) = 4</a:t>
          </a:r>
        </a:p>
        <a:p>
          <a:endParaRPr lang="en-US" sz="1100"/>
        </a:p>
      </xdr:txBody>
    </xdr:sp>
    <xdr:clientData/>
  </xdr:oneCellAnchor>
  <xdr:oneCellAnchor>
    <xdr:from>
      <xdr:col>2</xdr:col>
      <xdr:colOff>50800</xdr:colOff>
      <xdr:row>9</xdr:row>
      <xdr:rowOff>114300</xdr:rowOff>
    </xdr:from>
    <xdr:ext cx="1500347" cy="4137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5D47555-E86B-AFBE-D6CE-1180A6D96B8E}"/>
                </a:ext>
              </a:extLst>
            </xdr:cNvPr>
            <xdr:cNvSpPr txBox="1"/>
          </xdr:nvSpPr>
          <xdr:spPr>
            <a:xfrm>
              <a:off x="1701800" y="1943100"/>
              <a:ext cx="1500347" cy="413768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𝑓</m:t>
                    </m:r>
                    <m:d>
                      <m:d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</m:d>
                    <m:r>
                      <a:rPr lang="ar-AE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ar-AE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r>
                      <a:rPr lang="ar-AE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</m:t>
                        </m:r>
                      </m:num>
                      <m:den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den>
                    </m:f>
                    <m:r>
                      <a:rPr lang="ar-AE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f>
                      <m:f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num>
                      <m:den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ar-AE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ar-AE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5D47555-E86B-AFBE-D6CE-1180A6D96B8E}"/>
                </a:ext>
              </a:extLst>
            </xdr:cNvPr>
            <xdr:cNvSpPr txBox="1"/>
          </xdr:nvSpPr>
          <xdr:spPr>
            <a:xfrm>
              <a:off x="1701800" y="1943100"/>
              <a:ext cx="1500347" cy="413768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ar-AE" sz="11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(𝑥)=𝑎+𝑏/𝑥−𝑑/(𝑥−𝑐)</a:t>
              </a:r>
              <a:endParaRPr lang="ar-AE"/>
            </a:p>
          </xdr:txBody>
        </xdr:sp>
      </mc:Fallback>
    </mc:AlternateContent>
    <xdr:clientData/>
  </xdr:oneCellAnchor>
  <xdr:twoCellAnchor>
    <xdr:from>
      <xdr:col>2</xdr:col>
      <xdr:colOff>177800</xdr:colOff>
      <xdr:row>12</xdr:row>
      <xdr:rowOff>184150</xdr:rowOff>
    </xdr:from>
    <xdr:to>
      <xdr:col>7</xdr:col>
      <xdr:colOff>622300</xdr:colOff>
      <xdr:row>26</xdr:row>
      <xdr:rowOff>82550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3FAFCBB-5B79-EF3C-83FD-113A0119D5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274990</xdr:colOff>
      <xdr:row>9</xdr:row>
      <xdr:rowOff>84223</xdr:rowOff>
    </xdr:from>
    <xdr:to>
      <xdr:col>10</xdr:col>
      <xdr:colOff>719490</xdr:colOff>
      <xdr:row>22</xdr:row>
      <xdr:rowOff>191131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E47990-403D-32AA-0E66-08A1D0ABE7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2762</xdr:colOff>
      <xdr:row>0</xdr:row>
      <xdr:rowOff>0</xdr:rowOff>
    </xdr:from>
    <xdr:ext cx="5116337" cy="321068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C97900D-F8F6-973E-2D1A-0B9CE6AEE7E1}"/>
                </a:ext>
              </a:extLst>
            </xdr:cNvPr>
            <xdr:cNvSpPr txBox="1"/>
          </xdr:nvSpPr>
          <xdr:spPr>
            <a:xfrm>
              <a:off x="9051512" y="0"/>
              <a:ext cx="5116337" cy="3210687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1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The PDE using Crank–Nicolson:</a:t>
              </a:r>
              <a:r>
                <a:rPr lang="en-US" sz="1100" b="1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𝑢</m:t>
                      </m:r>
                    </m:e>
                    <m:sub>
                      <m: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ar-AE" sz="1100" i="0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sSub>
                    <m:sSubPr>
                      <m:ctrlP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𝑢</m:t>
                      </m:r>
                    </m:e>
                    <m:sub>
                      <m: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𝑥𝑥</m:t>
                      </m:r>
                    </m:sub>
                  </m:sSub>
                  <m:r>
                    <a:rPr lang="ar-AE" sz="1100" i="0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sSub>
                    <m:sSubPr>
                      <m:ctrlP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𝑢</m:t>
                      </m:r>
                    </m:e>
                    <m:sub>
                      <m: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sub>
                  </m:sSub>
                  <m:r>
                    <a:rPr lang="ar-AE" sz="1100" i="0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, 0≤</m:t>
                  </m:r>
                  <m:r>
                    <a:rPr lang="ar-AE" sz="110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𝑥</m:t>
                  </m:r>
                  <m:r>
                    <a:rPr lang="ar-AE" sz="1100" i="0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≤1,</m:t>
                  </m:r>
                  <m:r>
                    <m:rPr>
                      <m:nor/>
                    </m:rPr>
                    <a:rPr lang="ar-AE" sz="1100" b="0" i="1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a:rPr lang="ar-AE" sz="1100" b="0" i="0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0≤</m:t>
                  </m:r>
                  <m:r>
                    <a:rPr lang="ar-AE" sz="11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𝑡</m:t>
                  </m:r>
                  <m:r>
                    <a:rPr lang="ar-AE" sz="1100" b="0" i="0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≤1</m:t>
                  </m:r>
                </m:oMath>
              </a14:m>
              <a:endParaRPr lang="en-US" b="0"/>
            </a:p>
            <a:p>
              <a:pPr/>
              <a:r>
                <a:rPr lang="en-US" b="0"/>
                <a:t>	alpha = dt / (2 * dx * dx)</a:t>
              </a:r>
            </a:p>
            <a:p>
              <a:pPr/>
              <a:r>
                <a:rPr lang="en-US" b="0"/>
                <a:t>	beta = B * dt / (4 * dx)</a:t>
              </a:r>
            </a:p>
            <a:p>
              <a:pPr/>
              <a:endParaRPr lang="en-US" b="0"/>
            </a:p>
            <a:p>
              <a:pPr/>
              <a:r>
                <a:rPr lang="en-US" sz="1100" b="1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@ (1 ≤ j ≤ 19)</a:t>
              </a:r>
              <a:endParaRPr lang="ar-AE" b="1"/>
            </a:p>
            <a:p>
              <a:r>
                <a:rPr lang="en-US" sz="1100"/>
                <a:t>rhs2(i) = (alpha + beta) * uOld(j - 1) + (1 - 2 * alpha) * uOld(j) + (alpha - beta) * uOld(j + 1)</a:t>
              </a:r>
            </a:p>
            <a:p>
              <a:br>
                <a:rPr lang="en-US" sz="1100"/>
              </a:br>
              <a:r>
                <a:rPr lang="en-US" sz="1100" b="1"/>
                <a:t>@x=0 (Dirichlet):</a:t>
              </a:r>
            </a:p>
            <a:p>
              <a:r>
                <a:rPr lang="en-US" sz="1100"/>
                <a:t>a2(1) = 0</a:t>
              </a:r>
            </a:p>
            <a:p>
              <a:r>
                <a:rPr lang="en-US" sz="1100"/>
                <a:t>b2(1) = 1 + 2 * alpha</a:t>
              </a:r>
            </a:p>
            <a:p>
              <a:r>
                <a:rPr lang="en-US" sz="1100"/>
                <a:t>c2(1) = -alpha + beta</a:t>
              </a:r>
            </a:p>
            <a:p>
              <a:r>
                <a:rPr lang="en-US" sz="1100"/>
                <a:t>rhs2(1) = (1 - 2* alpha) * uOld(1) + (alpha - beta) * uOld(2)</a:t>
              </a:r>
            </a:p>
            <a:p>
              <a:endParaRPr lang="en-US" sz="1100"/>
            </a:p>
            <a:p>
              <a:r>
                <a:rPr lang="en-US" sz="1100" b="1"/>
                <a:t>@x=1</a:t>
              </a:r>
              <a:r>
                <a:rPr lang="en-US" sz="1100" b="1" baseline="0"/>
                <a:t> (Neumann):</a:t>
              </a:r>
              <a:endParaRPr lang="en-US" sz="1100" b="1"/>
            </a:p>
            <a:p>
              <a:r>
                <a:rPr lang="en-US" sz="1100"/>
                <a:t>a2(M) = -alpha - beta</a:t>
              </a:r>
            </a:p>
            <a:p>
              <a:r>
                <a:rPr lang="en-US" sz="1100"/>
                <a:t>b2(M) = 1 + alpha + beta</a:t>
              </a:r>
            </a:p>
            <a:p>
              <a:r>
                <a:rPr lang="en-US" sz="1100"/>
                <a:t>c2(M) = 0</a:t>
              </a:r>
            </a:p>
            <a:p>
              <a:r>
                <a:rPr lang="en-US" sz="1100"/>
                <a:t>rhs2(M) = (alpha + beta) * uOld(j - 1) + (1 - alpha - beta) * uOld(j) + 2 * (alpha - beta) * dx</a:t>
              </a: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C97900D-F8F6-973E-2D1A-0B9CE6AEE7E1}"/>
                </a:ext>
              </a:extLst>
            </xdr:cNvPr>
            <xdr:cNvSpPr txBox="1"/>
          </xdr:nvSpPr>
          <xdr:spPr>
            <a:xfrm>
              <a:off x="9051512" y="0"/>
              <a:ext cx="5116337" cy="3210687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1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The PDE using Crank–Nicolson:</a:t>
              </a:r>
              <a:r>
                <a:rPr lang="en-US" sz="1100" b="1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ar-AE" sz="11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𝑢_𝑡=𝑢_𝑥𝑥−𝑢_𝑥, 0≤𝑥≤1,</a:t>
              </a:r>
              <a:r>
                <a:rPr lang="ar-AE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 " 0≤𝑡≤1</a:t>
              </a:r>
              <a:endParaRPr lang="en-US" b="0"/>
            </a:p>
            <a:p>
              <a:pPr/>
              <a:r>
                <a:rPr lang="en-US" b="0"/>
                <a:t>	alpha = dt / (2 * dx * dx)</a:t>
              </a:r>
            </a:p>
            <a:p>
              <a:pPr/>
              <a:r>
                <a:rPr lang="en-US" b="0"/>
                <a:t>	beta = B * dt / (4 * dx)</a:t>
              </a:r>
            </a:p>
            <a:p>
              <a:pPr/>
              <a:endParaRPr lang="en-US" b="0"/>
            </a:p>
            <a:p>
              <a:pPr/>
              <a:r>
                <a:rPr lang="en-US" sz="1100" b="1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@ (1 ≤ j ≤ 19)</a:t>
              </a:r>
              <a:endParaRPr lang="ar-AE" b="1"/>
            </a:p>
            <a:p>
              <a:r>
                <a:rPr lang="en-US" sz="1100"/>
                <a:t>rhs2(i) = (alpha + beta) * uOld(j - 1) + (1 - 2 * alpha) * uOld(j) + (alpha - beta) * uOld(j + 1)</a:t>
              </a:r>
            </a:p>
            <a:p>
              <a:br>
                <a:rPr lang="en-US" sz="1100"/>
              </a:br>
              <a:r>
                <a:rPr lang="en-US" sz="1100" b="1"/>
                <a:t>@x=0 (Dirichlet):</a:t>
              </a:r>
            </a:p>
            <a:p>
              <a:r>
                <a:rPr lang="en-US" sz="1100"/>
                <a:t>a2(1) = 0</a:t>
              </a:r>
            </a:p>
            <a:p>
              <a:r>
                <a:rPr lang="en-US" sz="1100"/>
                <a:t>b2(1) = 1 + 2 * alpha</a:t>
              </a:r>
            </a:p>
            <a:p>
              <a:r>
                <a:rPr lang="en-US" sz="1100"/>
                <a:t>c2(1) = -alpha + beta</a:t>
              </a:r>
            </a:p>
            <a:p>
              <a:r>
                <a:rPr lang="en-US" sz="1100"/>
                <a:t>rhs2(1) = (1 - 2* alpha) * uOld(1) + (alpha - beta) * uOld(2)</a:t>
              </a:r>
            </a:p>
            <a:p>
              <a:endParaRPr lang="en-US" sz="1100"/>
            </a:p>
            <a:p>
              <a:r>
                <a:rPr lang="en-US" sz="1100" b="1"/>
                <a:t>@x=1</a:t>
              </a:r>
              <a:r>
                <a:rPr lang="en-US" sz="1100" b="1" baseline="0"/>
                <a:t> (Neumann):</a:t>
              </a:r>
              <a:endParaRPr lang="en-US" sz="1100" b="1"/>
            </a:p>
            <a:p>
              <a:r>
                <a:rPr lang="en-US" sz="1100"/>
                <a:t>a2(M) = -alpha - beta</a:t>
              </a:r>
            </a:p>
            <a:p>
              <a:r>
                <a:rPr lang="en-US" sz="1100"/>
                <a:t>b2(M) = 1 + alpha + beta</a:t>
              </a:r>
            </a:p>
            <a:p>
              <a:r>
                <a:rPr lang="en-US" sz="1100"/>
                <a:t>c2(M) = 0</a:t>
              </a:r>
            </a:p>
            <a:p>
              <a:r>
                <a:rPr lang="en-US" sz="1100"/>
                <a:t>rhs2(M) = (alpha + beta) * uOld(j - 1) + (1 - alpha - beta) * uOld(j) + 2 * (alpha - beta) * dx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296807</xdr:colOff>
      <xdr:row>1</xdr:row>
      <xdr:rowOff>19691</xdr:rowOff>
    </xdr:from>
    <xdr:to>
      <xdr:col>12</xdr:col>
      <xdr:colOff>730605</xdr:colOff>
      <xdr:row>14</xdr:row>
      <xdr:rowOff>165812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748A6C-1500-7498-6D67-907E74C223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296810</xdr:colOff>
      <xdr:row>16</xdr:row>
      <xdr:rowOff>133850</xdr:rowOff>
    </xdr:from>
    <xdr:to>
      <xdr:col>12</xdr:col>
      <xdr:colOff>730608</xdr:colOff>
      <xdr:row>30</xdr:row>
      <xdr:rowOff>80196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2075FD-4EE7-3E89-8103-F9505E6CF5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222134</xdr:colOff>
      <xdr:row>0</xdr:row>
      <xdr:rowOff>0</xdr:rowOff>
    </xdr:from>
    <xdr:ext cx="3983643" cy="164638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0D968AF-8ABE-893F-590A-007FC4BFF349}"/>
            </a:ext>
          </a:extLst>
        </xdr:cNvPr>
        <xdr:cNvSpPr txBox="1"/>
      </xdr:nvSpPr>
      <xdr:spPr>
        <a:xfrm>
          <a:off x="1884679" y="0"/>
          <a:ext cx="3983643" cy="1646382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/>
            <a:t>k(1y)</a:t>
          </a:r>
          <a:r>
            <a:rPr lang="en-US" baseline="0"/>
            <a:t> = b1*y(n) - y(n)^2 * b1/b2</a:t>
          </a:r>
        </a:p>
        <a:p>
          <a:r>
            <a:rPr lang="en-US" baseline="0"/>
            <a:t>k(1z) = b3*y(n)</a:t>
          </a:r>
        </a:p>
        <a:p>
          <a:endParaRPr lang="en-US" baseline="0"/>
        </a:p>
        <a:p>
          <a:r>
            <a:rPr lang="en-US" baseline="0"/>
            <a:t>k(2y) = b1[y(n) + deltaT*k(1y)] - [y(n) + deltaT*k(1y)]^2 * b1/b2</a:t>
          </a:r>
        </a:p>
        <a:p>
          <a:r>
            <a:rPr lang="en-US" baseline="0"/>
            <a:t>k(2z) = b3*[y(n) + deltaT*k(1y)]</a:t>
          </a:r>
        </a:p>
        <a:p>
          <a:endParaRPr lang="en-US" baseline="0"/>
        </a:p>
        <a:p>
          <a:r>
            <a:rPr lang="en-US" baseline="0"/>
            <a:t>t(n+1) = t(n) + deltaT</a:t>
          </a:r>
        </a:p>
        <a:p>
          <a:r>
            <a:rPr lang="en-US" baseline="0"/>
            <a:t>y(n+1) = y(n) + [k(1y) + k(2y)] * deltaT/2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baseline="0"/>
            <a:t>z(n+1) = z(n) + [k(1z) + k(2z)] * deltaT/2</a:t>
          </a:r>
        </a:p>
        <a:p>
          <a:endParaRPr lang="en-US" baseline="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124306</xdr:colOff>
      <xdr:row>17</xdr:row>
      <xdr:rowOff>108143</xdr:rowOff>
    </xdr:from>
    <xdr:to>
      <xdr:col>9</xdr:col>
      <xdr:colOff>539942</xdr:colOff>
      <xdr:row>30</xdr:row>
      <xdr:rowOff>145089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E4F975-CCAC-A996-632F-8585D27EB0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247257</xdr:colOff>
      <xdr:row>1</xdr:row>
      <xdr:rowOff>78222</xdr:rowOff>
    </xdr:from>
    <xdr:to>
      <xdr:col>14</xdr:col>
      <xdr:colOff>302328</xdr:colOff>
      <xdr:row>14</xdr:row>
      <xdr:rowOff>56195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52EDCA-A2AB-2F8B-EF09-DF1F113A4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9</xdr:col>
      <xdr:colOff>799100</xdr:colOff>
      <xdr:row>17</xdr:row>
      <xdr:rowOff>85618</xdr:rowOff>
    </xdr:from>
    <xdr:ext cx="4854752" cy="227523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62C3DBC-78B0-5F6E-72C8-FF4D4ACF9A81}"/>
                </a:ext>
              </a:extLst>
            </xdr:cNvPr>
            <xdr:cNvSpPr txBox="1"/>
          </xdr:nvSpPr>
          <xdr:spPr>
            <a:xfrm>
              <a:off x="8588433" y="3603988"/>
              <a:ext cx="4854752" cy="2275238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ODE: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ar-AE" sz="11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fPr>
                    <m:num>
                      <m:sSup>
                        <m:sSupPr>
                          <m:ctrlPr>
                            <a:rPr lang="ar-AE" sz="11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ar-AE" sz="1100" i="1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rPr>
                            <m:t>𝑑</m:t>
                          </m:r>
                        </m:e>
                        <m:sup>
                          <m:r>
                            <a:rPr lang="ar-AE" sz="1100" i="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𝑇</m:t>
                      </m:r>
                    </m:num>
                    <m:den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𝑑</m:t>
                      </m:r>
                      <m:sSup>
                        <m:sSupPr>
                          <m:ctrlPr>
                            <a:rPr lang="ar-AE" sz="1100" i="1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ar-AE" sz="1100" i="1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rPr>
                            <m:t>𝑥</m:t>
                          </m:r>
                        </m:e>
                        <m:sup>
                          <m:r>
                            <a:rPr lang="ar-AE" sz="1100" i="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+</m:t>
                  </m:r>
                  <m:f>
                    <m:fPr>
                      <m:ctrlP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𝑑𝑇</m:t>
                      </m:r>
                    </m:num>
                    <m:den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𝑑𝑥</m:t>
                      </m:r>
                    </m:den>
                  </m:f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−</m:t>
                  </m:r>
                  <m:r>
                    <a:rPr lang="ar-AE" sz="1100" i="1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𝑇</m:t>
                  </m:r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+1=0, 0≤</m:t>
                  </m:r>
                  <m:r>
                    <a:rPr lang="ar-AE" sz="1100" i="1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𝑥</m:t>
                  </m:r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≤2</m:t>
                  </m:r>
                </m:oMath>
              </a14:m>
              <a:endParaRPr lang="ar-AE"/>
            </a:p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BCs: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𝑇</m:t>
                  </m:r>
                  <m:d>
                    <m:dPr>
                      <m:ctrlP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ar-AE" sz="1100" i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0</m:t>
                      </m:r>
                    </m:e>
                  </m:d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=1, </m:t>
                  </m:r>
                  <m:f>
                    <m:fPr>
                      <m:ctrlP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𝑑𝑇</m:t>
                      </m:r>
                    </m:num>
                    <m:den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𝑑𝑥</m:t>
                      </m:r>
                    </m:den>
                  </m:f>
                  <m:d>
                    <m:dPr>
                      <m:ctrlP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ar-AE" sz="1100" i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2</m:t>
                      </m:r>
                    </m:e>
                  </m:d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+</m:t>
                  </m:r>
                  <m:r>
                    <a:rPr lang="ar-AE" sz="1100" i="1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𝑇</m:t>
                  </m:r>
                  <m:d>
                    <m:dPr>
                      <m:ctrlP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ar-AE" sz="1100" i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2</m:t>
                      </m:r>
                    </m:e>
                  </m:d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−10=0</m:t>
                  </m:r>
                </m:oMath>
              </a14:m>
              <a:endParaRPr lang="en-US"/>
            </a:p>
            <a:p>
              <a:endParaRPr lang="en-US"/>
            </a:p>
            <a:p>
              <a:r>
                <a:rPr lang="en-US" sz="1100" b="1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first-order system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</a:p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Let </a:t>
              </a:r>
              <a14:m>
                <m:oMath xmlns:m="http://schemas.openxmlformats.org/officeDocument/2006/math">
                  <m:sSub>
                    <m:sSubPr>
                      <m:ctrlPr>
                        <a:rPr lang="ar-AE" sz="11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lang="ar-AE" sz="1100" i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=</m:t>
                  </m:r>
                  <m:r>
                    <a:rPr lang="ar-AE" sz="1100" i="1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𝑇</m:t>
                  </m:r>
                </m:oMath>
              </a14:m>
              <a:r>
                <a:rPr lang="ar-AE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 </a:t>
              </a:r>
              <a14:m>
                <m:oMath xmlns:m="http://schemas.openxmlformats.org/officeDocument/2006/math">
                  <m:sSub>
                    <m:sSubPr>
                      <m:ctrlPr>
                        <a:rPr lang="ar-AE" sz="11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lang="ar-AE" sz="1100" i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=</m:t>
                  </m:r>
                  <m:r>
                    <a:rPr lang="ar-AE" sz="1100" i="1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𝑑𝑇</m:t>
                  </m:r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/</m:t>
                  </m:r>
                  <m:r>
                    <a:rPr lang="ar-AE" sz="1100" i="1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𝑑𝑥</m:t>
                  </m:r>
                </m:oMath>
              </a14:m>
              <a:r>
                <a:rPr lang="ar-AE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.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Then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d>
                    <m:dPr>
                      <m:begChr m:val="{"/>
                      <m:endChr m:val=""/>
                      <m:ctrlPr>
                        <a:rPr lang="ar-AE" sz="11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dPr>
                    <m:e>
                      <m:m>
                        <m:mPr>
                          <m:plcHide m:val="on"/>
                          <m:mcs>
                            <m:mc>
                              <m:mcPr>
                                <m:count m:val="1"/>
                                <m:mcJc m:val="center"/>
                              </m:mcPr>
                            </m:mc>
                          </m:mcs>
                          <m:ctrlPr>
                            <a:rPr lang="ar-AE" sz="11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rPr>
                          </m:ctrlPr>
                        </m:mPr>
                        <m:mr>
                          <m:e>
                            <m:f>
                              <m:fPr>
                                <m:ctrlPr>
                                  <a:rPr lang="ar-AE" sz="1100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  <m:sSub>
                                  <m:sSubPr>
                                    <m:ctrlPr>
                                      <a:rPr lang="ar-AE" sz="1100" i="1">
                                        <a:solidFill>
                                          <a:schemeClr val="tx1"/>
                                        </a:solidFill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ar-AE" sz="1100" i="1">
                                        <a:solidFill>
                                          <a:schemeClr val="tx1"/>
                                        </a:solidFill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ar-AE" sz="1100" i="0">
                                        <a:solidFill>
                                          <a:schemeClr val="tx1"/>
                                        </a:solidFill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𝑑𝑥</m:t>
                                </m:r>
                              </m:den>
                            </m:f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=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mr>
                        <m:mr>
                          <m:e>
                            <m:f>
                              <m:f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  <m:sSub>
                                  <m:sSubPr>
                                    <m:ctrlPr>
                                      <a:rPr lang="ar-AE" sz="1100" i="1">
                                        <a:solidFill>
                                          <a:schemeClr val="tx1"/>
                                        </a:solidFill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ar-AE" sz="1100" i="1">
                                        <a:solidFill>
                                          <a:schemeClr val="tx1"/>
                                        </a:solidFill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ar-AE" sz="1100" i="0">
                                        <a:solidFill>
                                          <a:schemeClr val="tx1"/>
                                        </a:solidFill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𝑑𝑥</m:t>
                                </m:r>
                              </m:den>
                            </m:f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=−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−1</m:t>
                            </m:r>
                          </m:e>
                        </m:mr>
                      </m:m>
                    </m:e>
                  </m:d>
                </m:oMath>
              </a14:m>
              <a:endParaRPr lang="ar-AE"/>
            </a:p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Backward Euler formulas: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m>
                    <m:mPr>
                      <m:plcHide m:val="on"/>
                      <m:mcs>
                        <m:mc>
                          <m:mcPr>
                            <m:count m:val="2"/>
                            <m:mcJc m:val="center"/>
                          </m:mcPr>
                        </m:mc>
                      </m:mcs>
                      <m:ctrlPr>
                        <a:rPr lang="ar-AE" sz="11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mPr>
                    <m:mr>
                      <m:e>
                        <m:sSub>
                          <m:sSubPr>
                            <m:ctrlPr>
                              <a:rPr lang="ar-AE" sz="110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+1</m:t>
                            </m:r>
                          </m:sub>
                        </m:sSub>
                      </m:e>
                      <m:e>
                        <m:r>
                          <a:rPr lang="ar-AE" sz="1100" i="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rPr>
                          <m:t>=</m:t>
                        </m:r>
                        <m:f>
                          <m:f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h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h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h</m:t>
                                </m:r>
                              </m:e>
                              <m:sup>
                                <m:r>
                                  <a:rPr lang="ar-AE" sz="1100" i="0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1+</m:t>
                            </m:r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h</m:t>
                                </m:r>
                              </m:e>
                              <m:sup>
                                <m:r>
                                  <a:rPr lang="ar-AE" sz="1100" i="0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mr>
                    <m:mr>
                      <m:e>
                        <m:sSub>
                          <m:sSub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+1</m:t>
                            </m:r>
                          </m:sub>
                        </m:sSub>
                      </m:e>
                      <m:e>
                        <m:r>
                          <a:rPr lang="ar-AE" sz="1100" i="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rPr>
                          <m:t>=</m:t>
                        </m:r>
                        <m:f>
                          <m:f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h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h</m:t>
                            </m:r>
                          </m:num>
                          <m:den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1+</m:t>
                            </m:r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+mn-lt"/>
                                <a:ea typeface="+mn-ea"/>
                                <a:cs typeface="+mn-cs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h</m:t>
                                </m:r>
                              </m:e>
                              <m:sup>
                                <m:r>
                                  <a:rPr lang="ar-AE" sz="1100" i="0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mr>
                  </m:m>
                  <m:r>
                    <a:rPr lang="en-US" sz="1100" b="0" i="0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where </a:t>
              </a:r>
              <a14:m>
                <m:oMath xmlns:m="http://schemas.openxmlformats.org/officeDocument/2006/math">
                  <m:sSub>
                    <m:sSubPr>
                      <m:ctrlPr>
                        <a:rPr lang="ar-AE" sz="11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𝑆</m:t>
                      </m:r>
                    </m:e>
                    <m:sub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ar-AE" sz="1100" i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m:t>=</m:t>
                  </m:r>
                  <m:d>
                    <m:dPr>
                      <m:endChr m:val=""/>
                      <m:ctrlP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𝑑𝑇</m:t>
                      </m:r>
                      <m:r>
                        <a:rPr lang="ar-AE" sz="1100" i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/</m:t>
                      </m:r>
                      <m:r>
                        <a:rPr lang="ar-AE" sz="1100" i="1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rPr>
                        <m:t>𝑑𝑥</m:t>
                      </m:r>
                      <m:sSub>
                        <m:sSubPr>
                          <m:ctrlPr>
                            <a:rPr lang="ar-AE" sz="1100" i="1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d>
                            <m:dPr>
                              <m:begChr m:val=""/>
                              <m:endChr m:val=""/>
                              <m:ctrlPr>
                                <a:rPr lang="ar-AE" sz="1100" i="1">
                                  <a:solidFill>
                                    <a:schemeClr val="tx1"/>
                                  </a:solidFill>
                                  <a:latin typeface="+mn-lt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ar-AE" sz="1100" i="0">
                                  <a:solidFill>
                                    <a:schemeClr val="tx1"/>
                                  </a:solidFill>
                                  <a:latin typeface="+mn-lt"/>
                                  <a:ea typeface="+mn-ea"/>
                                  <a:cs typeface="+mn-cs"/>
                                </a:rPr>
                                <m:t>)</m:t>
                              </m:r>
                            </m:e>
                          </m:d>
                        </m:e>
                        <m:sub>
                          <m:r>
                            <a:rPr lang="ar-AE" sz="1100" i="1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rPr>
                            <m:t>𝑛</m:t>
                          </m:r>
                        </m:sub>
                      </m:sSub>
                    </m:e>
                  </m:d>
                </m:oMath>
              </a14:m>
              <a:r>
                <a:rPr lang="ar-AE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.</a:t>
              </a:r>
            </a:p>
            <a:p>
              <a:endParaRPr lang="en-US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62C3DBC-78B0-5F6E-72C8-FF4D4ACF9A81}"/>
                </a:ext>
              </a:extLst>
            </xdr:cNvPr>
            <xdr:cNvSpPr txBox="1"/>
          </xdr:nvSpPr>
          <xdr:spPr>
            <a:xfrm>
              <a:off x="8588433" y="3603988"/>
              <a:ext cx="4854752" cy="2275238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ODE: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(𝑑^2 𝑇)/(𝑑𝑥^2 )+𝑑𝑇/𝑑𝑥−𝑇+1=0, 0≤𝑥≤2</a:t>
              </a:r>
              <a:endParaRPr lang="ar-AE"/>
            </a:p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BCs: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𝑇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(0)=1,  𝑑𝑇/𝑑𝑥 (2)+𝑇(2)−10=0</a:t>
              </a:r>
              <a:endParaRPr lang="en-US"/>
            </a:p>
            <a:p>
              <a:endParaRPr lang="en-US"/>
            </a:p>
            <a:p>
              <a:r>
                <a:rPr lang="en-US" sz="1100" b="1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first-order system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</a:p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Let 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𝑦_1=𝑇</a:t>
              </a:r>
              <a:r>
                <a:rPr lang="ar-AE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 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𝑦_2=𝑑𝑇/𝑑𝑥</a:t>
              </a:r>
              <a:r>
                <a:rPr lang="ar-AE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.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Then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{■((𝑑𝑦_1)/𝑑𝑥=𝑦_2@(𝑑𝑦_2)/𝑑𝑥=−𝑦_2+𝑦_1−1)┤</a:t>
              </a:r>
              <a:endParaRPr lang="ar-AE"/>
            </a:p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Backward Euler formulas:</a:t>
              </a:r>
              <a:r>
                <a:rPr lang="en-US" sz="1100" b="0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■(𝑇_(𝑛+1)&amp;=(ℎ𝑆_𝑛+ℎ𝑇_𝑛+𝑇_𝑛−ℎ^2)/(1+ℎ−ℎ^2 )@𝑆_(𝑛+1)&amp;=(𝑆_𝑛+ℎ𝑇_𝑛−ℎ)/(1+ℎ−ℎ^2 ))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where 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𝑆_𝑛=(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𝑑𝑇/𝑑𝑥├ )┤_𝑛 ┤</a:t>
              </a:r>
              <a:r>
                <a:rPr lang="ar-AE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.</a:t>
              </a:r>
            </a:p>
            <a:p>
              <a:endParaRPr lang="en-US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168584</xdr:colOff>
      <xdr:row>8</xdr:row>
      <xdr:rowOff>112389</xdr:rowOff>
    </xdr:from>
    <xdr:ext cx="2716898" cy="951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B88D313-F577-CF43-1235-EC4CC395A014}"/>
                </a:ext>
              </a:extLst>
            </xdr:cNvPr>
            <xdr:cNvSpPr txBox="1"/>
          </xdr:nvSpPr>
          <xdr:spPr>
            <a:xfrm>
              <a:off x="2629911" y="1730796"/>
              <a:ext cx="2716898" cy="951222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log10​(r)=log10​(k1​PA​)−2log10​(1+kA​PA​+kB​PB​)</a:t>
              </a:r>
              <a:endParaRPr lang="en-US"/>
            </a:p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Raise 10 to both sides: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𝑟</m:t>
                    </m:r>
                    <m:r>
                      <a:rPr lang="en-US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sub>
                    </m:sSub>
                    <m:sSup>
                      <m:sSupPr>
                        <m:ctrlPr>
                          <a:rPr lang="ar-AE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1+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ar-AE" sz="11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ar-AE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−2</m:t>
                        </m:r>
                      </m:sup>
                    </m:sSup>
                  </m:oMath>
                </m:oMathPara>
              </a14:m>
              <a:endParaRPr lang="ar-AE"/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</m:t>
                      </m:r>
                    </m:sub>
                  </m:sSub>
                </m:oMath>
              </a14:m>
              <a:r>
                <a:rPr lang="ar-AE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and </a:t>
              </a:r>
              <a14:m>
                <m:oMath xmlns:m="http://schemas.openxmlformats.org/officeDocument/2006/math">
                  <m:sSub>
                    <m:sSubPr>
                      <m:ctrlP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sub>
                  </m:sSub>
                </m:oMath>
              </a14:m>
              <a:r>
                <a:rPr lang="ar-AE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to </a:t>
              </a:r>
              <a:r>
                <a:rPr lang="en-US" sz="1100" b="1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minimize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𝑆</m:t>
                  </m:r>
                  <m:d>
                    <m:dPr>
                      <m:sepChr m:val=","/>
                      <m:ctrlPr>
                        <a:rPr lang="ar-AE" sz="11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sSub>
                        <m:sSubPr>
                          <m:ctrlPr>
                            <a:rPr lang="ar-AE" sz="11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ar-AE" sz="11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𝑘</m:t>
                          </m:r>
                        </m:e>
                        <m:sub>
                          <m:r>
                            <a:rPr lang="ar-AE" sz="11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𝐴</m:t>
                          </m:r>
                        </m:sub>
                      </m:sSub>
                    </m:e>
                    <m:e>
                      <m:sSub>
                        <m:sSubPr>
                          <m:ctrlPr>
                            <a:rPr lang="ar-AE" sz="11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ar-AE" sz="11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𝑘</m:t>
                          </m:r>
                        </m:e>
                        <m:sub>
                          <m:r>
                            <a:rPr lang="ar-AE" sz="11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𝐵</m:t>
                          </m:r>
                        </m:sub>
                      </m:sSub>
                    </m:e>
                  </m:d>
                </m:oMath>
              </a14:m>
              <a:endParaRPr lang="en-US" sz="110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B88D313-F577-CF43-1235-EC4CC395A014}"/>
                </a:ext>
              </a:extLst>
            </xdr:cNvPr>
            <xdr:cNvSpPr txBox="1"/>
          </xdr:nvSpPr>
          <xdr:spPr>
            <a:xfrm>
              <a:off x="2629911" y="1730796"/>
              <a:ext cx="2716898" cy="951222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log10​(r)=log10​(k1​PA​)−2log10​(1+kA​PA​+kB​PB​)</a:t>
              </a:r>
              <a:endParaRPr lang="en-US"/>
            </a:p>
            <a:p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Raise 10 to both sides:</a:t>
              </a:r>
            </a:p>
            <a:p>
              <a:r>
                <a:rPr lang="en-US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𝑟=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𝑘_1 𝑃_𝐴 (1+𝑘_𝐴 𝑃_𝐴+𝑘_𝐵 𝑃_𝐵 )^(−2)</a:t>
              </a:r>
              <a:endParaRPr lang="ar-AE"/>
            </a:p>
            <a:p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𝑘_𝐴</a:t>
              </a:r>
              <a:r>
                <a:rPr lang="ar-AE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and 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𝑘_𝐵</a:t>
              </a:r>
              <a:r>
                <a:rPr lang="ar-AE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to </a:t>
              </a:r>
              <a:r>
                <a:rPr lang="en-US" sz="1100" b="1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minimize</a:t>
              </a:r>
              <a:r>
                <a:rPr lang="en-US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𝑆</a:t>
              </a:r>
              <a:r>
                <a:rPr lang="ar-AE" sz="1100" i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(𝑘_𝐴ⓜ,𝑘_𝐵 )</a:t>
              </a:r>
              <a:endParaRPr lang="en-US" sz="1100"/>
            </a:p>
            <a:p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5ACC5-909F-2F46-B770-FBCA9E399F70}">
  <sheetPr codeName="Sheet1"/>
  <dimension ref="A1:F53"/>
  <sheetViews>
    <sheetView tabSelected="1" workbookViewId="0">
      <selection activeCell="C4" sqref="C4"/>
    </sheetView>
  </sheetViews>
  <sheetFormatPr baseColWidth="10" defaultRowHeight="16"/>
  <sheetData>
    <row r="1" spans="1:6">
      <c r="A1">
        <v>10</v>
      </c>
      <c r="B1" s="5" t="s">
        <v>0</v>
      </c>
      <c r="E1" s="5" t="s">
        <v>8</v>
      </c>
      <c r="F1" s="4" t="s">
        <v>9</v>
      </c>
    </row>
    <row r="2" spans="1:6">
      <c r="A2">
        <v>4.2380000000000004</v>
      </c>
      <c r="B2" s="5" t="s">
        <v>1</v>
      </c>
      <c r="E2">
        <v>1</v>
      </c>
      <c r="F2">
        <v>9.2074487776295122E-2</v>
      </c>
    </row>
    <row r="3" spans="1:6">
      <c r="A3">
        <v>3.7999999999999999E-2</v>
      </c>
      <c r="B3" s="5" t="s">
        <v>2</v>
      </c>
      <c r="E3">
        <v>2</v>
      </c>
      <c r="F3">
        <v>2.0921076014133178E-3</v>
      </c>
    </row>
    <row r="4" spans="1:6">
      <c r="A4">
        <v>42.917000000000002</v>
      </c>
      <c r="B4" s="5" t="s">
        <v>3</v>
      </c>
      <c r="E4">
        <v>3</v>
      </c>
      <c r="F4">
        <v>1.1327992499587936E-6</v>
      </c>
    </row>
    <row r="5" spans="1:6">
      <c r="A5" s="1">
        <v>1.0000000000000001E-9</v>
      </c>
      <c r="B5" s="5" t="s">
        <v>4</v>
      </c>
      <c r="E5">
        <v>4</v>
      </c>
      <c r="F5">
        <v>3.3173463975799677E-13</v>
      </c>
    </row>
    <row r="6" spans="1:6">
      <c r="A6" s="2">
        <v>4</v>
      </c>
      <c r="B6" s="3" t="s">
        <v>5</v>
      </c>
      <c r="E6">
        <v>5</v>
      </c>
      <c r="F6">
        <v>0</v>
      </c>
    </row>
    <row r="7" spans="1:6">
      <c r="A7">
        <v>3.9100187526246999</v>
      </c>
      <c r="B7" s="4" t="s">
        <v>6</v>
      </c>
      <c r="E7">
        <v>6</v>
      </c>
      <c r="F7">
        <v>0</v>
      </c>
    </row>
    <row r="8" spans="1:6">
      <c r="A8">
        <v>8</v>
      </c>
      <c r="B8" s="4" t="s">
        <v>7</v>
      </c>
      <c r="E8">
        <v>7</v>
      </c>
      <c r="F8">
        <v>0</v>
      </c>
    </row>
    <row r="9" spans="1:6">
      <c r="E9">
        <v>8</v>
      </c>
      <c r="F9">
        <v>0</v>
      </c>
    </row>
    <row r="11" spans="1:6">
      <c r="A11" s="6" t="s">
        <v>10</v>
      </c>
      <c r="B11" s="7"/>
    </row>
    <row r="12" spans="1:6">
      <c r="A12" s="8" t="s">
        <v>6</v>
      </c>
      <c r="B12" s="8" t="s">
        <v>11</v>
      </c>
    </row>
    <row r="13" spans="1:6">
      <c r="A13">
        <v>1</v>
      </c>
      <c r="B13">
        <f>$A$1 + $A$2/A13 - $A$4/(A13 - $A$3)</f>
        <v>-30.374266112266113</v>
      </c>
    </row>
    <row r="14" spans="1:6">
      <c r="A14">
        <f>A13+0.1</f>
        <v>1.1000000000000001</v>
      </c>
      <c r="B14">
        <f t="shared" ref="B14:B53" si="0">$A$1 + $A$2/A14 - $A$4/(A14 - $A$3)</f>
        <v>-26.558760486218112</v>
      </c>
    </row>
    <row r="15" spans="1:6">
      <c r="A15">
        <f t="shared" ref="A15:A53" si="1">A14+0.1</f>
        <v>1.2000000000000002</v>
      </c>
      <c r="B15">
        <f t="shared" si="0"/>
        <v>-23.402068273092368</v>
      </c>
    </row>
    <row r="16" spans="1:6">
      <c r="A16">
        <f t="shared" si="1"/>
        <v>1.3000000000000003</v>
      </c>
      <c r="B16">
        <f t="shared" si="0"/>
        <v>-20.747131537242467</v>
      </c>
    </row>
    <row r="17" spans="1:2">
      <c r="A17">
        <f t="shared" si="1"/>
        <v>1.4000000000000004</v>
      </c>
      <c r="B17">
        <f t="shared" si="0"/>
        <v>-18.483136144325567</v>
      </c>
    </row>
    <row r="18" spans="1:2">
      <c r="A18">
        <f t="shared" si="1"/>
        <v>1.5000000000000004</v>
      </c>
      <c r="B18">
        <f t="shared" si="0"/>
        <v>-16.529659826721378</v>
      </c>
    </row>
    <row r="19" spans="1:2">
      <c r="A19">
        <f t="shared" si="1"/>
        <v>1.6000000000000005</v>
      </c>
      <c r="B19">
        <f t="shared" si="0"/>
        <v>-14.826922215108826</v>
      </c>
    </row>
    <row r="20" spans="1:2">
      <c r="A20">
        <f t="shared" si="1"/>
        <v>1.7000000000000006</v>
      </c>
      <c r="B20">
        <f t="shared" si="0"/>
        <v>-13.32956183195299</v>
      </c>
    </row>
    <row r="21" spans="1:2">
      <c r="A21">
        <f t="shared" si="1"/>
        <v>1.8000000000000007</v>
      </c>
      <c r="B21">
        <f t="shared" si="0"/>
        <v>-12.002536259301291</v>
      </c>
    </row>
    <row r="22" spans="1:2">
      <c r="A22">
        <f t="shared" si="1"/>
        <v>1.9000000000000008</v>
      </c>
      <c r="B22">
        <f t="shared" si="0"/>
        <v>-10.818345864661648</v>
      </c>
    </row>
    <row r="23" spans="1:2">
      <c r="A23">
        <f t="shared" si="1"/>
        <v>2.0000000000000009</v>
      </c>
      <c r="B23">
        <f t="shared" si="0"/>
        <v>-9.7551080530071275</v>
      </c>
    </row>
    <row r="24" spans="1:2">
      <c r="A24">
        <f t="shared" si="1"/>
        <v>2.100000000000001</v>
      </c>
      <c r="B24">
        <f t="shared" si="0"/>
        <v>-8.7951928317398611</v>
      </c>
    </row>
    <row r="25" spans="1:2">
      <c r="A25">
        <f t="shared" si="1"/>
        <v>2.2000000000000011</v>
      </c>
      <c r="B25">
        <f t="shared" si="0"/>
        <v>-7.9242376587334853</v>
      </c>
    </row>
    <row r="26" spans="1:2">
      <c r="A26">
        <f t="shared" si="1"/>
        <v>2.3000000000000012</v>
      </c>
      <c r="B26">
        <f t="shared" si="0"/>
        <v>-7.1304240187598413</v>
      </c>
    </row>
    <row r="27" spans="1:2">
      <c r="A27">
        <f t="shared" si="1"/>
        <v>2.4000000000000012</v>
      </c>
      <c r="B27">
        <f t="shared" si="0"/>
        <v>-6.4039380468529394</v>
      </c>
    </row>
    <row r="28" spans="1:2">
      <c r="A28">
        <f t="shared" si="1"/>
        <v>2.5000000000000013</v>
      </c>
      <c r="B28">
        <f t="shared" si="0"/>
        <v>-5.7365627944760256</v>
      </c>
    </row>
    <row r="29" spans="1:2">
      <c r="A29">
        <f t="shared" si="1"/>
        <v>2.6000000000000014</v>
      </c>
      <c r="B29">
        <f t="shared" si="0"/>
        <v>-5.1213661202185712</v>
      </c>
    </row>
    <row r="30" spans="1:2">
      <c r="A30">
        <f t="shared" si="1"/>
        <v>2.7000000000000015</v>
      </c>
      <c r="B30">
        <f t="shared" si="0"/>
        <v>-4.5524590255168658</v>
      </c>
    </row>
    <row r="31" spans="1:2">
      <c r="A31">
        <f t="shared" si="1"/>
        <v>2.8000000000000016</v>
      </c>
      <c r="B31">
        <f t="shared" si="0"/>
        <v>-4.0248065583945287</v>
      </c>
    </row>
    <row r="32" spans="1:2">
      <c r="A32">
        <f t="shared" si="1"/>
        <v>2.9000000000000017</v>
      </c>
      <c r="B32">
        <f t="shared" si="0"/>
        <v>-3.5340784115279806</v>
      </c>
    </row>
    <row r="33" spans="1:2">
      <c r="A33">
        <f t="shared" si="1"/>
        <v>3.0000000000000018</v>
      </c>
      <c r="B33">
        <f t="shared" si="0"/>
        <v>-3.0765298221922031</v>
      </c>
    </row>
    <row r="34" spans="1:2">
      <c r="A34">
        <f t="shared" si="1"/>
        <v>3.1000000000000019</v>
      </c>
      <c r="B34">
        <f t="shared" si="0"/>
        <v>-2.6489058384778996</v>
      </c>
    </row>
    <row r="35" spans="1:2">
      <c r="A35">
        <f t="shared" si="1"/>
        <v>3.200000000000002</v>
      </c>
      <c r="B35">
        <f t="shared" si="0"/>
        <v>-2.2483637729285171</v>
      </c>
    </row>
    <row r="36" spans="1:2">
      <c r="A36">
        <f t="shared" si="1"/>
        <v>3.300000000000002</v>
      </c>
      <c r="B36">
        <f t="shared" si="0"/>
        <v>-1.8724099362725894</v>
      </c>
    </row>
    <row r="37" spans="1:2">
      <c r="A37">
        <f t="shared" si="1"/>
        <v>3.4000000000000021</v>
      </c>
      <c r="B37">
        <f t="shared" si="0"/>
        <v>-1.5188476747034247</v>
      </c>
    </row>
    <row r="38" spans="1:2">
      <c r="A38">
        <f t="shared" si="1"/>
        <v>3.5000000000000022</v>
      </c>
      <c r="B38">
        <f t="shared" si="0"/>
        <v>-1.1857344227118851</v>
      </c>
    </row>
    <row r="39" spans="1:2">
      <c r="A39">
        <f t="shared" si="1"/>
        <v>3.6000000000000023</v>
      </c>
      <c r="B39">
        <f t="shared" si="0"/>
        <v>-0.87134599787883715</v>
      </c>
    </row>
    <row r="40" spans="1:2">
      <c r="A40">
        <f t="shared" si="1"/>
        <v>3.7000000000000024</v>
      </c>
      <c r="B40">
        <f t="shared" si="0"/>
        <v>-0.57414675188568509</v>
      </c>
    </row>
    <row r="41" spans="1:2">
      <c r="A41">
        <f t="shared" si="1"/>
        <v>3.8000000000000025</v>
      </c>
      <c r="B41">
        <f t="shared" si="0"/>
        <v>-0.29276448697500612</v>
      </c>
    </row>
    <row r="42" spans="1:2">
      <c r="A42">
        <f t="shared" si="1"/>
        <v>3.9000000000000026</v>
      </c>
      <c r="B42">
        <f t="shared" si="0"/>
        <v>-2.5969273260825432E-2</v>
      </c>
    </row>
    <row r="43" spans="1:2">
      <c r="A43">
        <f t="shared" si="1"/>
        <v>4.0000000000000027</v>
      </c>
      <c r="B43">
        <f t="shared" si="0"/>
        <v>0.22734452296820429</v>
      </c>
    </row>
    <row r="44" spans="1:2">
      <c r="A44">
        <f t="shared" si="1"/>
        <v>4.1000000000000023</v>
      </c>
      <c r="B44">
        <f t="shared" si="0"/>
        <v>0.46817355381826076</v>
      </c>
    </row>
    <row r="45" spans="1:2">
      <c r="A45">
        <f t="shared" si="1"/>
        <v>4.200000000000002</v>
      </c>
      <c r="B45">
        <f t="shared" si="0"/>
        <v>0.6974185945401743</v>
      </c>
    </row>
    <row r="46" spans="1:2">
      <c r="A46">
        <f t="shared" si="1"/>
        <v>4.3000000000000016</v>
      </c>
      <c r="B46">
        <f t="shared" si="0"/>
        <v>0.91589580173081941</v>
      </c>
    </row>
    <row r="47" spans="1:2">
      <c r="A47">
        <f t="shared" si="1"/>
        <v>4.4000000000000012</v>
      </c>
      <c r="B47">
        <f t="shared" si="0"/>
        <v>1.1243464215747583</v>
      </c>
    </row>
    <row r="48" spans="1:2">
      <c r="A48">
        <f t="shared" si="1"/>
        <v>4.5000000000000009</v>
      </c>
      <c r="B48">
        <f t="shared" si="0"/>
        <v>1.323445191493601</v>
      </c>
    </row>
    <row r="49" spans="1:2">
      <c r="A49">
        <f t="shared" si="1"/>
        <v>4.6000000000000005</v>
      </c>
      <c r="B49">
        <f t="shared" si="0"/>
        <v>1.5138076358576527</v>
      </c>
    </row>
    <row r="50" spans="1:2">
      <c r="A50">
        <f t="shared" si="1"/>
        <v>4.7</v>
      </c>
      <c r="B50">
        <f t="shared" si="0"/>
        <v>1.6959964219538683</v>
      </c>
    </row>
    <row r="51" spans="1:2">
      <c r="A51">
        <f t="shared" si="1"/>
        <v>4.8</v>
      </c>
      <c r="B51">
        <f t="shared" si="0"/>
        <v>1.8705269144617098</v>
      </c>
    </row>
    <row r="52" spans="1:2">
      <c r="A52">
        <f t="shared" si="1"/>
        <v>4.8999999999999995</v>
      </c>
      <c r="B52">
        <f t="shared" si="0"/>
        <v>2.0378720439224622</v>
      </c>
    </row>
    <row r="53" spans="1:2">
      <c r="A53">
        <f t="shared" si="1"/>
        <v>4.9999999999999991</v>
      </c>
      <c r="B53">
        <f t="shared" si="0"/>
        <v>2.1984665860540087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68B8A-C9FC-CC4F-A0A6-CB47E6DFDBC5}">
  <sheetPr codeName="Sheet2"/>
  <dimension ref="A1:F22"/>
  <sheetViews>
    <sheetView zoomScale="88" workbookViewId="0">
      <selection activeCell="C22" sqref="C22"/>
    </sheetView>
  </sheetViews>
  <sheetFormatPr baseColWidth="10" defaultRowHeight="16"/>
  <sheetData>
    <row r="1" spans="1:6">
      <c r="A1" s="12" t="s">
        <v>6</v>
      </c>
      <c r="B1" s="12" t="s">
        <v>12</v>
      </c>
      <c r="C1" s="12" t="s">
        <v>13</v>
      </c>
      <c r="D1" s="12" t="s">
        <v>14</v>
      </c>
      <c r="E1" s="12" t="s">
        <v>15</v>
      </c>
    </row>
    <row r="2" spans="1:6">
      <c r="A2">
        <v>0</v>
      </c>
      <c r="B2">
        <v>0</v>
      </c>
      <c r="C2">
        <v>0</v>
      </c>
      <c r="D2">
        <v>0</v>
      </c>
      <c r="E2">
        <v>0</v>
      </c>
      <c r="F2">
        <v>9.2074487776295122E-2</v>
      </c>
    </row>
    <row r="3" spans="1:6">
      <c r="A3">
        <v>0.05</v>
      </c>
      <c r="B3">
        <v>0.15643446504023087</v>
      </c>
      <c r="C3">
        <v>0.12998093491655285</v>
      </c>
      <c r="D3">
        <v>5.260381046085906E-2</v>
      </c>
      <c r="E3">
        <v>2.0130899622781227E-2</v>
      </c>
      <c r="F3">
        <v>2.0921076014133178E-3</v>
      </c>
    </row>
    <row r="4" spans="1:6">
      <c r="A4">
        <v>0.1</v>
      </c>
      <c r="B4">
        <v>0.3090169943749474</v>
      </c>
      <c r="C4">
        <v>0.26164358360736306</v>
      </c>
      <c r="D4">
        <v>0.1070843176283522</v>
      </c>
      <c r="E4">
        <v>4.1286436925556391E-2</v>
      </c>
      <c r="F4">
        <v>1.1327992499587936E-6</v>
      </c>
    </row>
    <row r="5" spans="1:6">
      <c r="A5">
        <v>0.15000000000000002</v>
      </c>
      <c r="B5">
        <v>0.4539904997395468</v>
      </c>
      <c r="C5">
        <v>0.39027466850421105</v>
      </c>
      <c r="D5">
        <v>0.16271331397168035</v>
      </c>
      <c r="E5">
        <v>6.3511120224155254E-2</v>
      </c>
      <c r="F5">
        <v>3.3173463975799677E-13</v>
      </c>
    </row>
    <row r="6" spans="1:6">
      <c r="A6">
        <v>0.2</v>
      </c>
      <c r="B6">
        <v>0.58778525229247314</v>
      </c>
      <c r="C6">
        <v>0.51145507618399488</v>
      </c>
      <c r="D6">
        <v>0.21875993533279375</v>
      </c>
      <c r="E6">
        <v>8.6851480534278713E-2</v>
      </c>
      <c r="F6">
        <v>0</v>
      </c>
    </row>
    <row r="7" spans="1:6">
      <c r="A7">
        <v>0.25</v>
      </c>
      <c r="B7">
        <v>0.70710678118654746</v>
      </c>
      <c r="C7">
        <v>0.62128107628030804</v>
      </c>
      <c r="D7">
        <v>0.27452829150733127</v>
      </c>
      <c r="E7">
        <v>0.1113562422367854</v>
      </c>
      <c r="F7">
        <v>0</v>
      </c>
    </row>
    <row r="8" spans="1:6">
      <c r="A8">
        <v>0.30000000000000004</v>
      </c>
      <c r="B8">
        <v>0.80901699437494745</v>
      </c>
      <c r="C8">
        <v>0.71645615517931516</v>
      </c>
      <c r="D8">
        <v>0.3293943905779847</v>
      </c>
      <c r="E8">
        <v>0.13707650779311617</v>
      </c>
      <c r="F8">
        <v>0</v>
      </c>
    </row>
    <row r="9" spans="1:6">
      <c r="A9">
        <v>0.35000000000000003</v>
      </c>
      <c r="B9">
        <v>0.8910065241883679</v>
      </c>
      <c r="C9">
        <v>0.7942998970855959</v>
      </c>
      <c r="D9">
        <v>0.38284013810183753</v>
      </c>
      <c r="E9">
        <v>0.16406595680432159</v>
      </c>
      <c r="F9">
        <v>0</v>
      </c>
    </row>
    <row r="10" spans="1:6">
      <c r="A10">
        <v>0.4</v>
      </c>
      <c r="B10">
        <v>0.95105651629515353</v>
      </c>
      <c r="C10">
        <v>0.85272806891712616</v>
      </c>
      <c r="D10">
        <v>0.43448222524111429</v>
      </c>
      <c r="E10">
        <v>0.19238105965318772</v>
      </c>
    </row>
    <row r="11" spans="1:6">
      <c r="A11">
        <v>0.45</v>
      </c>
      <c r="B11">
        <v>0.98768834059513777</v>
      </c>
      <c r="C11">
        <v>0.89024053839772443</v>
      </c>
      <c r="D11">
        <v>0.48409388751204396</v>
      </c>
      <c r="E11">
        <v>0.22208130591347755</v>
      </c>
    </row>
    <row r="12" spans="1:6">
      <c r="A12">
        <v>0.5</v>
      </c>
      <c r="B12">
        <v>1</v>
      </c>
      <c r="C12">
        <v>0.9059367111668849</v>
      </c>
      <c r="D12">
        <v>0.53161782275878533</v>
      </c>
      <c r="E12">
        <v>0.25322944765396255</v>
      </c>
    </row>
    <row r="13" spans="1:6">
      <c r="A13">
        <v>0.55000000000000004</v>
      </c>
      <c r="B13">
        <v>0.98768834059513766</v>
      </c>
      <c r="C13">
        <v>0.89957820407917866</v>
      </c>
      <c r="D13">
        <v>0.57716899931748245</v>
      </c>
      <c r="E13">
        <v>0.28589175770840181</v>
      </c>
    </row>
    <row r="14" spans="1:6">
      <c r="A14">
        <v>0.60000000000000009</v>
      </c>
      <c r="B14">
        <v>0.95105651629515353</v>
      </c>
      <c r="C14">
        <v>0.87173874921231376</v>
      </c>
      <c r="D14">
        <v>0.62102664893714576</v>
      </c>
      <c r="E14">
        <v>0.32013830292667977</v>
      </c>
    </row>
    <row r="15" spans="1:6">
      <c r="A15">
        <v>0.65</v>
      </c>
      <c r="B15">
        <v>0.8910065241883679</v>
      </c>
      <c r="C15">
        <v>0.82411183861319903</v>
      </c>
      <c r="D15">
        <v>0.66361539854373264</v>
      </c>
      <c r="E15">
        <v>0.35604323236771751</v>
      </c>
    </row>
    <row r="16" spans="1:6">
      <c r="A16">
        <v>0.70000000000000007</v>
      </c>
      <c r="B16">
        <v>0.80901699437494745</v>
      </c>
      <c r="C16">
        <v>0.76005460454645624</v>
      </c>
      <c r="D16">
        <v>0.7054762140470654</v>
      </c>
      <c r="E16">
        <v>0.3936850803423475</v>
      </c>
    </row>
    <row r="17" spans="1:5">
      <c r="A17">
        <v>0.75</v>
      </c>
      <c r="B17">
        <v>0.70710678118654757</v>
      </c>
      <c r="C17">
        <v>0.6853670018296345</v>
      </c>
      <c r="D17">
        <v>0.74722856217263467</v>
      </c>
      <c r="E17">
        <v>0.43314708416494824</v>
      </c>
    </row>
    <row r="18" spans="1:5">
      <c r="A18">
        <v>0.8</v>
      </c>
      <c r="B18">
        <v>0.58778525229247325</v>
      </c>
      <c r="C18">
        <v>0.60907297374719815</v>
      </c>
      <c r="D18">
        <v>0.78952588996593642</v>
      </c>
      <c r="E18">
        <v>0.47451751642714701</v>
      </c>
    </row>
    <row r="19" spans="1:5">
      <c r="A19">
        <v>0.85000000000000009</v>
      </c>
      <c r="B19">
        <v>0.45399049973954647</v>
      </c>
      <c r="C19">
        <v>0.54362892566144239</v>
      </c>
      <c r="D19">
        <v>0.83300712049178338</v>
      </c>
      <c r="E19">
        <v>0.51789003156621494</v>
      </c>
    </row>
    <row r="20" spans="1:5">
      <c r="A20">
        <v>0.9</v>
      </c>
      <c r="B20">
        <v>0.30901699437494751</v>
      </c>
      <c r="C20">
        <v>0.5038081646418533</v>
      </c>
      <c r="D20">
        <v>0.87824731367364151</v>
      </c>
      <c r="E20">
        <v>0.56336402646582606</v>
      </c>
    </row>
    <row r="21" spans="1:5">
      <c r="A21">
        <v>0.95000000000000007</v>
      </c>
      <c r="B21">
        <v>0.15643446504023098</v>
      </c>
      <c r="C21">
        <v>0.50390073946107194</v>
      </c>
      <c r="D21">
        <v>0.92571089687341757</v>
      </c>
      <c r="E21">
        <v>0.61104501479852924</v>
      </c>
    </row>
    <row r="22" spans="1:5">
      <c r="A22">
        <v>1</v>
      </c>
      <c r="B22">
        <v>0.206434465040231</v>
      </c>
      <c r="C22">
        <v>0.55390073946107199</v>
      </c>
      <c r="D22">
        <v>0.97571089687341761</v>
      </c>
      <c r="E22">
        <v>0.66104501479852928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A8CF3-C92D-F04F-876E-AF63A1735DAC}">
  <sheetPr codeName="Sheet3"/>
  <dimension ref="A1:G211"/>
  <sheetViews>
    <sheetView zoomScale="110" zoomScaleNormal="110" workbookViewId="0">
      <selection activeCell="D12" sqref="D12"/>
    </sheetView>
  </sheetViews>
  <sheetFormatPr baseColWidth="10" defaultRowHeight="16"/>
  <sheetData>
    <row r="1" spans="1:7">
      <c r="A1" s="5" t="s">
        <v>16</v>
      </c>
      <c r="B1" s="10">
        <v>13.1</v>
      </c>
    </row>
    <row r="2" spans="1:7">
      <c r="A2" s="5" t="s">
        <v>17</v>
      </c>
      <c r="B2" s="9">
        <v>0.94</v>
      </c>
    </row>
    <row r="3" spans="1:7">
      <c r="A3" s="5" t="s">
        <v>18</v>
      </c>
      <c r="B3" s="9">
        <v>1.71</v>
      </c>
    </row>
    <row r="4" spans="1:7">
      <c r="A4" s="5" t="s">
        <v>19</v>
      </c>
      <c r="B4" s="11">
        <v>5.0000000000000001E-3</v>
      </c>
    </row>
    <row r="5" spans="1:7">
      <c r="A5" s="5" t="s">
        <v>21</v>
      </c>
      <c r="B5" s="9">
        <v>0.03</v>
      </c>
    </row>
    <row r="6" spans="1:7">
      <c r="A6" s="5" t="s">
        <v>22</v>
      </c>
      <c r="B6" s="9">
        <v>0</v>
      </c>
    </row>
    <row r="7" spans="1:7">
      <c r="A7" s="5" t="s">
        <v>20</v>
      </c>
      <c r="B7" s="9">
        <v>1</v>
      </c>
    </row>
    <row r="9" spans="1:7">
      <c r="A9" s="13" t="s">
        <v>30</v>
      </c>
      <c r="B9" s="14"/>
      <c r="C9" s="14"/>
      <c r="E9" s="16" t="s">
        <v>29</v>
      </c>
      <c r="F9" s="17"/>
      <c r="G9" s="17"/>
    </row>
    <row r="10" spans="1:7">
      <c r="A10" s="15" t="s">
        <v>23</v>
      </c>
      <c r="B10" s="15" t="s">
        <v>24</v>
      </c>
      <c r="C10" s="15" t="s">
        <v>25</v>
      </c>
      <c r="E10" s="18" t="s">
        <v>26</v>
      </c>
      <c r="F10" s="18" t="s">
        <v>27</v>
      </c>
      <c r="G10" s="18" t="s">
        <v>28</v>
      </c>
    </row>
    <row r="11" spans="1:7">
      <c r="A11">
        <f>0</f>
        <v>0</v>
      </c>
      <c r="B11" s="9">
        <f>$B$5</f>
        <v>0.03</v>
      </c>
      <c r="C11" s="9">
        <f>$B$6</f>
        <v>0</v>
      </c>
      <c r="E11">
        <v>0</v>
      </c>
      <c r="F11">
        <v>0.03</v>
      </c>
      <c r="G11">
        <v>0</v>
      </c>
    </row>
    <row r="12" spans="1:7">
      <c r="A12" s="11">
        <f>A11 + $B$4</f>
        <v>5.0000000000000001E-3</v>
      </c>
      <c r="B12">
        <f>B11 + $B$4*( $B$1*B11 - ($B$1/$B$2)*B11^2 )</f>
        <v>3.1902287234042551E-2</v>
      </c>
      <c r="C12">
        <f>C11 + $B$4*( $B$3*B11 )</f>
        <v>2.565E-4</v>
      </c>
      <c r="E12">
        <v>5.0000000000000001E-3</v>
      </c>
      <c r="F12">
        <v>3.1960484474220743E-2</v>
      </c>
      <c r="G12">
        <v>2.6463227792553187E-4</v>
      </c>
    </row>
    <row r="13" spans="1:7">
      <c r="A13" s="11">
        <f t="shared" ref="A13:A76" si="0">A12 + $B$4</f>
        <v>0.01</v>
      </c>
      <c r="B13">
        <f t="shared" ref="B13:B76" si="1">B12 + $B$4*( $B$1*B12 - ($B$1/$B$2)*B12^2 )</f>
        <v>3.3920968948441488E-2</v>
      </c>
      <c r="C13">
        <f t="shared" ref="C13:C76" si="2">C12 + $B$4*( $B$3*B12 )</f>
        <v>5.2926455585106385E-4</v>
      </c>
      <c r="E13">
        <v>0.01</v>
      </c>
      <c r="F13">
        <v>3.4044301251944555E-2</v>
      </c>
      <c r="G13">
        <v>5.465394733310861E-4</v>
      </c>
    </row>
    <row r="14" spans="1:7">
      <c r="A14" s="11">
        <f t="shared" si="0"/>
        <v>1.4999999999999999E-2</v>
      </c>
      <c r="B14">
        <f t="shared" si="1"/>
        <v>3.606261538817794E-2</v>
      </c>
      <c r="C14">
        <f t="shared" si="2"/>
        <v>8.1928884036023848E-4</v>
      </c>
      <c r="E14">
        <v>1.4999999999999999E-2</v>
      </c>
      <c r="F14">
        <v>3.625856703645837E-2</v>
      </c>
      <c r="G14">
        <v>8.4680582518096268E-4</v>
      </c>
    </row>
    <row r="15" spans="1:7">
      <c r="A15" s="11">
        <f t="shared" si="0"/>
        <v>0.02</v>
      </c>
      <c r="B15">
        <f t="shared" si="1"/>
        <v>3.8334095897193346E-2</v>
      </c>
      <c r="C15">
        <f t="shared" si="2"/>
        <v>1.1276242019291598E-3</v>
      </c>
      <c r="E15">
        <v>0.02</v>
      </c>
      <c r="F15">
        <v>3.8610723352005917E-2</v>
      </c>
      <c r="G15">
        <v>1.1665777999567478E-3</v>
      </c>
    </row>
    <row r="16" spans="1:7">
      <c r="A16" s="11">
        <f t="shared" si="0"/>
        <v>2.5000000000000001E-2</v>
      </c>
      <c r="B16">
        <f t="shared" si="1"/>
        <v>4.0742582965171512E-2</v>
      </c>
      <c r="C16">
        <f t="shared" si="2"/>
        <v>1.455380721850163E-3</v>
      </c>
      <c r="E16">
        <v>2.5000000000000001E-2</v>
      </c>
      <c r="F16">
        <v>4.1108539613097711E-2</v>
      </c>
      <c r="G16">
        <v>1.5070668854666363E-3</v>
      </c>
    </row>
    <row r="17" spans="1:7">
      <c r="A17" s="11">
        <f t="shared" si="0"/>
        <v>3.0000000000000002E-2</v>
      </c>
      <c r="B17">
        <f t="shared" si="1"/>
        <v>4.3295554858574142E-2</v>
      </c>
      <c r="C17">
        <f t="shared" si="2"/>
        <v>1.8037298062023794E-3</v>
      </c>
      <c r="E17">
        <v>3.0000000000000002E-2</v>
      </c>
      <c r="F17">
        <v>4.3760114342380488E-2</v>
      </c>
      <c r="G17">
        <v>1.869552403583572E-3</v>
      </c>
    </row>
    <row r="18" spans="1:7">
      <c r="A18" s="11">
        <f t="shared" si="0"/>
        <v>3.5000000000000003E-2</v>
      </c>
      <c r="B18">
        <f t="shared" si="1"/>
        <v>4.600079659317402E-2</v>
      </c>
      <c r="C18">
        <f t="shared" si="2"/>
        <v>2.1739068002431883E-3</v>
      </c>
      <c r="E18">
        <v>3.5000000000000003E-2</v>
      </c>
      <c r="F18">
        <v>4.6573874232801557E-2</v>
      </c>
      <c r="G18">
        <v>2.2553843248379257E-3</v>
      </c>
    </row>
    <row r="19" spans="1:7">
      <c r="A19" s="11">
        <f t="shared" si="0"/>
        <v>0.04</v>
      </c>
      <c r="B19">
        <f t="shared" si="1"/>
        <v>4.886639898246093E-2</v>
      </c>
      <c r="C19">
        <f t="shared" si="2"/>
        <v>2.5672136111148263E-3</v>
      </c>
      <c r="E19">
        <v>0.04</v>
      </c>
      <c r="F19">
        <v>4.9558570723074589E-2</v>
      </c>
      <c r="G19">
        <v>2.6659860650751119E-3</v>
      </c>
    </row>
    <row r="20" spans="1:7">
      <c r="A20" s="11">
        <f t="shared" si="0"/>
        <v>4.4999999999999998E-2</v>
      </c>
      <c r="B20">
        <f t="shared" si="1"/>
        <v>5.1900755473053499E-2</v>
      </c>
      <c r="C20">
        <f t="shared" si="2"/>
        <v>2.9850213224148674E-3</v>
      </c>
      <c r="E20">
        <v>4.4999999999999998E-2</v>
      </c>
      <c r="F20">
        <v>5.272327372894766E-2</v>
      </c>
      <c r="G20">
        <v>3.1028572414445042E-3</v>
      </c>
    </row>
    <row r="21" spans="1:7">
      <c r="A21" s="11">
        <f t="shared" si="0"/>
        <v>4.9999999999999996E-2</v>
      </c>
      <c r="B21">
        <f t="shared" si="1"/>
        <v>5.5112556455024539E-2</v>
      </c>
      <c r="C21">
        <f t="shared" si="2"/>
        <v>3.428772781709475E-3</v>
      </c>
      <c r="E21">
        <v>4.9999999999999996E-2</v>
      </c>
      <c r="F21">
        <v>5.6077362147128454E-2</v>
      </c>
      <c r="G21">
        <v>3.5675763618176187E-3</v>
      </c>
    </row>
    <row r="22" spans="1:7">
      <c r="A22" s="11">
        <f t="shared" si="0"/>
        <v>5.4999999999999993E-2</v>
      </c>
      <c r="B22">
        <f t="shared" si="1"/>
        <v>5.8510780712323282E-2</v>
      </c>
      <c r="C22">
        <f t="shared" si="2"/>
        <v>3.8999851393999346E-3</v>
      </c>
      <c r="E22">
        <v>5.4999999999999993E-2</v>
      </c>
      <c r="F22">
        <v>5.9630510724712413E-2</v>
      </c>
      <c r="G22">
        <v>4.0618034183511429E-3</v>
      </c>
    </row>
    <row r="23" spans="1:7">
      <c r="A23" s="11">
        <f t="shared" si="0"/>
        <v>5.9999999999999991E-2</v>
      </c>
      <c r="B23">
        <f t="shared" si="1"/>
        <v>6.2104683656851151E-2</v>
      </c>
      <c r="C23">
        <f t="shared" si="2"/>
        <v>4.4002523144902987E-3</v>
      </c>
      <c r="E23">
        <v>5.9999999999999991E-2</v>
      </c>
      <c r="F23">
        <v>6.3392672865517613E-2</v>
      </c>
      <c r="G23">
        <v>4.5872823523316593E-3</v>
      </c>
    </row>
    <row r="24" spans="1:7">
      <c r="A24" s="11">
        <f t="shared" si="0"/>
        <v>6.4999999999999988E-2</v>
      </c>
      <c r="B24">
        <f t="shared" si="1"/>
        <v>6.5903781969934794E-2</v>
      </c>
      <c r="C24">
        <f t="shared" si="2"/>
        <v>4.9312473597563763E-3</v>
      </c>
      <c r="E24">
        <v>6.4999999999999988E-2</v>
      </c>
      <c r="F24">
        <v>6.7374058926950559E-2</v>
      </c>
      <c r="G24">
        <v>5.1458433536901048E-3</v>
      </c>
    </row>
    <row r="25" spans="1:7">
      <c r="A25" s="11">
        <f t="shared" si="0"/>
        <v>6.9999999999999993E-2</v>
      </c>
      <c r="B25">
        <f t="shared" si="1"/>
        <v>6.9917834257789871E-2</v>
      </c>
      <c r="C25">
        <f t="shared" si="2"/>
        <v>5.4947246955993189E-3</v>
      </c>
      <c r="E25">
        <v>6.9999999999999993E-2</v>
      </c>
      <c r="F25">
        <v>7.1585109548177761E-2</v>
      </c>
      <c r="G25">
        <v>5.739404954691496E-3</v>
      </c>
    </row>
    <row r="26" spans="1:7">
      <c r="A26" s="11">
        <f t="shared" si="0"/>
        <v>7.4999999999999997E-2</v>
      </c>
      <c r="B26">
        <f t="shared" si="1"/>
        <v>7.4156817314070714E-2</v>
      </c>
      <c r="C26">
        <f t="shared" si="2"/>
        <v>6.0925221785034225E-3</v>
      </c>
      <c r="E26">
        <v>7.4999999999999997E-2</v>
      </c>
      <c r="F26">
        <v>7.6036463543903712E-2</v>
      </c>
      <c r="G26">
        <v>6.3699758733371838E-3</v>
      </c>
    </row>
    <row r="27" spans="1:7">
      <c r="A27" s="11">
        <f t="shared" si="0"/>
        <v>0.08</v>
      </c>
      <c r="B27">
        <f t="shared" si="1"/>
        <v>7.8630897573890232E-2</v>
      </c>
      <c r="C27">
        <f t="shared" si="2"/>
        <v>6.7265629665387268E-3</v>
      </c>
      <c r="E27">
        <v>0.08</v>
      </c>
      <c r="F27">
        <v>8.0738919899572978E-2</v>
      </c>
      <c r="G27">
        <v>7.0396565580239335E-3</v>
      </c>
    </row>
    <row r="28" spans="1:7">
      <c r="A28" s="11">
        <f t="shared" si="0"/>
        <v>8.5000000000000006E-2</v>
      </c>
      <c r="B28">
        <f t="shared" si="1"/>
        <v>8.3350397341054983E-2</v>
      </c>
      <c r="C28">
        <f t="shared" si="2"/>
        <v>7.3988571407954881E-3</v>
      </c>
      <c r="E28">
        <v>8.5000000000000006E-2</v>
      </c>
      <c r="F28">
        <v>8.5703393415100512E-2</v>
      </c>
      <c r="G28">
        <v>7.7506403810620669E-3</v>
      </c>
    </row>
    <row r="29" spans="1:7">
      <c r="A29" s="11">
        <f t="shared" si="0"/>
        <v>9.0000000000000011E-2</v>
      </c>
      <c r="B29">
        <f t="shared" si="1"/>
        <v>8.8325755375119913E-2</v>
      </c>
      <c r="C29">
        <f t="shared" si="2"/>
        <v>8.1115030380615079E-3</v>
      </c>
      <c r="E29">
        <v>9.0000000000000011E-2</v>
      </c>
      <c r="F29">
        <v>9.094086356720528E-2</v>
      </c>
      <c r="G29">
        <v>8.5052144248551446E-3</v>
      </c>
    </row>
    <row r="30" spans="1:7">
      <c r="A30" s="11">
        <f t="shared" si="0"/>
        <v>9.5000000000000015E-2</v>
      </c>
      <c r="B30">
        <f t="shared" si="1"/>
        <v>9.3567481438786695E-2</v>
      </c>
      <c r="C30">
        <f t="shared" si="2"/>
        <v>8.8666882465187839E-3</v>
      </c>
      <c r="E30">
        <v>9.5000000000000015E-2</v>
      </c>
      <c r="F30">
        <v>9.6462316197093792E-2</v>
      </c>
      <c r="G30">
        <v>9.3057598009945904E-3</v>
      </c>
    </row>
    <row r="31" spans="1:7">
      <c r="A31" s="11">
        <f t="shared" si="0"/>
        <v>0.10000000000000002</v>
      </c>
      <c r="B31">
        <f t="shared" si="1"/>
        <v>9.9086104430821637E-2</v>
      </c>
      <c r="C31">
        <f t="shared" si="2"/>
        <v>9.6666902128204092E-3</v>
      </c>
      <c r="E31">
        <v>0.10000000000000002</v>
      </c>
      <c r="F31">
        <v>0.10227867768267788</v>
      </c>
      <c r="G31">
        <v>1.0154751439350114E-2</v>
      </c>
    </row>
    <row r="32" spans="1:7">
      <c r="A32" s="11">
        <f t="shared" si="0"/>
        <v>0.10500000000000002</v>
      </c>
      <c r="B32">
        <f t="shared" si="1"/>
        <v>0.10489211376680795</v>
      </c>
      <c r="C32">
        <f t="shared" si="2"/>
        <v>1.0513876405703934E-2</v>
      </c>
      <c r="E32">
        <v>0.10500000000000002</v>
      </c>
      <c r="F32">
        <v>0.10840074132476044</v>
      </c>
      <c r="G32">
        <v>1.1054757281584414E-2</v>
      </c>
    </row>
    <row r="33" spans="1:7">
      <c r="A33" s="11">
        <f t="shared" si="0"/>
        <v>0.11000000000000003</v>
      </c>
      <c r="B33">
        <f t="shared" si="1"/>
        <v>0.11099589372146396</v>
      </c>
      <c r="C33">
        <f t="shared" si="2"/>
        <v>1.1410703978410142E-2</v>
      </c>
      <c r="E33">
        <v>0.11000000000000003</v>
      </c>
      <c r="F33">
        <v>0.11483908576661706</v>
      </c>
      <c r="G33">
        <v>1.200843681154925E-2</v>
      </c>
    </row>
    <row r="34" spans="1:7">
      <c r="A34" s="11">
        <f t="shared" si="0"/>
        <v>0.11500000000000003</v>
      </c>
      <c r="B34">
        <f t="shared" si="1"/>
        <v>0.11740765051372172</v>
      </c>
      <c r="C34">
        <f t="shared" si="2"/>
        <v>1.2359718869728659E-2</v>
      </c>
      <c r="E34">
        <v>0.11500000000000003</v>
      </c>
      <c r="F34">
        <v>0.12160398537785522</v>
      </c>
      <c r="G34">
        <v>1.3018538853906291E-2</v>
      </c>
    </row>
    <row r="35" spans="1:7">
      <c r="A35" s="11">
        <f t="shared" si="0"/>
        <v>0.12000000000000004</v>
      </c>
      <c r="B35">
        <f t="shared" si="1"/>
        <v>0.12413733200094021</v>
      </c>
      <c r="C35">
        <f t="shared" si="2"/>
        <v>1.336355428162098E-2</v>
      </c>
      <c r="E35">
        <v>0.12000000000000004</v>
      </c>
      <c r="F35">
        <v>0.12870531266770335</v>
      </c>
      <c r="G35">
        <v>1.4087898572250172E-2</v>
      </c>
    </row>
    <row r="36" spans="1:7">
      <c r="A36" s="11">
        <f t="shared" si="0"/>
        <v>0.12500000000000003</v>
      </c>
      <c r="B36">
        <f t="shared" si="1"/>
        <v>0.13119453995300348</v>
      </c>
      <c r="C36">
        <f t="shared" si="2"/>
        <v>1.4424928470229019E-2</v>
      </c>
      <c r="E36">
        <v>0.12500000000000003</v>
      </c>
      <c r="F36">
        <v>0.13615243295082743</v>
      </c>
      <c r="G36">
        <v>1.5219433599192924E-2</v>
      </c>
    </row>
    <row r="37" spans="1:7">
      <c r="A37" s="11">
        <f t="shared" si="0"/>
        <v>0.13000000000000003</v>
      </c>
      <c r="B37">
        <f t="shared" si="1"/>
        <v>0.13858843500180504</v>
      </c>
      <c r="C37">
        <f t="shared" si="2"/>
        <v>1.5546641786827199E-2</v>
      </c>
      <c r="E37">
        <v>0.13000000000000003</v>
      </c>
      <c r="F37">
        <v>0.14395409167057063</v>
      </c>
      <c r="G37">
        <v>1.6416139233502946E-2</v>
      </c>
    </row>
    <row r="38" spans="1:7">
      <c r="A38" s="11">
        <f t="shared" si="0"/>
        <v>0.13500000000000004</v>
      </c>
      <c r="B38">
        <f t="shared" si="1"/>
        <v>0.14632763450749312</v>
      </c>
      <c r="C38">
        <f t="shared" si="2"/>
        <v>1.6731572906092632E-2</v>
      </c>
      <c r="E38">
        <v>0.13500000000000004</v>
      </c>
      <c r="F38">
        <v>0.15211829498949175</v>
      </c>
      <c r="G38">
        <v>1.7681082643681088E-2</v>
      </c>
    </row>
    <row r="39" spans="1:7">
      <c r="A39" s="11">
        <f t="shared" si="0"/>
        <v>0.14000000000000004</v>
      </c>
      <c r="B39">
        <f t="shared" si="1"/>
        <v>0.1544201037500248</v>
      </c>
      <c r="C39">
        <f t="shared" si="2"/>
        <v>1.7982674181131697E-2</v>
      </c>
      <c r="E39">
        <v>0.14000000000000004</v>
      </c>
      <c r="F39">
        <v>0.16065218448352789</v>
      </c>
      <c r="G39">
        <v>1.9017396023494181E-2</v>
      </c>
    </row>
    <row r="40" spans="1:7">
      <c r="A40" s="11">
        <f t="shared" si="0"/>
        <v>0.14500000000000005</v>
      </c>
      <c r="B40">
        <f t="shared" si="1"/>
        <v>0.16287304104250033</v>
      </c>
      <c r="C40">
        <f t="shared" si="2"/>
        <v>1.930296606819441E-2</v>
      </c>
      <c r="E40">
        <v>0.14500000000000005</v>
      </c>
      <c r="F40">
        <v>0.16956190702110113</v>
      </c>
      <c r="G40">
        <v>2.0428268653146394E-2</v>
      </c>
    </row>
    <row r="41" spans="1:7">
      <c r="A41" s="11">
        <f t="shared" si="0"/>
        <v>0.15000000000000005</v>
      </c>
      <c r="B41">
        <f t="shared" si="1"/>
        <v>0.17169275756998911</v>
      </c>
      <c r="C41">
        <f t="shared" si="2"/>
        <v>2.0695530569107789E-2</v>
      </c>
      <c r="E41">
        <v>0.15000000000000005</v>
      </c>
      <c r="F41">
        <v>0.17885248116773211</v>
      </c>
      <c r="G41">
        <v>2.1916937830094171E-2</v>
      </c>
    </row>
    <row r="42" spans="1:7">
      <c r="A42" s="11">
        <f t="shared" si="0"/>
        <v>0.15500000000000005</v>
      </c>
      <c r="B42">
        <f t="shared" si="1"/>
        <v>0.18088455298164238</v>
      </c>
      <c r="C42">
        <f t="shared" si="2"/>
        <v>2.2163503646331194E-2</v>
      </c>
      <c r="E42">
        <v>0.15500000000000005</v>
      </c>
      <c r="F42">
        <v>0.18852766172442731</v>
      </c>
      <c r="G42">
        <v>2.3486678646101489E-2</v>
      </c>
    </row>
    <row r="43" spans="1:7">
      <c r="A43" s="11">
        <f t="shared" si="0"/>
        <v>0.16000000000000006</v>
      </c>
      <c r="B43">
        <f t="shared" si="1"/>
        <v>0.19045258800116055</v>
      </c>
      <c r="C43">
        <f t="shared" si="2"/>
        <v>2.3710066574324236E-2</v>
      </c>
      <c r="E43">
        <v>0.16000000000000006</v>
      </c>
      <c r="F43">
        <v>0.19858980427693199</v>
      </c>
      <c r="G43">
        <v>2.5140792602033134E-2</v>
      </c>
    </row>
    <row r="44" spans="1:7">
      <c r="A44" s="11">
        <f t="shared" si="0"/>
        <v>0.16500000000000006</v>
      </c>
      <c r="B44">
        <f t="shared" si="1"/>
        <v>0.20039975556619374</v>
      </c>
      <c r="C44">
        <f t="shared" si="2"/>
        <v>2.533843620173416E-2</v>
      </c>
      <c r="E44">
        <v>0.16500000000000006</v>
      </c>
      <c r="F44">
        <v>0.20903973189400488</v>
      </c>
      <c r="G44">
        <v>2.6882595069069454E-2</v>
      </c>
    </row>
    <row r="45" spans="1:7">
      <c r="A45" s="11">
        <f t="shared" si="0"/>
        <v>0.17000000000000007</v>
      </c>
      <c r="B45">
        <f t="shared" si="1"/>
        <v>0.21072755225468384</v>
      </c>
      <c r="C45">
        <f t="shared" si="2"/>
        <v>2.7051854111825115E-2</v>
      </c>
      <c r="E45">
        <v>0.17000000000000007</v>
      </c>
      <c r="F45">
        <v>0.21987660635585216</v>
      </c>
      <c r="G45">
        <v>2.8715401624389094E-2</v>
      </c>
    </row>
    <row r="46" spans="1:7">
      <c r="A46" s="11">
        <f t="shared" si="0"/>
        <v>0.17500000000000007</v>
      </c>
      <c r="B46">
        <f t="shared" si="1"/>
        <v>0.22143595199780083</v>
      </c>
      <c r="C46">
        <f t="shared" si="2"/>
        <v>2.885357468360266E-2</v>
      </c>
      <c r="E46">
        <v>0.17500000000000007</v>
      </c>
      <c r="F46">
        <v>0.23109780650722139</v>
      </c>
      <c r="G46">
        <v>3.0642513310705183E-2</v>
      </c>
    </row>
    <row r="47" spans="1:7">
      <c r="A47" s="11">
        <f t="shared" si="0"/>
        <v>0.18000000000000008</v>
      </c>
      <c r="B47">
        <f t="shared" si="1"/>
        <v>0.2325232843059602</v>
      </c>
      <c r="C47">
        <f t="shared" si="2"/>
        <v>3.0746852073183856E-2</v>
      </c>
      <c r="E47">
        <v>0.18000000000000008</v>
      </c>
      <c r="F47">
        <v>0.24269881650098274</v>
      </c>
      <c r="G47">
        <v>3.2667200892050635E-2</v>
      </c>
    </row>
    <row r="48" spans="1:7">
      <c r="A48" s="11">
        <f t="shared" si="0"/>
        <v>0.18500000000000008</v>
      </c>
      <c r="B48">
        <f t="shared" si="1"/>
        <v>0.24398611943623444</v>
      </c>
      <c r="C48">
        <f t="shared" si="2"/>
        <v>3.2734926153999817E-2</v>
      </c>
      <c r="E48">
        <v>0.18500000000000008</v>
      </c>
      <c r="F48">
        <v>0.25467312681449739</v>
      </c>
      <c r="G48">
        <v>3.4792688202476094E-2</v>
      </c>
    </row>
    <row r="49" spans="1:7">
      <c r="A49" s="11">
        <f t="shared" si="0"/>
        <v>0.19000000000000009</v>
      </c>
      <c r="B49">
        <f t="shared" si="1"/>
        <v>0.25581916309518049</v>
      </c>
      <c r="C49">
        <f t="shared" si="2"/>
        <v>3.4821007475179619E-2</v>
      </c>
      <c r="E49">
        <v>0.19000000000000009</v>
      </c>
      <c r="F49">
        <v>0.26701215097006675</v>
      </c>
      <c r="G49">
        <v>3.7022134709325985E-2</v>
      </c>
    </row>
    <row r="50" spans="1:7">
      <c r="A50" s="11">
        <f t="shared" si="0"/>
        <v>0.19500000000000009</v>
      </c>
      <c r="B50">
        <f t="shared" si="1"/>
        <v>0.26801516338904241</v>
      </c>
      <c r="C50">
        <f t="shared" si="2"/>
        <v>3.700826131964341E-2</v>
      </c>
      <c r="E50">
        <v>0.19500000000000009</v>
      </c>
      <c r="F50">
        <v>0.27970516086055663</v>
      </c>
      <c r="G50">
        <v>3.935861743786484E-2</v>
      </c>
    </row>
    <row r="51" spans="1:7">
      <c r="A51" s="11">
        <f t="shared" si="0"/>
        <v>0.20000000000000009</v>
      </c>
      <c r="B51">
        <f t="shared" si="1"/>
        <v>0.2805648327917451</v>
      </c>
      <c r="C51">
        <f t="shared" si="2"/>
        <v>3.9299790966619723E-2</v>
      </c>
      <c r="E51">
        <v>0.20000000000000009</v>
      </c>
      <c r="F51">
        <v>0.29273924346188412</v>
      </c>
      <c r="G51">
        <v>4.1805112428513619E-2</v>
      </c>
    </row>
    <row r="52" spans="1:7">
      <c r="A52" s="11">
        <f t="shared" si="0"/>
        <v>0.2050000000000001</v>
      </c>
      <c r="B52">
        <f t="shared" si="1"/>
        <v>0.29345678788889734</v>
      </c>
      <c r="C52">
        <f t="shared" si="2"/>
        <v>4.1698620286989146E-2</v>
      </c>
      <c r="E52">
        <v>0.2050000000000001</v>
      </c>
      <c r="F52">
        <v>0.30609928149797239</v>
      </c>
      <c r="G52">
        <v>4.4364475921023827E-2</v>
      </c>
    </row>
    <row r="53" spans="1:7">
      <c r="A53" s="11">
        <f t="shared" si="0"/>
        <v>0.2100000000000001</v>
      </c>
      <c r="B53">
        <f t="shared" si="1"/>
        <v>0.30667750956322276</v>
      </c>
      <c r="C53">
        <f t="shared" si="2"/>
        <v>4.4207675823439221E-2</v>
      </c>
      <c r="E53">
        <v>0.2100000000000001</v>
      </c>
      <c r="F53">
        <v>0.31976796030690807</v>
      </c>
      <c r="G53">
        <v>4.7039425480714256E-2</v>
      </c>
    </row>
    <row r="54" spans="1:7">
      <c r="A54" s="11">
        <f t="shared" si="0"/>
        <v>0.21500000000000011</v>
      </c>
      <c r="B54">
        <f t="shared" si="1"/>
        <v>0.32021132610545483</v>
      </c>
      <c r="C54">
        <f t="shared" si="2"/>
        <v>4.6829768530204777E-2</v>
      </c>
      <c r="E54">
        <v>0.21500000000000011</v>
      </c>
      <c r="F54">
        <v>0.33372580273937946</v>
      </c>
      <c r="G54">
        <v>4.9832521299550112E-2</v>
      </c>
    </row>
    <row r="55" spans="1:7">
      <c r="A55" s="11">
        <f t="shared" si="0"/>
        <v>0.22000000000000011</v>
      </c>
      <c r="B55">
        <f t="shared" si="1"/>
        <v>0.33404042145952489</v>
      </c>
      <c r="C55">
        <f t="shared" si="2"/>
        <v>4.9567575368406412E-2</v>
      </c>
      <c r="E55">
        <v>0.22000000000000011</v>
      </c>
      <c r="F55">
        <v>0.34795123340672018</v>
      </c>
      <c r="G55">
        <v>5.2746147918505702E-2</v>
      </c>
    </row>
    <row r="56" spans="1:7">
      <c r="A56" s="11">
        <f t="shared" si="0"/>
        <v>0.22500000000000012</v>
      </c>
      <c r="B56">
        <f t="shared" si="1"/>
        <v>0.34814487044005982</v>
      </c>
      <c r="C56">
        <f t="shared" si="2"/>
        <v>5.2423620971885347E-2</v>
      </c>
      <c r="E56">
        <v>0.22500000000000012</v>
      </c>
      <c r="F56">
        <v>0.36242067299580039</v>
      </c>
      <c r="G56">
        <v>5.5782496626528573E-2</v>
      </c>
    </row>
    <row r="57" spans="1:7">
      <c r="A57" s="11">
        <f t="shared" si="0"/>
        <v>0.23000000000000012</v>
      </c>
      <c r="B57">
        <f t="shared" si="1"/>
        <v>0.36250270229611881</v>
      </c>
      <c r="C57">
        <f t="shared" si="2"/>
        <v>5.5400259614147858E-2</v>
      </c>
      <c r="E57">
        <v>0.23000000000000012</v>
      </c>
      <c r="F57">
        <v>0.37710866269649762</v>
      </c>
      <c r="G57">
        <v>5.8943548794829874E-2</v>
      </c>
    </row>
    <row r="58" spans="1:7">
      <c r="A58" s="11">
        <f t="shared" si="0"/>
        <v>0.23500000000000013</v>
      </c>
      <c r="B58">
        <f t="shared" si="1"/>
        <v>0.37708999344463667</v>
      </c>
      <c r="C58">
        <f t="shared" si="2"/>
        <v>5.8499657718779671E-2</v>
      </c>
      <c r="E58">
        <v>0.23500000000000013</v>
      </c>
      <c r="F58">
        <v>0.39198801806434591</v>
      </c>
      <c r="G58">
        <v>6.2231060402626527E-2</v>
      </c>
    </row>
    <row r="59" spans="1:7">
      <c r="A59" s="11">
        <f t="shared" si="0"/>
        <v>0.24000000000000013</v>
      </c>
      <c r="B59">
        <f t="shared" si="1"/>
        <v>0.39188098957193807</v>
      </c>
      <c r="C59">
        <f t="shared" si="2"/>
        <v>6.1723777162731315E-2</v>
      </c>
      <c r="E59">
        <v>0.24000000000000013</v>
      </c>
      <c r="F59">
        <v>0.4070300108902799</v>
      </c>
      <c r="G59">
        <v>6.5646548001508057E-2</v>
      </c>
    </row>
    <row r="60" spans="1:7">
      <c r="A60" s="11">
        <f t="shared" si="0"/>
        <v>0.24500000000000013</v>
      </c>
      <c r="B60">
        <f t="shared" si="1"/>
        <v>0.40684825661846785</v>
      </c>
      <c r="C60">
        <f t="shared" si="2"/>
        <v>6.5074359623571387E-2</v>
      </c>
      <c r="E60">
        <v>0.24500000000000013</v>
      </c>
      <c r="F60">
        <v>0.42220457689854296</v>
      </c>
      <c r="G60">
        <v>6.9191276350169723E-2</v>
      </c>
    </row>
    <row r="61" spans="1:7">
      <c r="A61" s="11">
        <f t="shared" si="0"/>
        <v>0.25000000000000011</v>
      </c>
      <c r="B61">
        <f t="shared" si="1"/>
        <v>0.42196285944151646</v>
      </c>
      <c r="C61">
        <f t="shared" si="2"/>
        <v>6.8552912217659287E-2</v>
      </c>
      <c r="E61">
        <v>0.25000000000000011</v>
      </c>
      <c r="F61">
        <v>0.43748054637220285</v>
      </c>
      <c r="G61">
        <v>7.2866247929464528E-2</v>
      </c>
    </row>
    <row r="62" spans="1:7">
      <c r="A62" s="11">
        <f t="shared" si="0"/>
        <v>0.25500000000000012</v>
      </c>
      <c r="B62">
        <f t="shared" si="1"/>
        <v>0.43719456621791664</v>
      </c>
      <c r="C62">
        <f t="shared" si="2"/>
        <v>7.2160694665884248E-2</v>
      </c>
      <c r="E62">
        <v>0.25500000000000012</v>
      </c>
      <c r="F62">
        <v>0.45282589414318247</v>
      </c>
      <c r="G62">
        <v>7.6672194519956521E-2</v>
      </c>
    </row>
    <row r="63" spans="1:7">
      <c r="A63" s="11">
        <f t="shared" si="0"/>
        <v>0.26000000000000012</v>
      </c>
      <c r="B63">
        <f t="shared" si="1"/>
        <v>0.45251207593088599</v>
      </c>
      <c r="C63">
        <f t="shared" si="2"/>
        <v>7.589870820704743E-2</v>
      </c>
      <c r="E63">
        <v>0.26000000000000012</v>
      </c>
      <c r="F63">
        <v>0.46820800480890185</v>
      </c>
      <c r="G63">
        <v>8.0609570991037938E-2</v>
      </c>
    </row>
    <row r="64" spans="1:7">
      <c r="A64" s="11">
        <f t="shared" si="0"/>
        <v>0.26500000000000012</v>
      </c>
      <c r="B64">
        <f t="shared" si="1"/>
        <v>0.46788326561122623</v>
      </c>
      <c r="C64">
        <f t="shared" si="2"/>
        <v>7.9767686456256509E-2</v>
      </c>
      <c r="E64">
        <v>0.26500000000000012</v>
      </c>
      <c r="F64">
        <v>0.48359394857625254</v>
      </c>
      <c r="G64">
        <v>8.467855141306975E-2</v>
      </c>
    </row>
    <row r="65" spans="1:7">
      <c r="A65" s="11">
        <f t="shared" si="0"/>
        <v>0.27000000000000013</v>
      </c>
      <c r="B65">
        <f t="shared" si="1"/>
        <v>0.48327545340168054</v>
      </c>
      <c r="C65">
        <f t="shared" si="2"/>
        <v>8.3768088377232486E-2</v>
      </c>
      <c r="E65">
        <v>0.27000000000000013</v>
      </c>
      <c r="F65">
        <v>0.4989507628068508</v>
      </c>
      <c r="G65">
        <v>8.8879027562989737E-2</v>
      </c>
    </row>
    <row r="66" spans="1:7">
      <c r="A66" s="11">
        <f t="shared" si="0"/>
        <v>0.27500000000000013</v>
      </c>
      <c r="B66">
        <f t="shared" si="1"/>
        <v>0.49865567301133179</v>
      </c>
      <c r="C66">
        <f t="shared" si="2"/>
        <v>8.7900093503816862E-2</v>
      </c>
      <c r="E66">
        <v>0.27500000000000013</v>
      </c>
      <c r="F66">
        <v>0.51424573416060471</v>
      </c>
      <c r="G66">
        <v>9.3210609850633397E-2</v>
      </c>
    </row>
    <row r="67" spans="1:7">
      <c r="A67" s="11">
        <f t="shared" si="0"/>
        <v>0.28000000000000014</v>
      </c>
      <c r="B67">
        <f t="shared" si="1"/>
        <v>0.51399095474801215</v>
      </c>
      <c r="C67">
        <f t="shared" si="2"/>
        <v>9.2163599508063743E-2</v>
      </c>
      <c r="E67">
        <v>0.28000000000000014</v>
      </c>
      <c r="F67">
        <v>0.52944667621593844</v>
      </c>
      <c r="G67">
        <v>9.767263064896331E-2</v>
      </c>
    </row>
    <row r="68" spans="1:7">
      <c r="A68" s="11">
        <f t="shared" si="0"/>
        <v>0.28500000000000014</v>
      </c>
      <c r="B68">
        <f t="shared" si="1"/>
        <v>0.52924860807936691</v>
      </c>
      <c r="C68">
        <f t="shared" si="2"/>
        <v>9.6558222171159253E-2</v>
      </c>
      <c r="E68">
        <v>0.28500000000000014</v>
      </c>
      <c r="F68">
        <v>0.54452219758543607</v>
      </c>
      <c r="G68">
        <v>0.10226414996787393</v>
      </c>
    </row>
    <row r="69" spans="1:7">
      <c r="A69" s="11">
        <f t="shared" si="0"/>
        <v>0.29000000000000015</v>
      </c>
      <c r="B69">
        <f t="shared" si="1"/>
        <v>0.54439650058985956</v>
      </c>
      <c r="C69">
        <f t="shared" si="2"/>
        <v>0.10108329777023783</v>
      </c>
      <c r="E69">
        <v>0.29000000000000015</v>
      </c>
      <c r="F69">
        <v>0.55944195583855849</v>
      </c>
      <c r="G69">
        <v>0.10698396336957973</v>
      </c>
    </row>
    <row r="70" spans="1:7">
      <c r="A70" s="11">
        <f t="shared" si="0"/>
        <v>0.29500000000000015</v>
      </c>
      <c r="B70">
        <f t="shared" si="1"/>
        <v>0.55940332827693284</v>
      </c>
      <c r="C70">
        <f t="shared" si="2"/>
        <v>0.10573788785028114</v>
      </c>
      <c r="E70">
        <v>0.29500000000000015</v>
      </c>
      <c r="F70">
        <v>0.57417689297474339</v>
      </c>
      <c r="G70">
        <v>0.11183061198506507</v>
      </c>
    </row>
    <row r="71" spans="1:7">
      <c r="A71" s="11">
        <f t="shared" si="0"/>
        <v>0.30000000000000016</v>
      </c>
      <c r="B71">
        <f t="shared" si="1"/>
        <v>0.57423887236256255</v>
      </c>
      <c r="C71">
        <f t="shared" si="2"/>
        <v>0.11052078630704891</v>
      </c>
      <c r="E71">
        <v>0.30000000000000016</v>
      </c>
      <c r="F71">
        <v>0.58869944874071412</v>
      </c>
      <c r="G71">
        <v>0.11680239445678776</v>
      </c>
    </row>
    <row r="72" spans="1:7">
      <c r="A72" s="11">
        <f t="shared" si="0"/>
        <v>0.30500000000000016</v>
      </c>
      <c r="B72">
        <f t="shared" si="1"/>
        <v>0.58887423817692641</v>
      </c>
      <c r="C72">
        <f t="shared" si="2"/>
        <v>0.11543052866574882</v>
      </c>
      <c r="E72">
        <v>0.30500000000000016</v>
      </c>
      <c r="F72">
        <v>0.60298374873042904</v>
      </c>
      <c r="G72">
        <v>0.1218973806037057</v>
      </c>
    </row>
    <row r="73" spans="1:7">
      <c r="A73" s="11">
        <f t="shared" si="0"/>
        <v>0.31000000000000016</v>
      </c>
      <c r="B73">
        <f t="shared" si="1"/>
        <v>0.60328207218236207</v>
      </c>
      <c r="C73">
        <f t="shared" si="2"/>
        <v>0.12046540340216154</v>
      </c>
      <c r="E73">
        <v>0.31000000000000016</v>
      </c>
      <c r="F73">
        <v>0.61700576491667636</v>
      </c>
      <c r="G73">
        <v>0.1271134265814276</v>
      </c>
    </row>
    <row r="74" spans="1:7">
      <c r="A74" s="11">
        <f t="shared" si="0"/>
        <v>0.31500000000000017</v>
      </c>
      <c r="B74">
        <f t="shared" si="1"/>
        <v>0.61743675382584906</v>
      </c>
      <c r="C74">
        <f t="shared" si="2"/>
        <v>0.12562346511932074</v>
      </c>
      <c r="E74">
        <v>0.31500000000000017</v>
      </c>
      <c r="F74">
        <v>0.63074344701013407</v>
      </c>
      <c r="G74">
        <v>0.13244819129331525</v>
      </c>
    </row>
    <row r="75" spans="1:7">
      <c r="A75" s="11">
        <f t="shared" si="0"/>
        <v>0.32000000000000017</v>
      </c>
      <c r="B75">
        <f t="shared" si="1"/>
        <v>0.63131455961009897</v>
      </c>
      <c r="C75">
        <f t="shared" si="2"/>
        <v>0.13090254936453175</v>
      </c>
      <c r="E75">
        <v>0.32000000000000017</v>
      </c>
      <c r="F75">
        <v>0.64417682379510488</v>
      </c>
      <c r="G75">
        <v>0.13789915379786619</v>
      </c>
    </row>
    <row r="76" spans="1:7">
      <c r="A76" s="11">
        <f t="shared" si="0"/>
        <v>0.32500000000000018</v>
      </c>
      <c r="B76">
        <f t="shared" si="1"/>
        <v>0.64489379752731801</v>
      </c>
      <c r="C76">
        <f t="shared" si="2"/>
        <v>0.13630028884919809</v>
      </c>
      <c r="E76">
        <v>0.32500000000000018</v>
      </c>
      <c r="F76">
        <v>0.65728807432312075</v>
      </c>
      <c r="G76">
        <v>0.14346363145361771</v>
      </c>
    </row>
    <row r="77" spans="1:7">
      <c r="A77" s="11">
        <f t="shared" ref="A77:A140" si="3">A76 + $B$4</f>
        <v>0.33000000000000018</v>
      </c>
      <c r="B77">
        <f t="shared" ref="B77:B140" si="4">B76 + $B$4*( $B$1*B76 - ($B$1/$B$2)*B76^2 )</f>
        <v>0.65815491077509891</v>
      </c>
      <c r="C77">
        <f t="shared" ref="C77:C140" si="5">C76 + $B$4*( $B$3*B76 )</f>
        <v>0.14181413081805666</v>
      </c>
      <c r="E77">
        <v>0.33000000000000018</v>
      </c>
      <c r="F77">
        <v>0.67006156953123008</v>
      </c>
      <c r="G77">
        <v>0.14913879854483603</v>
      </c>
    </row>
    <row r="78" spans="1:7">
      <c r="A78" s="11">
        <f t="shared" si="3"/>
        <v>0.33500000000000019</v>
      </c>
      <c r="B78">
        <f t="shared" si="4"/>
        <v>0.67108055044063564</v>
      </c>
      <c r="C78">
        <f t="shared" si="5"/>
        <v>0.14744135530518376</v>
      </c>
      <c r="E78">
        <v>0.33500000000000019</v>
      </c>
      <c r="F78">
        <v>0.68248388547015426</v>
      </c>
      <c r="G78">
        <v>0.15492170513889525</v>
      </c>
    </row>
    <row r="79" spans="1:7">
      <c r="A79" s="11">
        <f t="shared" si="3"/>
        <v>0.34000000000000019</v>
      </c>
      <c r="B79">
        <f t="shared" si="4"/>
        <v>0.68365561756974114</v>
      </c>
      <c r="C79">
        <f t="shared" si="5"/>
        <v>0.15317909401145119</v>
      </c>
      <c r="E79">
        <v>0.34000000000000019</v>
      </c>
      <c r="F79">
        <v>0.69454378986253562</v>
      </c>
      <c r="G79">
        <v>0.16080929593885532</v>
      </c>
    </row>
    <row r="80" spans="1:7">
      <c r="A80" s="11">
        <f t="shared" si="3"/>
        <v>0.3450000000000002</v>
      </c>
      <c r="B80">
        <f t="shared" si="4"/>
        <v>0.69586727570676077</v>
      </c>
      <c r="C80">
        <f t="shared" si="5"/>
        <v>0.15902434954167247</v>
      </c>
      <c r="E80">
        <v>0.3450000000000002</v>
      </c>
      <c r="F80">
        <v>0.70623220415222276</v>
      </c>
      <c r="G80">
        <v>0.16679842891154451</v>
      </c>
    </row>
    <row r="81" spans="1:7">
      <c r="A81" s="11">
        <f t="shared" si="3"/>
        <v>0.3500000000000002</v>
      </c>
      <c r="B81">
        <f t="shared" si="4"/>
        <v>0.70770493558079783</v>
      </c>
      <c r="C81">
        <f t="shared" si="5"/>
        <v>0.16497401474896528</v>
      </c>
      <c r="E81">
        <v>0.3500000000000002</v>
      </c>
      <c r="F81">
        <v>0.71754214354609636</v>
      </c>
      <c r="G81">
        <v>0.17288589349160061</v>
      </c>
    </row>
    <row r="82" spans="1:7">
      <c r="A82" s="11">
        <f t="shared" si="3"/>
        <v>0.3550000000000002</v>
      </c>
      <c r="B82">
        <f t="shared" si="4"/>
        <v>0.71916021410828146</v>
      </c>
      <c r="C82">
        <f t="shared" si="5"/>
        <v>0.1710248919481811</v>
      </c>
      <c r="E82">
        <v>0.3550000000000002</v>
      </c>
      <c r="F82">
        <v>0.72846863778927984</v>
      </c>
      <c r="G82">
        <v>0.1790684281845509</v>
      </c>
    </row>
    <row r="83" spans="1:7">
      <c r="A83" s="11">
        <f t="shared" si="3"/>
        <v>0.36000000000000021</v>
      </c>
      <c r="B83">
        <f t="shared" si="4"/>
        <v>0.73022687027286792</v>
      </c>
      <c r="C83">
        <f t="shared" si="5"/>
        <v>0.17717371177880692</v>
      </c>
      <c r="E83">
        <v>0.36000000000000021</v>
      </c>
      <c r="F83">
        <v>0.73900863555591945</v>
      </c>
      <c r="G83">
        <v>0.18534273741625856</v>
      </c>
    </row>
    <row r="84" spans="1:7">
      <c r="A84" s="11">
        <f t="shared" si="3"/>
        <v>0.36500000000000021</v>
      </c>
      <c r="B84">
        <f t="shared" si="4"/>
        <v>0.74090072072735003</v>
      </c>
      <c r="C84">
        <f t="shared" si="5"/>
        <v>0.18341715151963994</v>
      </c>
      <c r="E84">
        <v>0.36500000000000021</v>
      </c>
      <c r="F84">
        <v>0.74916089538782449</v>
      </c>
      <c r="G84">
        <v>0.19170550750111104</v>
      </c>
    </row>
    <row r="85" spans="1:7">
      <c r="A85" s="11">
        <f t="shared" si="3"/>
        <v>0.37000000000000022</v>
      </c>
      <c r="B85">
        <f t="shared" si="4"/>
        <v>0.75117953813997329</v>
      </c>
      <c r="C85">
        <f t="shared" si="5"/>
        <v>0.18975185268185879</v>
      </c>
      <c r="E85">
        <v>0.37000000000000022</v>
      </c>
      <c r="F85">
        <v>0.75892586608162993</v>
      </c>
      <c r="G85">
        <v>0.1981534216264334</v>
      </c>
    </row>
    <row r="86" spans="1:7">
      <c r="A86" s="11">
        <f t="shared" si="3"/>
        <v>0.37500000000000022</v>
      </c>
      <c r="B86">
        <f t="shared" si="4"/>
        <v>0.76106293538487346</v>
      </c>
      <c r="C86">
        <f t="shared" si="5"/>
        <v>0.19617443773295556</v>
      </c>
      <c r="E86">
        <v>0.37500000000000022</v>
      </c>
      <c r="F86">
        <v>0.76830555932317923</v>
      </c>
      <c r="G86">
        <v>0.20468317377512024</v>
      </c>
    </row>
    <row r="87" spans="1:7">
      <c r="A87" s="11">
        <f t="shared" si="3"/>
        <v>0.38000000000000023</v>
      </c>
      <c r="B87">
        <f t="shared" si="4"/>
        <v>0.77055223866227429</v>
      </c>
      <c r="C87">
        <f t="shared" si="5"/>
        <v>0.20268152583049623</v>
      </c>
      <c r="E87">
        <v>0.38000000000000023</v>
      </c>
      <c r="F87">
        <v>0.7773034172080151</v>
      </c>
      <c r="G87">
        <v>0.21129148153184402</v>
      </c>
    </row>
    <row r="88" spans="1:7">
      <c r="A88" s="11">
        <f t="shared" si="3"/>
        <v>0.38500000000000023</v>
      </c>
      <c r="B88">
        <f t="shared" si="4"/>
        <v>0.77965035254014525</v>
      </c>
      <c r="C88">
        <f t="shared" si="5"/>
        <v>0.20926974747105867</v>
      </c>
      <c r="E88">
        <v>0.38500000000000023</v>
      </c>
      <c r="F88">
        <v>0.78592417708204632</v>
      </c>
      <c r="G88">
        <v>0.21797509773997664</v>
      </c>
    </row>
    <row r="89" spans="1:7">
      <c r="A89" s="11">
        <f t="shared" si="3"/>
        <v>0.39000000000000024</v>
      </c>
      <c r="B89">
        <f t="shared" si="4"/>
        <v>0.78836161974839047</v>
      </c>
      <c r="C89">
        <f t="shared" si="5"/>
        <v>0.21593575798527692</v>
      </c>
      <c r="E89">
        <v>0.39000000000000024</v>
      </c>
      <c r="F89">
        <v>0.79417373589919571</v>
      </c>
      <c r="G89">
        <v>0.22473082099622255</v>
      </c>
    </row>
    <row r="90" spans="1:7">
      <c r="A90" s="11">
        <f t="shared" si="3"/>
        <v>0.39500000000000024</v>
      </c>
      <c r="B90">
        <f t="shared" si="4"/>
        <v>0.79669167834324406</v>
      </c>
      <c r="C90">
        <f t="shared" si="5"/>
        <v>0.22267624983412565</v>
      </c>
      <c r="E90">
        <v>0.39500000000000024</v>
      </c>
      <c r="F90">
        <v>0.80205901603490781</v>
      </c>
      <c r="G90">
        <v>0.23155550498768115</v>
      </c>
    </row>
    <row r="91" spans="1:7">
      <c r="A91" s="11">
        <f t="shared" si="3"/>
        <v>0.40000000000000024</v>
      </c>
      <c r="B91">
        <f t="shared" si="4"/>
        <v>0.80464731860732219</v>
      </c>
      <c r="C91">
        <f t="shared" si="5"/>
        <v>0.22948796368396038</v>
      </c>
      <c r="E91">
        <v>0.40000000000000024</v>
      </c>
      <c r="F91">
        <v>0.80958783422644098</v>
      </c>
      <c r="G91">
        <v>0.23844606669150697</v>
      </c>
    </row>
    <row r="92" spans="1:7">
      <c r="A92" s="11">
        <f t="shared" si="3"/>
        <v>0.40500000000000025</v>
      </c>
      <c r="B92">
        <f t="shared" si="4"/>
        <v>0.81223634177301884</v>
      </c>
      <c r="C92">
        <f t="shared" si="5"/>
        <v>0.23636769825805298</v>
      </c>
      <c r="E92">
        <v>0.40500000000000025</v>
      </c>
      <c r="F92">
        <v>0.81676877504211798</v>
      </c>
      <c r="G92">
        <v>0.24539949347047071</v>
      </c>
    </row>
    <row r="93" spans="1:7">
      <c r="A93" s="11">
        <f t="shared" si="3"/>
        <v>0.41000000000000025</v>
      </c>
      <c r="B93">
        <f t="shared" si="4"/>
        <v>0.81946742236580961</v>
      </c>
      <c r="C93">
        <f t="shared" si="5"/>
        <v>0.2433123189802123</v>
      </c>
      <c r="E93">
        <v>0.41000000000000025</v>
      </c>
      <c r="F93">
        <v>0.82361107001986622</v>
      </c>
      <c r="G93">
        <v>0.25241284910857692</v>
      </c>
    </row>
    <row r="94" spans="1:7">
      <c r="A94" s="11">
        <f t="shared" si="3"/>
        <v>0.41500000000000026</v>
      </c>
      <c r="B94">
        <f t="shared" si="4"/>
        <v>0.82634997567025348</v>
      </c>
      <c r="C94">
        <f t="shared" si="5"/>
        <v>0.25031876544143999</v>
      </c>
      <c r="E94">
        <v>0.41500000000000026</v>
      </c>
      <c r="F94">
        <v>0.83012448336659328</v>
      </c>
      <c r="G94">
        <v>0.25948327883954975</v>
      </c>
    </row>
    <row r="95" spans="1:7">
      <c r="A95" s="11">
        <f t="shared" si="3"/>
        <v>0.42000000000000026</v>
      </c>
      <c r="B95">
        <f t="shared" si="4"/>
        <v>0.83289403153409125</v>
      </c>
      <c r="C95">
        <f t="shared" si="5"/>
        <v>0.25738405773342066</v>
      </c>
      <c r="E95">
        <v>0.42000000000000026</v>
      </c>
      <c r="F95">
        <v>0.83631920487884126</v>
      </c>
      <c r="G95">
        <v>0.26660801342759355</v>
      </c>
    </row>
    <row r="96" spans="1:7">
      <c r="A96" s="11">
        <f t="shared" si="3"/>
        <v>0.42500000000000027</v>
      </c>
      <c r="B96">
        <f t="shared" si="4"/>
        <v>0.83911011545211167</v>
      </c>
      <c r="C96">
        <f t="shared" si="5"/>
        <v>0.26450530170303715</v>
      </c>
      <c r="E96">
        <v>0.42500000000000027</v>
      </c>
      <c r="F96">
        <v>0.84220575053498603</v>
      </c>
      <c r="G96">
        <v>0.27378437236453779</v>
      </c>
    </row>
    <row r="97" spans="1:7">
      <c r="A97" s="11">
        <f t="shared" si="3"/>
        <v>0.43000000000000027</v>
      </c>
      <c r="B97">
        <f t="shared" si="4"/>
        <v>0.84500913761694763</v>
      </c>
      <c r="C97">
        <f t="shared" si="5"/>
        <v>0.27167969319015273</v>
      </c>
      <c r="E97">
        <v>0.43000000000000027</v>
      </c>
      <c r="F97">
        <v>0.84779487102195983</v>
      </c>
      <c r="G97">
        <v>0.28100976625047491</v>
      </c>
    </row>
    <row r="98" spans="1:7">
      <c r="A98" s="11">
        <f t="shared" si="3"/>
        <v>0.43500000000000028</v>
      </c>
      <c r="B98">
        <f t="shared" si="4"/>
        <v>0.85060229039258428</v>
      </c>
      <c r="C98">
        <f t="shared" si="5"/>
        <v>0.27890452131677762</v>
      </c>
      <c r="E98">
        <v>0.43500000000000028</v>
      </c>
      <c r="F98">
        <v>0.85309746829598143</v>
      </c>
      <c r="G98">
        <v>0.28828169842649798</v>
      </c>
    </row>
    <row r="99" spans="1:7">
      <c r="A99" s="11">
        <f t="shared" si="3"/>
        <v>0.44000000000000028</v>
      </c>
      <c r="B99">
        <f t="shared" si="4"/>
        <v>0.85590095446055092</v>
      </c>
      <c r="C99">
        <f t="shared" si="5"/>
        <v>0.28617717089963424</v>
      </c>
      <c r="E99">
        <v>0.44000000000000028</v>
      </c>
      <c r="F99">
        <v>0.85812452013707385</v>
      </c>
      <c r="G99">
        <v>0.29559776592834774</v>
      </c>
    </row>
    <row r="100" spans="1:7">
      <c r="A100" s="11">
        <f t="shared" si="3"/>
        <v>0.44500000000000028</v>
      </c>
      <c r="B100">
        <f t="shared" si="4"/>
        <v>0.86091661370969086</v>
      </c>
      <c r="C100">
        <f t="shared" si="5"/>
        <v>0.29349512406027195</v>
      </c>
      <c r="E100">
        <v>0.44500000000000028</v>
      </c>
      <c r="F100">
        <v>0.86288701254051814</v>
      </c>
      <c r="G100">
        <v>0.30295565982888684</v>
      </c>
    </row>
    <row r="101" spans="1:7">
      <c r="A101" s="11">
        <f t="shared" si="3"/>
        <v>0.45000000000000029</v>
      </c>
      <c r="B101">
        <f t="shared" si="4"/>
        <v>0.86566077878813397</v>
      </c>
      <c r="C101">
        <f t="shared" si="5"/>
        <v>0.3008559611074898</v>
      </c>
      <c r="E101">
        <v>0.45000000000000029</v>
      </c>
      <c r="F101">
        <v>0.86739587969357757</v>
      </c>
      <c r="G101">
        <v>0.31035316503552635</v>
      </c>
    </row>
    <row r="102" spans="1:7">
      <c r="A102" s="11">
        <f t="shared" si="3"/>
        <v>0.45500000000000029</v>
      </c>
      <c r="B102">
        <f t="shared" si="4"/>
        <v>0.87014491910987257</v>
      </c>
      <c r="C102">
        <f t="shared" si="5"/>
        <v>0.30825736076612836</v>
      </c>
      <c r="E102">
        <v>0.45500000000000029</v>
      </c>
      <c r="F102">
        <v>0.87166195121118117</v>
      </c>
      <c r="G102">
        <v>0.31778815960621615</v>
      </c>
    </row>
    <row r="103" spans="1:7">
      <c r="A103" s="11">
        <f t="shared" si="3"/>
        <v>0.4600000000000003</v>
      </c>
      <c r="B103">
        <f t="shared" si="4"/>
        <v>0.87438040300672493</v>
      </c>
      <c r="C103">
        <f t="shared" si="5"/>
        <v>0.31569709982451777</v>
      </c>
      <c r="E103">
        <v>0.4600000000000003</v>
      </c>
      <c r="F103">
        <v>0.87569590624788596</v>
      </c>
      <c r="G103">
        <v>0.32525861364454167</v>
      </c>
    </row>
    <row r="104" spans="1:7">
      <c r="A104" s="11">
        <f t="shared" si="3"/>
        <v>0.4650000000000003</v>
      </c>
      <c r="B104">
        <f t="shared" si="4"/>
        <v>0.87837844563757572</v>
      </c>
      <c r="C104">
        <f t="shared" si="5"/>
        <v>0.32317305227022525</v>
      </c>
      <c r="E104">
        <v>0.4650000000000003</v>
      </c>
      <c r="F104">
        <v>0.87950823406331391</v>
      </c>
      <c r="G104">
        <v>0.33276258783099133</v>
      </c>
    </row>
    <row r="105" spans="1:7">
      <c r="A105" s="11">
        <f t="shared" si="3"/>
        <v>0.47000000000000031</v>
      </c>
      <c r="B105">
        <f t="shared" si="4"/>
        <v>0.88215006420840636</v>
      </c>
      <c r="C105">
        <f t="shared" si="5"/>
        <v>0.33068318798042651</v>
      </c>
      <c r="E105">
        <v>0.47000000000000031</v>
      </c>
      <c r="F105">
        <v>0.88310920059231335</v>
      </c>
      <c r="G105">
        <v>0.34029823164370415</v>
      </c>
    </row>
    <row r="106" spans="1:7">
      <c r="A106" s="11">
        <f t="shared" si="3"/>
        <v>0.47500000000000031</v>
      </c>
      <c r="B106">
        <f t="shared" si="4"/>
        <v>0.88570604001641906</v>
      </c>
      <c r="C106">
        <f t="shared" si="5"/>
        <v>0.33822557102940837</v>
      </c>
      <c r="E106">
        <v>0.47500000000000031</v>
      </c>
      <c r="F106">
        <v>0.88650882055729163</v>
      </c>
      <c r="G106">
        <v>0.34786378131808537</v>
      </c>
    </row>
    <row r="107" spans="1:7">
      <c r="A107" s="11">
        <f t="shared" si="3"/>
        <v>0.48000000000000032</v>
      </c>
      <c r="B107">
        <f t="shared" si="4"/>
        <v>0.8890568868071087</v>
      </c>
      <c r="C107">
        <f t="shared" si="5"/>
        <v>0.34579835767154876</v>
      </c>
      <c r="E107">
        <v>0.48000000000000032</v>
      </c>
      <c r="F107">
        <v>0.88971683465656426</v>
      </c>
      <c r="G107">
        <v>0.35545755759068687</v>
      </c>
    </row>
    <row r="108" spans="1:7">
      <c r="A108" s="11">
        <f t="shared" si="3"/>
        <v>0.48500000000000032</v>
      </c>
      <c r="B108">
        <f t="shared" si="4"/>
        <v>0.89221282492208687</v>
      </c>
      <c r="C108">
        <f t="shared" si="5"/>
        <v>0.35339979405374955</v>
      </c>
      <c r="E108">
        <v>0.48500000000000032</v>
      </c>
      <c r="F108">
        <v>0.89274269136735174</v>
      </c>
      <c r="G108">
        <v>0.36307796326876635</v>
      </c>
    </row>
    <row r="109" spans="1:7">
      <c r="A109" s="11">
        <f t="shared" si="3"/>
        <v>0.49000000000000032</v>
      </c>
      <c r="B109">
        <f t="shared" si="4"/>
        <v>0.89518376071556649</v>
      </c>
      <c r="C109">
        <f t="shared" si="5"/>
        <v>0.36102821370683341</v>
      </c>
      <c r="E109">
        <v>0.49000000000000032</v>
      </c>
      <c r="F109">
        <v>0.89559553291357386</v>
      </c>
      <c r="G109">
        <v>0.37072348066303001</v>
      </c>
    </row>
    <row r="110" spans="1:7">
      <c r="A110" s="11">
        <f t="shared" si="3"/>
        <v>0.49500000000000033</v>
      </c>
      <c r="B110">
        <f t="shared" si="4"/>
        <v>0.89797927072658434</v>
      </c>
      <c r="C110">
        <f t="shared" si="5"/>
        <v>0.36868203486095152</v>
      </c>
      <c r="E110">
        <v>0.49500000000000033</v>
      </c>
      <c r="F110">
        <v>0.898284184965358</v>
      </c>
      <c r="G110">
        <v>0.3783926689172788</v>
      </c>
    </row>
    <row r="111" spans="1:7">
      <c r="A111" s="11">
        <f t="shared" si="3"/>
        <v>0.50000000000000033</v>
      </c>
      <c r="B111">
        <f t="shared" si="4"/>
        <v>0.90060859011036765</v>
      </c>
      <c r="C111">
        <f t="shared" si="5"/>
        <v>0.37635975762566382</v>
      </c>
      <c r="E111">
        <v>0.50000000000000033</v>
      </c>
      <c r="F111">
        <v>0.90081714965788395</v>
      </c>
      <c r="G111">
        <v>0.38608416126505452</v>
      </c>
    </row>
    <row r="112" spans="1:7">
      <c r="A112" s="11">
        <f t="shared" si="3"/>
        <v>0.50500000000000034</v>
      </c>
      <c r="B112">
        <f t="shared" si="4"/>
        <v>0.90308060485405606</v>
      </c>
      <c r="C112">
        <f t="shared" si="5"/>
        <v>0.38405996107110746</v>
      </c>
      <c r="E112">
        <v>0.50500000000000034</v>
      </c>
      <c r="F112">
        <v>0.90320260154069465</v>
      </c>
      <c r="G112">
        <v>0.39379666223995313</v>
      </c>
    </row>
    <row r="113" spans="1:7">
      <c r="A113" s="11">
        <f t="shared" si="3"/>
        <v>0.51000000000000034</v>
      </c>
      <c r="B113">
        <f t="shared" si="4"/>
        <v>0.90540384732778001</v>
      </c>
      <c r="C113">
        <f t="shared" si="5"/>
        <v>0.39178130024260965</v>
      </c>
      <c r="E113">
        <v>0.51000000000000034</v>
      </c>
      <c r="F113">
        <v>0.90544838609395095</v>
      </c>
      <c r="G113">
        <v>0.40152894486305052</v>
      </c>
    </row>
    <row r="114" spans="1:7">
      <c r="A114" s="11">
        <f t="shared" si="3"/>
        <v>0.51500000000000035</v>
      </c>
      <c r="B114">
        <f t="shared" si="4"/>
        <v>0.9075864947506066</v>
      </c>
      <c r="C114">
        <f t="shared" si="5"/>
        <v>0.39952250313726217</v>
      </c>
      <c r="E114">
        <v>0.51500000000000035</v>
      </c>
      <c r="F114">
        <v>0.90756202047447776</v>
      </c>
      <c r="G114">
        <v>0.40927984782789029</v>
      </c>
    </row>
    <row r="115" spans="1:7">
      <c r="A115" s="11">
        <f t="shared" si="3"/>
        <v>0.52000000000000035</v>
      </c>
      <c r="B115">
        <f t="shared" si="4"/>
        <v>0.90963637018100874</v>
      </c>
      <c r="C115">
        <f t="shared" si="5"/>
        <v>0.40728236766737985</v>
      </c>
      <c r="E115">
        <v>0.52000000000000035</v>
      </c>
      <c r="F115">
        <v>0.90955069618117912</v>
      </c>
      <c r="G115">
        <v>0.41704827270071326</v>
      </c>
    </row>
    <row r="116" spans="1:7">
      <c r="A116" s="11">
        <f t="shared" si="3"/>
        <v>0.52500000000000036</v>
      </c>
      <c r="B116">
        <f t="shared" si="4"/>
        <v>0.91156094567241441</v>
      </c>
      <c r="C116">
        <f t="shared" si="5"/>
        <v>0.4150597586324275</v>
      </c>
      <c r="E116">
        <v>0.52500000000000036</v>
      </c>
      <c r="F116">
        <v>0.91142128335594641</v>
      </c>
      <c r="G116">
        <v>0.42483318115106883</v>
      </c>
    </row>
    <row r="117" spans="1:7">
      <c r="A117" s="11">
        <f t="shared" si="3"/>
        <v>0.53000000000000036</v>
      </c>
      <c r="B117">
        <f t="shared" si="4"/>
        <v>0.91336734726531421</v>
      </c>
      <c r="C117">
        <f t="shared" si="5"/>
        <v>0.42285360471792666</v>
      </c>
      <c r="E117">
        <v>0.53000000000000036</v>
      </c>
      <c r="F117">
        <v>0.91318033646212693</v>
      </c>
      <c r="G117">
        <v>0.43263359222563319</v>
      </c>
    </row>
    <row r="118" spans="1:7">
      <c r="A118" s="11">
        <f t="shared" si="3"/>
        <v>0.53500000000000036</v>
      </c>
      <c r="B118">
        <f t="shared" si="4"/>
        <v>0.91506236151778142</v>
      </c>
      <c r="C118">
        <f t="shared" si="5"/>
        <v>0.43066289553704507</v>
      </c>
      <c r="E118">
        <v>0.53500000000000036</v>
      </c>
      <c r="F118">
        <v>0.91483410110762864</v>
      </c>
      <c r="G118">
        <v>0.44044857967596351</v>
      </c>
    </row>
    <row r="119" spans="1:7">
      <c r="A119" s="11">
        <f t="shared" si="3"/>
        <v>0.54000000000000037</v>
      </c>
      <c r="B119">
        <f t="shared" si="4"/>
        <v>0.91665244330564755</v>
      </c>
      <c r="C119">
        <f t="shared" si="5"/>
        <v>0.43848667872802211</v>
      </c>
      <c r="E119">
        <v>0.54000000000000037</v>
      </c>
      <c r="F119">
        <v>0.91638852180357755</v>
      </c>
      <c r="G119">
        <v>0.44827726934903001</v>
      </c>
    </row>
    <row r="120" spans="1:7">
      <c r="A120" s="11">
        <f t="shared" si="3"/>
        <v>0.54500000000000037</v>
      </c>
      <c r="B120">
        <f t="shared" si="4"/>
        <v>0.91814372465164307</v>
      </c>
      <c r="C120">
        <f t="shared" si="5"/>
        <v>0.44632405711828538</v>
      </c>
      <c r="E120">
        <v>0.54500000000000037</v>
      </c>
      <c r="F120">
        <v>0.91784925047194055</v>
      </c>
      <c r="G120">
        <v>0.45611883664767894</v>
      </c>
    </row>
    <row r="121" spans="1:7">
      <c r="A121" s="11">
        <f t="shared" si="3"/>
        <v>0.55000000000000038</v>
      </c>
      <c r="B121">
        <f t="shared" si="4"/>
        <v>0.91954202436932986</v>
      </c>
      <c r="C121">
        <f t="shared" si="5"/>
        <v>0.4541741859640569</v>
      </c>
      <c r="E121">
        <v>0.55000000000000038</v>
      </c>
      <c r="F121">
        <v>0.91922165553658375</v>
      </c>
      <c r="G121">
        <v>0.4639725040666785</v>
      </c>
    </row>
    <row r="122" spans="1:7">
      <c r="A122" s="11">
        <f t="shared" si="3"/>
        <v>0.55500000000000038</v>
      </c>
      <c r="B122">
        <f t="shared" si="4"/>
        <v>0.92085285833246611</v>
      </c>
      <c r="C122">
        <f t="shared" si="5"/>
        <v>0.46203627027241467</v>
      </c>
      <c r="E122">
        <v>0.55500000000000038</v>
      </c>
      <c r="F122">
        <v>0.92051083145177992</v>
      </c>
      <c r="G122">
        <v>0.47183753880866941</v>
      </c>
    </row>
    <row r="123" spans="1:7">
      <c r="A123" s="11">
        <f t="shared" si="3"/>
        <v>0.56000000000000039</v>
      </c>
      <c r="B123">
        <f t="shared" si="4"/>
        <v>0.92208145020346677</v>
      </c>
      <c r="C123">
        <f t="shared" si="5"/>
        <v>0.46990956221115726</v>
      </c>
      <c r="E123">
        <v>0.56000000000000039</v>
      </c>
      <c r="F123">
        <v>0.92172160854020613</v>
      </c>
      <c r="G123">
        <v>0.47971325048317615</v>
      </c>
    </row>
    <row r="124" spans="1:7">
      <c r="A124" s="11">
        <f t="shared" si="3"/>
        <v>0.56500000000000039</v>
      </c>
      <c r="B124">
        <f t="shared" si="4"/>
        <v>0.92323274247582465</v>
      </c>
      <c r="C124">
        <f t="shared" si="5"/>
        <v>0.4777933586103969</v>
      </c>
      <c r="E124">
        <v>0.56500000000000039</v>
      </c>
      <c r="F124">
        <v>0.92285856302898883</v>
      </c>
      <c r="G124">
        <v>0.4875989888908126</v>
      </c>
    </row>
    <row r="125" spans="1:7">
      <c r="A125" s="11">
        <f t="shared" si="3"/>
        <v>0.5700000000000004</v>
      </c>
      <c r="B125">
        <f t="shared" si="4"/>
        <v>0.92431140770474352</v>
      </c>
      <c r="C125">
        <f t="shared" si="5"/>
        <v>0.48568699855856517</v>
      </c>
      <c r="E125">
        <v>0.5700000000000004</v>
      </c>
      <c r="F125">
        <v>0.92392602718739503</v>
      </c>
      <c r="G125">
        <v>0.49549414189393237</v>
      </c>
    </row>
    <row r="126" spans="1:7">
      <c r="A126" s="11">
        <f t="shared" si="3"/>
        <v>0.5750000000000004</v>
      </c>
      <c r="B126">
        <f t="shared" si="4"/>
        <v>0.92532185981785142</v>
      </c>
      <c r="C126">
        <f t="shared" si="5"/>
        <v>0.49358986109444075</v>
      </c>
      <c r="E126">
        <v>0.5750000000000004</v>
      </c>
      <c r="F126">
        <v>0.92492809948339794</v>
      </c>
      <c r="G126">
        <v>0.50339813337420936</v>
      </c>
    </row>
    <row r="127" spans="1:7">
      <c r="A127" s="11">
        <f t="shared" si="3"/>
        <v>0.5800000000000004</v>
      </c>
      <c r="B127">
        <f t="shared" si="4"/>
        <v>0.92626826541377361</v>
      </c>
      <c r="C127">
        <f t="shared" si="5"/>
        <v>0.50150136299588333</v>
      </c>
      <c r="E127">
        <v>0.5800000000000004</v>
      </c>
      <c r="F127">
        <v>0.925868654688626</v>
      </c>
      <c r="G127">
        <v>0.51131042127698323</v>
      </c>
    </row>
    <row r="128" spans="1:7">
      <c r="A128" s="11">
        <f t="shared" si="3"/>
        <v>0.58500000000000041</v>
      </c>
      <c r="B128">
        <f t="shared" si="4"/>
        <v>0.92715455497063326</v>
      </c>
      <c r="C128">
        <f t="shared" si="5"/>
        <v>0.50942095666517107</v>
      </c>
      <c r="E128">
        <v>0.58500000000000041</v>
      </c>
      <c r="F128">
        <v>0.92675135387221608</v>
      </c>
      <c r="G128">
        <v>0.51923049574165114</v>
      </c>
    </row>
    <row r="129" spans="1:7">
      <c r="A129" s="11">
        <f t="shared" si="3"/>
        <v>0.59000000000000041</v>
      </c>
      <c r="B129">
        <f t="shared" si="4"/>
        <v>0.92798443389931295</v>
      </c>
      <c r="C129">
        <f t="shared" si="5"/>
        <v>0.51734812811016995</v>
      </c>
      <c r="E129">
        <v>0.59000000000000041</v>
      </c>
      <c r="F129">
        <v>0.92757965423391897</v>
      </c>
      <c r="G129">
        <v>0.52715787731692199</v>
      </c>
    </row>
    <row r="130" spans="1:7">
      <c r="A130" s="11">
        <f t="shared" si="3"/>
        <v>0.59500000000000042</v>
      </c>
      <c r="B130">
        <f t="shared" si="4"/>
        <v>0.9287613933876514</v>
      </c>
      <c r="C130">
        <f t="shared" si="5"/>
        <v>0.52528239502000906</v>
      </c>
      <c r="E130">
        <v>0.59500000000000042</v>
      </c>
      <c r="F130">
        <v>0.92835681873553211</v>
      </c>
      <c r="G130">
        <v>0.53509211525936606</v>
      </c>
    </row>
    <row r="131" spans="1:7">
      <c r="A131" s="11">
        <f t="shared" si="3"/>
        <v>0.60000000000000042</v>
      </c>
      <c r="B131">
        <f t="shared" si="4"/>
        <v>0.9294887209917736</v>
      </c>
      <c r="C131">
        <f t="shared" si="5"/>
        <v>0.53322330493347347</v>
      </c>
      <c r="E131">
        <v>0.60000000000000042</v>
      </c>
      <c r="F131">
        <v>0.92908592549744817</v>
      </c>
      <c r="G131">
        <v>0.54303278591337834</v>
      </c>
    </row>
    <row r="132" spans="1:7">
      <c r="A132" s="11">
        <f t="shared" si="3"/>
        <v>0.60500000000000043</v>
      </c>
      <c r="B132">
        <f t="shared" si="4"/>
        <v>0.93016951093956934</v>
      </c>
      <c r="C132">
        <f t="shared" si="5"/>
        <v>0.54117043349795313</v>
      </c>
      <c r="E132">
        <v>0.60500000000000043</v>
      </c>
      <c r="F132">
        <v>0.92976987693389457</v>
      </c>
      <c r="G132">
        <v>0.550979491170418</v>
      </c>
    </row>
    <row r="133" spans="1:7">
      <c r="A133" s="11">
        <f t="shared" si="3"/>
        <v>0.61000000000000043</v>
      </c>
      <c r="B133">
        <f t="shared" si="4"/>
        <v>0.93080667411904516</v>
      </c>
      <c r="C133">
        <f t="shared" si="5"/>
        <v>0.54912338281648643</v>
      </c>
      <c r="E133">
        <v>0.61000000000000043</v>
      </c>
      <c r="F133">
        <v>0.93041140860637961</v>
      </c>
      <c r="G133">
        <v>0.55893185700519188</v>
      </c>
    </row>
    <row r="134" spans="1:7">
      <c r="A134" s="11">
        <f t="shared" si="3"/>
        <v>0.61500000000000044</v>
      </c>
      <c r="B134">
        <f t="shared" si="4"/>
        <v>0.93140294773098242</v>
      </c>
      <c r="C134">
        <f t="shared" si="5"/>
        <v>0.55708177988020424</v>
      </c>
      <c r="E134">
        <v>0.61500000000000044</v>
      </c>
      <c r="F134">
        <v>0.93101309778003338</v>
      </c>
      <c r="G134">
        <v>0.56688953208629522</v>
      </c>
    </row>
    <row r="135" spans="1:7">
      <c r="A135" s="11">
        <f t="shared" si="3"/>
        <v>0.62000000000000044</v>
      </c>
      <c r="B135">
        <f t="shared" si="4"/>
        <v>0.93196090459113989</v>
      </c>
      <c r="C135">
        <f t="shared" si="5"/>
        <v>0.56504527508330415</v>
      </c>
      <c r="E135">
        <v>0.62000000000000044</v>
      </c>
      <c r="F135">
        <v>0.9315773716720156</v>
      </c>
      <c r="G135">
        <v>0.57485218645871405</v>
      </c>
    </row>
    <row r="136" spans="1:7">
      <c r="A136" s="11">
        <f t="shared" si="3"/>
        <v>0.62500000000000044</v>
      </c>
      <c r="B136">
        <f t="shared" si="4"/>
        <v>0.93248296207222658</v>
      </c>
      <c r="C136">
        <f t="shared" si="5"/>
        <v>0.5730135408175584</v>
      </c>
      <c r="E136">
        <v>0.62500000000000044</v>
      </c>
      <c r="F136">
        <v>0.93210651538502098</v>
      </c>
      <c r="G136">
        <v>0.58281951029551837</v>
      </c>
    </row>
    <row r="137" spans="1:7">
      <c r="A137" s="11">
        <f t="shared" si="3"/>
        <v>0.63000000000000045</v>
      </c>
      <c r="B137">
        <f t="shared" si="4"/>
        <v>0.93297139068013601</v>
      </c>
      <c r="C137">
        <f t="shared" si="5"/>
        <v>0.58098627014327597</v>
      </c>
      <c r="E137">
        <v>0.63000000000000045</v>
      </c>
      <c r="F137">
        <v>0.93260267952222009</v>
      </c>
      <c r="G137">
        <v>0.59079121271603097</v>
      </c>
    </row>
    <row r="138" spans="1:7">
      <c r="A138" s="11">
        <f t="shared" si="3"/>
        <v>0.63500000000000045</v>
      </c>
      <c r="B138">
        <f t="shared" si="4"/>
        <v>0.93342832226254713</v>
      </c>
      <c r="C138">
        <f t="shared" si="5"/>
        <v>0.58896317553359112</v>
      </c>
      <c r="E138">
        <v>0.63500000000000045</v>
      </c>
      <c r="F138">
        <v>0.93306788748277869</v>
      </c>
      <c r="G138">
        <v>0.59876702066773979</v>
      </c>
    </row>
    <row r="139" spans="1:7">
      <c r="A139" s="11">
        <f t="shared" si="3"/>
        <v>0.64000000000000046</v>
      </c>
      <c r="B139">
        <f t="shared" si="4"/>
        <v>0.93385575785103891</v>
      </c>
      <c r="C139">
        <f t="shared" si="5"/>
        <v>0.59694398768893586</v>
      </c>
      <c r="E139">
        <v>0.64000000000000046</v>
      </c>
      <c r="F139">
        <v>0.9335040424394726</v>
      </c>
      <c r="G139">
        <v>0.60674667786922254</v>
      </c>
    </row>
    <row r="140" spans="1:7">
      <c r="A140" s="11">
        <f t="shared" si="3"/>
        <v>0.64500000000000046</v>
      </c>
      <c r="B140">
        <f t="shared" si="4"/>
        <v>0.93425557514040347</v>
      </c>
      <c r="C140">
        <f t="shared" si="5"/>
        <v>0.60492845441856224</v>
      </c>
      <c r="E140">
        <v>0.64500000000000046</v>
      </c>
      <c r="F140">
        <v>0.9339129340018919</v>
      </c>
      <c r="G140">
        <v>0.6147299438113778</v>
      </c>
    </row>
    <row r="141" spans="1:7">
      <c r="A141" s="11">
        <f t="shared" ref="A141:A204" si="6">A140 + $B$4</f>
        <v>0.65000000000000047</v>
      </c>
      <c r="B141">
        <f t="shared" ref="B141:B204" si="7">B140 + $B$4*( $B$1*B140 - ($B$1/$B$2)*B140^2 )</f>
        <v>0.93462953561092899</v>
      </c>
      <c r="C141">
        <f t="shared" ref="C141:C204" si="8">C140 + $B$4*( $B$3*B140 )</f>
        <v>0.61291633958601266</v>
      </c>
      <c r="E141">
        <v>0.65000000000000047</v>
      </c>
      <c r="F141">
        <v>0.93429624457036686</v>
      </c>
      <c r="G141">
        <v>0.62271659281429215</v>
      </c>
    </row>
    <row r="142" spans="1:7">
      <c r="A142" s="11">
        <f t="shared" si="6"/>
        <v>0.65500000000000047</v>
      </c>
      <c r="B142">
        <f t="shared" si="7"/>
        <v>0.93497929130112811</v>
      </c>
      <c r="C142">
        <f t="shared" si="8"/>
        <v>0.62090742211548611</v>
      </c>
      <c r="E142">
        <v>0.65500000000000047</v>
      </c>
      <c r="F142">
        <v>0.93465555538708756</v>
      </c>
      <c r="G142">
        <v>0.63070641313712439</v>
      </c>
    </row>
    <row r="143" spans="1:7">
      <c r="A143" s="11">
        <f t="shared" si="6"/>
        <v>0.66000000000000048</v>
      </c>
      <c r="B143">
        <f t="shared" si="7"/>
        <v>0.93530639123974735</v>
      </c>
      <c r="C143">
        <f t="shared" si="8"/>
        <v>0.6289014950561107</v>
      </c>
      <c r="E143">
        <v>0.66000000000000048</v>
      </c>
      <c r="F143">
        <v>0.93499235229195987</v>
      </c>
      <c r="G143">
        <v>0.63869920613844744</v>
      </c>
    </row>
    <row r="144" spans="1:7">
      <c r="A144" s="11">
        <f t="shared" si="6"/>
        <v>0.66500000000000048</v>
      </c>
      <c r="B144">
        <f t="shared" si="7"/>
        <v>0.93561228754695958</v>
      </c>
      <c r="C144">
        <f t="shared" si="8"/>
        <v>0.63689836470121053</v>
      </c>
      <c r="E144">
        <v>0.66500000000000048</v>
      </c>
      <c r="F144">
        <v>0.93530803119159034</v>
      </c>
      <c r="G144">
        <v>0.64669478548455772</v>
      </c>
    </row>
    <row r="145" spans="1:7">
      <c r="A145" s="11">
        <f t="shared" si="6"/>
        <v>0.67000000000000048</v>
      </c>
      <c r="B145">
        <f t="shared" si="7"/>
        <v>0.93589834121545568</v>
      </c>
      <c r="C145">
        <f t="shared" si="8"/>
        <v>0.64489784975973707</v>
      </c>
      <c r="E145">
        <v>0.67000000000000048</v>
      </c>
      <c r="F145">
        <v>0.93560390325043818</v>
      </c>
      <c r="G145">
        <v>0.65469297640333712</v>
      </c>
    </row>
    <row r="146" spans="1:7">
      <c r="A146" s="11">
        <f t="shared" si="6"/>
        <v>0.67500000000000049</v>
      </c>
      <c r="B146">
        <f t="shared" si="7"/>
        <v>0.93616582758274391</v>
      </c>
      <c r="C146">
        <f t="shared" si="8"/>
        <v>0.65289978057712927</v>
      </c>
      <c r="E146">
        <v>0.67500000000000049</v>
      </c>
      <c r="F146">
        <v>0.9358811998136497</v>
      </c>
      <c r="G146">
        <v>0.66269361498133095</v>
      </c>
    </row>
    <row r="147" spans="1:7">
      <c r="A147" s="11">
        <f t="shared" si="6"/>
        <v>0.68000000000000049</v>
      </c>
      <c r="B147">
        <f t="shared" si="7"/>
        <v>0.93641594150637508</v>
      </c>
      <c r="C147">
        <f t="shared" si="8"/>
        <v>0.66090399840296177</v>
      </c>
      <c r="E147">
        <v>0.68000000000000049</v>
      </c>
      <c r="F147">
        <v>0.93614107707142247</v>
      </c>
      <c r="G147">
        <v>0.67069654750178942</v>
      </c>
    </row>
    <row r="148" spans="1:7">
      <c r="A148" s="11">
        <f t="shared" si="6"/>
        <v>0.6850000000000005</v>
      </c>
      <c r="B148">
        <f t="shared" si="7"/>
        <v>0.93664980225405725</v>
      </c>
      <c r="C148">
        <f t="shared" si="8"/>
        <v>0.66891035470284133</v>
      </c>
      <c r="E148">
        <v>0.6850000000000005</v>
      </c>
      <c r="F148">
        <v>0.93638462047494941</v>
      </c>
      <c r="G148">
        <v>0.67870162982150628</v>
      </c>
    </row>
    <row r="149" spans="1:7">
      <c r="A149" s="11">
        <f t="shared" si="6"/>
        <v>0.6900000000000005</v>
      </c>
      <c r="B149">
        <f t="shared" si="7"/>
        <v>0.93686845812074271</v>
      </c>
      <c r="C149">
        <f t="shared" si="8"/>
        <v>0.6769187105121135</v>
      </c>
      <c r="E149">
        <v>0.6900000000000005</v>
      </c>
      <c r="F149">
        <v>0.93661284891409446</v>
      </c>
      <c r="G149">
        <v>0.68670872678437234</v>
      </c>
    </row>
    <row r="150" spans="1:7">
      <c r="A150" s="11">
        <f t="shared" si="6"/>
        <v>0.69500000000000051</v>
      </c>
      <c r="B150">
        <f t="shared" si="7"/>
        <v>0.93707289078476763</v>
      </c>
      <c r="C150">
        <f t="shared" si="8"/>
        <v>0.68492893582904579</v>
      </c>
      <c r="E150">
        <v>0.69500000000000051</v>
      </c>
      <c r="F150">
        <v>0.93682671866695777</v>
      </c>
      <c r="G150">
        <v>0.69471771166965113</v>
      </c>
    </row>
    <row r="151" spans="1:7">
      <c r="A151" s="11">
        <f t="shared" si="6"/>
        <v>0.70000000000000051</v>
      </c>
      <c r="B151">
        <f t="shared" si="7"/>
        <v>0.93726401941503823</v>
      </c>
      <c r="C151">
        <f t="shared" si="8"/>
        <v>0.69294090904525552</v>
      </c>
      <c r="E151">
        <v>0.70000000000000051</v>
      </c>
      <c r="F151">
        <v>0.937027127131426</v>
      </c>
      <c r="G151">
        <v>0.70272846567306957</v>
      </c>
    </row>
    <row r="152" spans="1:7">
      <c r="A152" s="11">
        <f t="shared" si="6"/>
        <v>0.70500000000000052</v>
      </c>
      <c r="B152">
        <f t="shared" si="7"/>
        <v>0.93744270454108791</v>
      </c>
      <c r="C152">
        <f t="shared" si="8"/>
        <v>0.70095451641125406</v>
      </c>
      <c r="E152">
        <v>0.70500000000000052</v>
      </c>
      <c r="F152">
        <v>0.93721491634867393</v>
      </c>
      <c r="G152">
        <v>0.71074087741890213</v>
      </c>
    </row>
    <row r="153" spans="1:7">
      <c r="A153" s="11">
        <f t="shared" si="6"/>
        <v>0.71000000000000052</v>
      </c>
      <c r="B153">
        <f t="shared" si="7"/>
        <v>0.93760975169759964</v>
      </c>
      <c r="C153">
        <f t="shared" si="8"/>
        <v>0.7089696515350804</v>
      </c>
      <c r="E153">
        <v>0.71000000000000052</v>
      </c>
      <c r="F153">
        <v>0.93739087632840568</v>
      </c>
      <c r="G153">
        <v>0.71875484250131239</v>
      </c>
    </row>
    <row r="154" spans="1:7">
      <c r="A154" s="11">
        <f t="shared" si="6"/>
        <v>0.71500000000000052</v>
      </c>
      <c r="B154">
        <f t="shared" si="7"/>
        <v>0.93776591485471006</v>
      </c>
      <c r="C154">
        <f t="shared" si="8"/>
        <v>0.71698621491209491</v>
      </c>
      <c r="E154">
        <v>0.71500000000000052</v>
      </c>
      <c r="F154">
        <v>0.93755574818540488</v>
      </c>
      <c r="G154">
        <v>0.72677026305329806</v>
      </c>
    </row>
    <row r="155" spans="1:7">
      <c r="A155" s="11">
        <f t="shared" si="6"/>
        <v>0.72000000000000053</v>
      </c>
      <c r="B155">
        <f t="shared" si="7"/>
        <v>0.93791189964509192</v>
      </c>
      <c r="C155">
        <f t="shared" si="8"/>
        <v>0.72500411348410265</v>
      </c>
      <c r="E155">
        <v>0.72000000000000053</v>
      </c>
      <c r="F155">
        <v>0.93771022709671037</v>
      </c>
      <c r="G155">
        <v>0.73478704734166644</v>
      </c>
    </row>
    <row r="156" spans="1:7">
      <c r="A156" s="11">
        <f t="shared" si="6"/>
        <v>0.72500000000000053</v>
      </c>
      <c r="B156">
        <f t="shared" si="7"/>
        <v>0.93804836639846334</v>
      </c>
      <c r="C156">
        <f t="shared" si="8"/>
        <v>0.73302326022606823</v>
      </c>
      <c r="E156">
        <v>0.72500000000000053</v>
      </c>
      <c r="F156">
        <v>0.93785496508845889</v>
      </c>
      <c r="G156">
        <v>0.74280510938654609</v>
      </c>
    </row>
    <row r="157" spans="1:7">
      <c r="A157" s="11">
        <f t="shared" si="6"/>
        <v>0.73000000000000054</v>
      </c>
      <c r="B157">
        <f t="shared" si="7"/>
        <v>0.93817593299380198</v>
      </c>
      <c r="C157">
        <f t="shared" si="8"/>
        <v>0.74104357375877505</v>
      </c>
      <c r="E157">
        <v>0.73000000000000054</v>
      </c>
      <c r="F157">
        <v>0.9379905736611367</v>
      </c>
      <c r="G157">
        <v>0.75082436860401669</v>
      </c>
    </row>
    <row r="158" spans="1:7">
      <c r="A158" s="11">
        <f t="shared" si="6"/>
        <v>0.73500000000000054</v>
      </c>
      <c r="B158">
        <f t="shared" si="7"/>
        <v>0.93829517753915581</v>
      </c>
      <c r="C158">
        <f t="shared" si="8"/>
        <v>0.74906497798587202</v>
      </c>
      <c r="E158">
        <v>0.73500000000000054</v>
      </c>
      <c r="F158">
        <v>0.93811762626167572</v>
      </c>
      <c r="G158">
        <v>0.75884474947051117</v>
      </c>
    </row>
    <row r="159" spans="1:7">
      <c r="A159" s="11">
        <f t="shared" si="6"/>
        <v>0.74000000000000055</v>
      </c>
      <c r="B159">
        <f t="shared" si="7"/>
        <v>0.93840664088854819</v>
      </c>
      <c r="C159">
        <f t="shared" si="8"/>
        <v>0.75708740175383182</v>
      </c>
      <c r="E159">
        <v>0.74000000000000055</v>
      </c>
      <c r="F159">
        <v>0.93823666061050837</v>
      </c>
      <c r="G159">
        <v>0.76686618120771755</v>
      </c>
    </row>
    <row r="160" spans="1:7">
      <c r="A160" s="11">
        <f t="shared" si="6"/>
        <v>0.74500000000000055</v>
      </c>
      <c r="B160">
        <f t="shared" si="7"/>
        <v>0.93851082900507343</v>
      </c>
      <c r="C160">
        <f t="shared" si="8"/>
        <v>0.7651107785334289</v>
      </c>
      <c r="E160">
        <v>0.74500000000000055</v>
      </c>
      <c r="F160">
        <v>0.93834818089137229</v>
      </c>
      <c r="G160">
        <v>0.77488859748677275</v>
      </c>
    </row>
    <row r="161" spans="1:7">
      <c r="A161" s="11">
        <f t="shared" si="6"/>
        <v>0.75000000000000056</v>
      </c>
      <c r="B161">
        <f t="shared" si="7"/>
        <v>0.93860821517887782</v>
      </c>
      <c r="C161">
        <f t="shared" si="8"/>
        <v>0.77313504612142225</v>
      </c>
      <c r="E161">
        <v>0.75000000000000056</v>
      </c>
      <c r="F161">
        <v>0.93845265981133019</v>
      </c>
      <c r="G161">
        <v>0.78291193615060928</v>
      </c>
    </row>
    <row r="162" spans="1:7">
      <c r="A162" s="11">
        <f t="shared" si="6"/>
        <v>0.75500000000000056</v>
      </c>
      <c r="B162">
        <f t="shared" si="7"/>
        <v>0.93869924210832434</v>
      </c>
      <c r="C162">
        <f t="shared" si="8"/>
        <v>0.78116014636120168</v>
      </c>
      <c r="E162">
        <v>0.75500000000000056</v>
      </c>
      <c r="F162">
        <v>0.93855054053814391</v>
      </c>
      <c r="G162">
        <v>0.79093613895337456</v>
      </c>
    </row>
    <row r="163" spans="1:7">
      <c r="A163" s="11">
        <f t="shared" si="6"/>
        <v>0.76000000000000056</v>
      </c>
      <c r="B163">
        <f t="shared" si="7"/>
        <v>0.93878432385224342</v>
      </c>
      <c r="C163">
        <f t="shared" si="8"/>
        <v>0.7891860248812278</v>
      </c>
      <c r="E163">
        <v>0.76000000000000056</v>
      </c>
      <c r="F163">
        <v>0.9386422385218206</v>
      </c>
      <c r="G163">
        <v>0.79896115131590562</v>
      </c>
    </row>
    <row r="164" spans="1:7">
      <c r="A164" s="11">
        <f t="shared" si="6"/>
        <v>0.76500000000000057</v>
      </c>
      <c r="B164">
        <f t="shared" si="7"/>
        <v>0.9388638476607869</v>
      </c>
      <c r="C164">
        <f t="shared" si="8"/>
        <v>0.79721263085016447</v>
      </c>
      <c r="E164">
        <v>0.76500000000000057</v>
      </c>
      <c r="F164">
        <v>0.93872814320683151</v>
      </c>
      <c r="G164">
        <v>0.80698692209629608</v>
      </c>
    </row>
    <row r="165" spans="1:7">
      <c r="A165" s="11">
        <f t="shared" si="6"/>
        <v>0.77000000000000057</v>
      </c>
      <c r="B165">
        <f t="shared" si="7"/>
        <v>0.93893817569202664</v>
      </c>
      <c r="C165">
        <f t="shared" si="8"/>
        <v>0.80523991674766415</v>
      </c>
      <c r="E165">
        <v>0.77000000000000057</v>
      </c>
      <c r="F165">
        <v>0.93880861964119189</v>
      </c>
      <c r="G165">
        <v>0.81501340337464911</v>
      </c>
    </row>
    <row r="166" spans="1:7">
      <c r="A166" s="11">
        <f t="shared" si="6"/>
        <v>0.77500000000000058</v>
      </c>
      <c r="B166">
        <f t="shared" si="7"/>
        <v>0.93900764662106972</v>
      </c>
      <c r="C166">
        <f t="shared" si="8"/>
        <v>0.81326783814983095</v>
      </c>
      <c r="E166">
        <v>0.77500000000000058</v>
      </c>
      <c r="F166">
        <v>0.9388840099882898</v>
      </c>
      <c r="G166">
        <v>0.82304055025115896</v>
      </c>
    </row>
    <row r="167" spans="1:7">
      <c r="A167" s="11">
        <f t="shared" si="6"/>
        <v>0.78000000000000058</v>
      </c>
      <c r="B167">
        <f t="shared" si="7"/>
        <v>0.93907257714811043</v>
      </c>
      <c r="C167">
        <f t="shared" si="8"/>
        <v>0.8212963535284411</v>
      </c>
      <c r="E167">
        <v>0.78000000000000058</v>
      </c>
      <c r="F167">
        <v>0.93895463494705345</v>
      </c>
      <c r="G167">
        <v>0.83106832065671521</v>
      </c>
    </row>
    <row r="168" spans="1:7">
      <c r="A168" s="11">
        <f t="shared" si="6"/>
        <v>0.78500000000000059</v>
      </c>
      <c r="B168">
        <f t="shared" si="7"/>
        <v>0.93913326341149317</v>
      </c>
      <c r="C168">
        <f t="shared" si="8"/>
        <v>0.82932542406305743</v>
      </c>
      <c r="E168">
        <v>0.78500000000000059</v>
      </c>
      <c r="F168">
        <v>0.93902079508576497</v>
      </c>
      <c r="G168">
        <v>0.83909667517526854</v>
      </c>
    </row>
    <row r="169" spans="1:7">
      <c r="A169" s="11">
        <f t="shared" si="6"/>
        <v>0.79000000000000059</v>
      </c>
      <c r="B169">
        <f t="shared" si="7"/>
        <v>0.93918998231153339</v>
      </c>
      <c r="C169">
        <f t="shared" si="8"/>
        <v>0.83735501346522567</v>
      </c>
      <c r="E169">
        <v>0.79000000000000059</v>
      </c>
      <c r="F169">
        <v>0.93908277209455016</v>
      </c>
      <c r="G169">
        <v>0.84712557687724255</v>
      </c>
    </row>
    <row r="170" spans="1:7">
      <c r="A170" s="11">
        <f t="shared" si="6"/>
        <v>0.7950000000000006</v>
      </c>
      <c r="B170">
        <f t="shared" si="7"/>
        <v>0.93924299275052481</v>
      </c>
      <c r="C170">
        <f t="shared" si="8"/>
        <v>0.84538508781398924</v>
      </c>
      <c r="E170">
        <v>0.7950000000000006</v>
      </c>
      <c r="F170">
        <v>0.93914082996131021</v>
      </c>
      <c r="G170">
        <v>0.8551549911633165</v>
      </c>
    </row>
    <row r="171" spans="1:7">
      <c r="A171" s="11">
        <f t="shared" si="6"/>
        <v>0.8000000000000006</v>
      </c>
      <c r="B171">
        <f t="shared" si="7"/>
        <v>0.93929253679405855</v>
      </c>
      <c r="C171">
        <f t="shared" si="8"/>
        <v>0.85341561540200628</v>
      </c>
      <c r="E171">
        <v>0.8000000000000006</v>
      </c>
      <c r="F171">
        <v>0.9391952160756053</v>
      </c>
      <c r="G171">
        <v>0.86318488561794493</v>
      </c>
    </row>
    <row r="172" spans="1:7">
      <c r="A172" s="11">
        <f t="shared" si="6"/>
        <v>0.8050000000000006</v>
      </c>
      <c r="B172">
        <f t="shared" si="7"/>
        <v>0.93933884075848995</v>
      </c>
      <c r="C172">
        <f t="shared" si="8"/>
        <v>0.86144656659159546</v>
      </c>
      <c r="E172">
        <v>0.8050000000000006</v>
      </c>
      <c r="F172">
        <v>0.93924616226475599</v>
      </c>
      <c r="G172">
        <v>0.87121522987201627</v>
      </c>
    </row>
    <row r="173" spans="1:7">
      <c r="A173" s="11">
        <f t="shared" si="6"/>
        <v>0.81000000000000061</v>
      </c>
      <c r="B173">
        <f t="shared" si="7"/>
        <v>0.93938211622911094</v>
      </c>
      <c r="C173">
        <f t="shared" si="8"/>
        <v>0.86947791368008054</v>
      </c>
      <c r="E173">
        <v>0.81000000000000061</v>
      </c>
      <c r="F173">
        <v>0.9392938857661941</v>
      </c>
      <c r="G173">
        <v>0.87924599547408888</v>
      </c>
    </row>
    <row r="174" spans="1:7">
      <c r="A174" s="11">
        <f t="shared" si="6"/>
        <v>0.81500000000000061</v>
      </c>
      <c r="B174">
        <f t="shared" si="7"/>
        <v>0.93942256101332411</v>
      </c>
      <c r="C174">
        <f t="shared" si="8"/>
        <v>0.87750963077383948</v>
      </c>
      <c r="E174">
        <v>0.81500000000000061</v>
      </c>
      <c r="F174">
        <v>0.93933859013987153</v>
      </c>
      <c r="G174">
        <v>0.88727715576967681</v>
      </c>
    </row>
    <row r="175" spans="1:7">
      <c r="A175" s="11">
        <f t="shared" si="6"/>
        <v>0.82000000000000062</v>
      </c>
      <c r="B175">
        <f t="shared" si="7"/>
        <v>0.93946036003286226</v>
      </c>
      <c r="C175">
        <f t="shared" si="8"/>
        <v>0.88554169367050339</v>
      </c>
      <c r="E175">
        <v>0.82000000000000062</v>
      </c>
      <c r="F175">
        <v>0.93938046612432158</v>
      </c>
      <c r="G175">
        <v>0.8953086857880872</v>
      </c>
    </row>
    <row r="176" spans="1:7">
      <c r="A176" s="11">
        <f t="shared" si="6"/>
        <v>0.82500000000000062</v>
      </c>
      <c r="B176">
        <f t="shared" si="7"/>
        <v>0.93949568615885892</v>
      </c>
      <c r="C176">
        <f t="shared" si="8"/>
        <v>0.89357407974878433</v>
      </c>
      <c r="E176">
        <v>0.82500000000000062</v>
      </c>
      <c r="F176">
        <v>0.93941969243976586</v>
      </c>
      <c r="G176">
        <v>0.90334056213634439</v>
      </c>
    </row>
    <row r="177" spans="1:7">
      <c r="A177" s="11">
        <f t="shared" si="6"/>
        <v>0.83000000000000063</v>
      </c>
      <c r="B177">
        <f t="shared" si="7"/>
        <v>0.93952870099335206</v>
      </c>
      <c r="C177">
        <f t="shared" si="8"/>
        <v>0.90160676786544258</v>
      </c>
      <c r="E177">
        <v>0.83000000000000063</v>
      </c>
      <c r="F177">
        <v>0.93945643654146382</v>
      </c>
      <c r="G177">
        <v>0.9113727628997601</v>
      </c>
    </row>
    <row r="178" spans="1:7">
      <c r="A178" s="11">
        <f t="shared" si="6"/>
        <v>0.83500000000000063</v>
      </c>
      <c r="B178">
        <f t="shared" si="7"/>
        <v>0.93955955560058502</v>
      </c>
      <c r="C178">
        <f t="shared" si="8"/>
        <v>0.90963973825893574</v>
      </c>
      <c r="E178">
        <v>0.83500000000000063</v>
      </c>
      <c r="F178">
        <v>0.93949085532632126</v>
      </c>
      <c r="G178">
        <v>0.91940526754873886</v>
      </c>
    </row>
    <row r="179" spans="1:7">
      <c r="A179" s="11">
        <f t="shared" si="6"/>
        <v>0.84000000000000064</v>
      </c>
      <c r="B179">
        <f t="shared" si="7"/>
        <v>0.93958839119127002</v>
      </c>
      <c r="C179">
        <f t="shared" si="8"/>
        <v>0.91767297245932078</v>
      </c>
      <c r="E179">
        <v>0.84000000000000064</v>
      </c>
      <c r="F179">
        <v>0.93952309579559801</v>
      </c>
      <c r="G179">
        <v>0.92743805685143144</v>
      </c>
    </row>
    <row r="180" spans="1:7">
      <c r="A180" s="11">
        <f t="shared" si="6"/>
        <v>0.84500000000000064</v>
      </c>
      <c r="B180">
        <f t="shared" si="7"/>
        <v>0.93961533976278577</v>
      </c>
      <c r="C180">
        <f t="shared" si="8"/>
        <v>0.92570645320400613</v>
      </c>
      <c r="E180">
        <v>0.84500000000000064</v>
      </c>
      <c r="F180">
        <v>0.93955329567639034</v>
      </c>
      <c r="G180">
        <v>0.93547111279187189</v>
      </c>
    </row>
    <row r="181" spans="1:7">
      <c r="A181" s="11">
        <f t="shared" si="6"/>
        <v>0.85000000000000064</v>
      </c>
      <c r="B181">
        <f t="shared" si="7"/>
        <v>0.93964052469810078</v>
      </c>
      <c r="C181">
        <f t="shared" si="8"/>
        <v>0.933740164358978</v>
      </c>
      <c r="E181">
        <v>0.85000000000000064</v>
      </c>
      <c r="F181">
        <v>0.93958158400440717</v>
      </c>
      <c r="G181">
        <v>0.94350441849325795</v>
      </c>
    </row>
    <row r="182" spans="1:7">
      <c r="A182" s="11">
        <f t="shared" si="6"/>
        <v>0.85500000000000065</v>
      </c>
      <c r="B182">
        <f t="shared" si="7"/>
        <v>0.93966406132604186</v>
      </c>
      <c r="C182">
        <f t="shared" si="8"/>
        <v>0.94177409084514674</v>
      </c>
      <c r="E182">
        <v>0.85500000000000065</v>
      </c>
      <c r="F182">
        <v>0.93960808167041032</v>
      </c>
      <c r="G182">
        <v>0.95153795814605313</v>
      </c>
    </row>
    <row r="183" spans="1:7">
      <c r="A183" s="11">
        <f t="shared" si="6"/>
        <v>0.86000000000000065</v>
      </c>
      <c r="B183">
        <f t="shared" si="7"/>
        <v>0.93968605744536815</v>
      </c>
      <c r="C183">
        <f t="shared" si="8"/>
        <v>0.94980821856948439</v>
      </c>
      <c r="E183">
        <v>0.86000000000000065</v>
      </c>
      <c r="F183">
        <v>0.93963290193254967</v>
      </c>
      <c r="G183">
        <v>0.95957171694061116</v>
      </c>
    </row>
    <row r="184" spans="1:7">
      <c r="A184" s="11">
        <f t="shared" si="6"/>
        <v>0.86500000000000066</v>
      </c>
      <c r="B184">
        <f t="shared" si="7"/>
        <v>0.9397066138149569</v>
      </c>
      <c r="C184">
        <f t="shared" si="8"/>
        <v>0.95784253436064226</v>
      </c>
      <c r="E184">
        <v>0.86500000000000066</v>
      </c>
      <c r="F184">
        <v>0.93965615089669052</v>
      </c>
      <c r="G184">
        <v>0.96760568100403876</v>
      </c>
    </row>
    <row r="185" spans="1:7">
      <c r="A185" s="11">
        <f t="shared" si="6"/>
        <v>0.87000000000000066</v>
      </c>
      <c r="B185">
        <f t="shared" si="7"/>
        <v>0.93972582461226639</v>
      </c>
      <c r="C185">
        <f t="shared" si="8"/>
        <v>0.96587702590876012</v>
      </c>
      <c r="E185">
        <v>0.87000000000000066</v>
      </c>
      <c r="F185">
        <v>0.93967792796670635</v>
      </c>
      <c r="G185">
        <v>0.97563983734103288</v>
      </c>
    </row>
    <row r="186" spans="1:7">
      <c r="A186" s="11">
        <f t="shared" si="6"/>
        <v>0.87500000000000067</v>
      </c>
      <c r="B186">
        <f t="shared" si="7"/>
        <v>0.93974377786210406</v>
      </c>
      <c r="C186">
        <f t="shared" si="8"/>
        <v>0.97391168170919495</v>
      </c>
      <c r="E186">
        <v>0.87500000000000067</v>
      </c>
      <c r="F186">
        <v>0.93969832626659111</v>
      </c>
      <c r="G186">
        <v>0.98367417377844368</v>
      </c>
    </row>
    <row r="187" spans="1:7">
      <c r="A187" s="11">
        <f t="shared" si="6"/>
        <v>0.88000000000000067</v>
      </c>
      <c r="B187">
        <f t="shared" si="7"/>
        <v>0.93976055583760343</v>
      </c>
      <c r="C187">
        <f t="shared" si="8"/>
        <v>0.98194649100991593</v>
      </c>
      <c r="E187">
        <v>0.88000000000000067</v>
      </c>
      <c r="F187">
        <v>0.93971743303613342</v>
      </c>
      <c r="G187">
        <v>0.99170867891332959</v>
      </c>
    </row>
    <row r="188" spans="1:7">
      <c r="A188" s="11">
        <f t="shared" si="6"/>
        <v>0.88500000000000068</v>
      </c>
      <c r="B188">
        <f t="shared" si="7"/>
        <v>0.93977623543519284</v>
      </c>
      <c r="C188">
        <f t="shared" si="8"/>
        <v>0.98998144376232744</v>
      </c>
      <c r="E188">
        <v>0.88500000000000068</v>
      </c>
      <c r="F188">
        <v>0.93973533000179132</v>
      </c>
      <c r="G188">
        <v>0.99974334206428606</v>
      </c>
    </row>
    <row r="189" spans="1:7">
      <c r="A189" s="11">
        <f t="shared" si="6"/>
        <v>0.89000000000000068</v>
      </c>
      <c r="B189">
        <f t="shared" si="7"/>
        <v>0.93979088852522707</v>
      </c>
      <c r="C189">
        <f t="shared" si="8"/>
        <v>0.99801653057529838</v>
      </c>
      <c r="E189">
        <v>0.89000000000000068</v>
      </c>
      <c r="F189">
        <v>0.9397520937243049</v>
      </c>
      <c r="G189">
        <v>1.0077781532258423</v>
      </c>
    </row>
    <row r="190" spans="1:7">
      <c r="A190" s="11">
        <f t="shared" si="6"/>
        <v>0.89500000000000068</v>
      </c>
      <c r="B190">
        <f t="shared" si="7"/>
        <v>0.93980458227984764</v>
      </c>
      <c r="C190">
        <f t="shared" si="8"/>
        <v>1.0060517426721891</v>
      </c>
      <c r="E190">
        <v>0.89500000000000068</v>
      </c>
      <c r="F190">
        <v>0.93976779592449244</v>
      </c>
      <c r="G190">
        <v>1.0158131030257338</v>
      </c>
    </row>
    <row r="191" spans="1:7">
      <c r="A191" s="11">
        <f t="shared" si="6"/>
        <v>0.90000000000000069</v>
      </c>
      <c r="B191">
        <f t="shared" si="7"/>
        <v>0.93981737947953936</v>
      </c>
      <c r="C191">
        <f t="shared" si="8"/>
        <v>1.0140870718506818</v>
      </c>
      <c r="E191">
        <v>0.90000000000000069</v>
      </c>
      <c r="F191">
        <v>0.93978250378858663</v>
      </c>
      <c r="G191">
        <v>1.0238481826848702</v>
      </c>
    </row>
    <row r="192" spans="1:7">
      <c r="A192" s="11">
        <f t="shared" si="6"/>
        <v>0.90500000000000069</v>
      </c>
      <c r="B192">
        <f t="shared" si="7"/>
        <v>0.93982933879975539</v>
      </c>
      <c r="C192">
        <f t="shared" si="8"/>
        <v>1.0221225104452318</v>
      </c>
      <c r="E192">
        <v>0.90500000000000069</v>
      </c>
      <c r="F192">
        <v>0.93979628025438533</v>
      </c>
      <c r="G192">
        <v>1.0318833839798291</v>
      </c>
    </row>
    <row r="193" spans="1:7">
      <c r="A193" s="11">
        <f t="shared" si="6"/>
        <v>0.9100000000000007</v>
      </c>
      <c r="B193">
        <f t="shared" si="7"/>
        <v>0.93984051507889954</v>
      </c>
      <c r="C193">
        <f t="shared" si="8"/>
        <v>1.0301580512919697</v>
      </c>
      <c r="E193">
        <v>0.9100000000000007</v>
      </c>
      <c r="F193">
        <v>0.93980918427941262</v>
      </c>
      <c r="G193">
        <v>1.0399186992077167</v>
      </c>
    </row>
    <row r="194" spans="1:7">
      <c r="A194" s="11">
        <f t="shared" si="6"/>
        <v>0.9150000000000007</v>
      </c>
      <c r="B194">
        <f t="shared" si="7"/>
        <v>0.93985095956886855</v>
      </c>
      <c r="C194">
        <f t="shared" si="8"/>
        <v>1.0381936876958944</v>
      </c>
      <c r="E194">
        <v>0.9150000000000007</v>
      </c>
      <c r="F194">
        <v>0.93982127109221258</v>
      </c>
      <c r="G194">
        <v>1.0479541211532464</v>
      </c>
    </row>
    <row r="195" spans="1:7">
      <c r="A195" s="11">
        <f t="shared" si="6"/>
        <v>0.92000000000000071</v>
      </c>
      <c r="B195">
        <f t="shared" si="7"/>
        <v>0.93986072016928346</v>
      </c>
      <c r="C195">
        <f t="shared" si="8"/>
        <v>1.0462294134002081</v>
      </c>
      <c r="E195">
        <v>0.92000000000000071</v>
      </c>
      <c r="F195">
        <v>0.93983259242783035</v>
      </c>
      <c r="G195">
        <v>1.0559896430578974</v>
      </c>
    </row>
    <row r="196" spans="1:7">
      <c r="A196" s="11">
        <f t="shared" si="6"/>
        <v>0.92500000000000071</v>
      </c>
      <c r="B196">
        <f t="shared" si="7"/>
        <v>0.93986984164646548</v>
      </c>
      <c r="C196">
        <f t="shared" si="8"/>
        <v>1.0542652225576554</v>
      </c>
      <c r="E196">
        <v>0.92500000000000071</v>
      </c>
      <c r="F196">
        <v>0.93984319674846761</v>
      </c>
      <c r="G196">
        <v>1.0640252585910199</v>
      </c>
    </row>
    <row r="197" spans="1:7">
      <c r="A197" s="11">
        <f t="shared" si="6"/>
        <v>0.93000000000000071</v>
      </c>
      <c r="B197">
        <f t="shared" si="7"/>
        <v>0.93987836583814499</v>
      </c>
      <c r="C197">
        <f t="shared" si="8"/>
        <v>1.0623011097037327</v>
      </c>
      <c r="E197">
        <v>0.93000000000000071</v>
      </c>
      <c r="F197">
        <v>0.93985312945024213</v>
      </c>
      <c r="G197">
        <v>1.0720609618227657</v>
      </c>
    </row>
    <row r="198" spans="1:7">
      <c r="A198" s="11">
        <f t="shared" si="6"/>
        <v>0.93500000000000072</v>
      </c>
      <c r="B198">
        <f t="shared" si="7"/>
        <v>0.93988633184482739</v>
      </c>
      <c r="C198">
        <f t="shared" si="8"/>
        <v>1.0703370697316488</v>
      </c>
      <c r="E198">
        <v>0.93500000000000072</v>
      </c>
      <c r="F198">
        <v>0.93986243305691963</v>
      </c>
      <c r="G198">
        <v>1.0800967471987293</v>
      </c>
    </row>
    <row r="199" spans="1:7">
      <c r="A199" s="11">
        <f t="shared" si="6"/>
        <v>0.94000000000000072</v>
      </c>
      <c r="B199">
        <f t="shared" si="7"/>
        <v>0.93989377620868331</v>
      </c>
      <c r="C199">
        <f t="shared" si="8"/>
        <v>1.0783730978689221</v>
      </c>
      <c r="E199">
        <v>0.94000000000000072</v>
      </c>
      <c r="F199">
        <v>0.93987114740143629</v>
      </c>
      <c r="G199">
        <v>1.0881326095161923</v>
      </c>
    </row>
    <row r="200" spans="1:7">
      <c r="A200" s="11">
        <f t="shared" si="6"/>
        <v>0.94500000000000073</v>
      </c>
      <c r="B200">
        <f t="shared" si="7"/>
        <v>0.93990073308077104</v>
      </c>
      <c r="C200">
        <f t="shared" si="8"/>
        <v>1.0864091896555064</v>
      </c>
      <c r="E200">
        <v>0.94500000000000073</v>
      </c>
      <c r="F200">
        <v>0.93987930979597611</v>
      </c>
      <c r="G200">
        <v>1.0961685439018671</v>
      </c>
    </row>
    <row r="201" spans="1:7">
      <c r="A201" s="11">
        <f t="shared" si="6"/>
        <v>0.95000000000000073</v>
      </c>
      <c r="B201">
        <f t="shared" si="7"/>
        <v>0.93990723437735091</v>
      </c>
      <c r="C201">
        <f t="shared" si="8"/>
        <v>1.094445340923347</v>
      </c>
      <c r="E201">
        <v>0.95000000000000073</v>
      </c>
      <c r="F201">
        <v>0.93988695519132226</v>
      </c>
      <c r="G201">
        <v>1.1042045457910494</v>
      </c>
    </row>
    <row r="202" spans="1:7">
      <c r="A202" s="11">
        <f t="shared" si="6"/>
        <v>0.95500000000000074</v>
      </c>
      <c r="B202">
        <f t="shared" si="7"/>
        <v>0.93991330992599864</v>
      </c>
      <c r="C202">
        <f t="shared" si="8"/>
        <v>1.1024815477772734</v>
      </c>
      <c r="E202">
        <v>0.95500000000000074</v>
      </c>
      <c r="F202">
        <v>0.93989411632615594</v>
      </c>
      <c r="G202">
        <v>1.112240610908088</v>
      </c>
    </row>
    <row r="203" spans="1:7">
      <c r="A203" s="11">
        <f t="shared" si="6"/>
        <v>0.96000000000000074</v>
      </c>
      <c r="B203">
        <f t="shared" si="7"/>
        <v>0.9399189876021824</v>
      </c>
      <c r="C203">
        <f t="shared" si="8"/>
        <v>1.1105178065771406</v>
      </c>
      <c r="E203">
        <v>0.96000000000000074</v>
      </c>
      <c r="F203">
        <v>0.93990082386693363</v>
      </c>
      <c r="G203">
        <v>1.1202767352480891</v>
      </c>
    </row>
    <row r="204" spans="1:7">
      <c r="A204" s="11">
        <f t="shared" si="6"/>
        <v>0.96500000000000075</v>
      </c>
      <c r="B204">
        <f t="shared" si="7"/>
        <v>0.93992429345692341</v>
      </c>
      <c r="C204">
        <f t="shared" si="8"/>
        <v>1.1185541139211392</v>
      </c>
      <c r="E204">
        <v>0.96500000000000075</v>
      </c>
      <c r="F204">
        <v>0.93990710653893617</v>
      </c>
      <c r="G204">
        <v>1.1283129150597784</v>
      </c>
    </row>
    <row r="205" spans="1:7">
      <c r="A205" s="11">
        <f t="shared" ref="A205:A211" si="9">A204 + $B$4</f>
        <v>0.97000000000000075</v>
      </c>
      <c r="B205">
        <f t="shared" ref="B205:B211" si="10">B204 + $B$4*( $B$1*B204 - ($B$1/$B$2)*B204^2 )</f>
        <v>0.93992925183612042</v>
      </c>
      <c r="C205">
        <f t="shared" ref="C205:C211" si="11">C204 + $B$4*( $B$3*B204 )</f>
        <v>1.126590466630196</v>
      </c>
      <c r="E205">
        <v>0.97000000000000075</v>
      </c>
      <c r="F205">
        <v>0.93991299124904371</v>
      </c>
      <c r="G205">
        <v>1.136349146829446</v>
      </c>
    </row>
    <row r="206" spans="1:7">
      <c r="A206" s="11">
        <f t="shared" si="9"/>
        <v>0.97500000000000075</v>
      </c>
      <c r="B206">
        <f t="shared" si="10"/>
        <v>0.93993388549208079</v>
      </c>
      <c r="C206">
        <f t="shared" si="11"/>
        <v>1.1346268617333948</v>
      </c>
      <c r="E206">
        <v>0.97500000000000075</v>
      </c>
      <c r="F206">
        <v>0.93991850320075832</v>
      </c>
      <c r="G206">
        <v>1.144385427265908</v>
      </c>
    </row>
    <row r="207" spans="1:7">
      <c r="A207" s="11">
        <f t="shared" si="9"/>
        <v>0.98000000000000076</v>
      </c>
      <c r="B207">
        <f t="shared" si="10"/>
        <v>0.93993821568776559</v>
      </c>
      <c r="C207">
        <f t="shared" si="11"/>
        <v>1.1426632964543522</v>
      </c>
      <c r="E207">
        <v>0.98000000000000076</v>
      </c>
      <c r="F207">
        <v>0.93992366600196087</v>
      </c>
      <c r="G207">
        <v>1.1524217532864185</v>
      </c>
    </row>
    <row r="208" spans="1:7">
      <c r="A208" s="11">
        <f t="shared" si="9"/>
        <v>0.98500000000000076</v>
      </c>
      <c r="B208">
        <f t="shared" si="10"/>
        <v>0.93994226229422417</v>
      </c>
      <c r="C208">
        <f t="shared" si="11"/>
        <v>1.1506997681984825</v>
      </c>
      <c r="E208">
        <v>0.98500000000000076</v>
      </c>
      <c r="F208">
        <v>0.93992850176586162</v>
      </c>
      <c r="G208">
        <v>1.1604581220034731</v>
      </c>
    </row>
    <row r="209" spans="1:7">
      <c r="A209" s="11">
        <f t="shared" si="9"/>
        <v>0.99000000000000077</v>
      </c>
      <c r="B209">
        <f t="shared" si="10"/>
        <v>0.93994604388166147</v>
      </c>
      <c r="C209">
        <f t="shared" si="11"/>
        <v>1.1587362745410981</v>
      </c>
      <c r="E209">
        <v>0.99000000000000077</v>
      </c>
      <c r="F209">
        <v>0.93993303120557159</v>
      </c>
      <c r="G209">
        <v>1.1684945307124477</v>
      </c>
    </row>
    <row r="210" spans="1:7">
      <c r="A210" s="11">
        <f t="shared" si="9"/>
        <v>0.99500000000000077</v>
      </c>
      <c r="B210">
        <f t="shared" si="10"/>
        <v>0.93994957780455335</v>
      </c>
      <c r="C210">
        <f t="shared" si="11"/>
        <v>1.1667728132162862</v>
      </c>
      <c r="E210">
        <v>0.99500000000000077</v>
      </c>
      <c r="F210">
        <v>0.93993727372269742</v>
      </c>
      <c r="G210">
        <v>1.176530976880019</v>
      </c>
    </row>
    <row r="211" spans="1:7">
      <c r="A211" s="11">
        <f t="shared" si="9"/>
        <v>1.0000000000000007</v>
      </c>
      <c r="B211">
        <f t="shared" si="10"/>
        <v>0.93995288028119861</v>
      </c>
      <c r="C211">
        <f t="shared" si="11"/>
        <v>1.1748093821065151</v>
      </c>
      <c r="E211">
        <v>1.0000000000000007</v>
      </c>
      <c r="F211">
        <v>0.93994124749033736</v>
      </c>
      <c r="G211">
        <v>1.1845674581333177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C48F3-EF82-6F4E-BA07-8BB36DAEE01A}">
  <sheetPr codeName="Sheet4"/>
  <dimension ref="A1:I48"/>
  <sheetViews>
    <sheetView workbookViewId="0">
      <selection activeCell="M19" sqref="M19"/>
    </sheetView>
  </sheetViews>
  <sheetFormatPr baseColWidth="10" defaultRowHeight="16"/>
  <cols>
    <col min="1" max="1" width="15.33203125" bestFit="1" customWidth="1"/>
  </cols>
  <sheetData>
    <row r="1" spans="1:9">
      <c r="A1" s="5" t="s">
        <v>31</v>
      </c>
      <c r="B1">
        <v>0.05</v>
      </c>
      <c r="F1" t="s">
        <v>31</v>
      </c>
      <c r="G1">
        <v>0.2</v>
      </c>
    </row>
    <row r="2" spans="1:9">
      <c r="A2" s="20" t="s">
        <v>36</v>
      </c>
      <c r="B2" s="19">
        <v>3.526586390448037</v>
      </c>
      <c r="C2" s="21" t="s">
        <v>40</v>
      </c>
      <c r="F2" s="22" t="s">
        <v>41</v>
      </c>
      <c r="G2" s="22">
        <f>SUMSQ(I6:I15)</f>
        <v>3.9955769296661945E-3</v>
      </c>
      <c r="H2" s="21" t="s">
        <v>40</v>
      </c>
    </row>
    <row r="3" spans="1:9">
      <c r="A3" s="5" t="s">
        <v>32</v>
      </c>
      <c r="B3">
        <f>1+B1-B1^2</f>
        <v>1.0475000000000001</v>
      </c>
      <c r="F3" s="25" t="s">
        <v>46</v>
      </c>
      <c r="G3" s="22"/>
      <c r="H3" s="22"/>
      <c r="I3" s="22"/>
    </row>
    <row r="4" spans="1:9">
      <c r="A4" s="20" t="s">
        <v>33</v>
      </c>
      <c r="B4" s="19">
        <f>C47 + D47 - 10</f>
        <v>8.9999999897116822E-6</v>
      </c>
      <c r="F4" s="8" t="s">
        <v>42</v>
      </c>
      <c r="G4" s="8" t="s">
        <v>6</v>
      </c>
      <c r="H4" s="23" t="s">
        <v>43</v>
      </c>
      <c r="I4" s="23" t="s">
        <v>44</v>
      </c>
    </row>
    <row r="5" spans="1:9">
      <c r="A5" s="24" t="s">
        <v>45</v>
      </c>
      <c r="B5" s="19"/>
      <c r="C5" s="19"/>
      <c r="D5" s="19"/>
      <c r="E5" s="19"/>
      <c r="F5">
        <v>0</v>
      </c>
      <c r="G5">
        <v>0</v>
      </c>
      <c r="H5">
        <v>1</v>
      </c>
      <c r="I5">
        <v>0</v>
      </c>
    </row>
    <row r="6" spans="1:9">
      <c r="A6" s="8" t="s">
        <v>34</v>
      </c>
      <c r="B6" s="8" t="s">
        <v>6</v>
      </c>
      <c r="C6" s="8" t="s">
        <v>35</v>
      </c>
      <c r="D6" s="8" t="s">
        <v>37</v>
      </c>
      <c r="F6">
        <f>F5+1</f>
        <v>1</v>
      </c>
      <c r="G6">
        <f>G5+$G$1</f>
        <v>0.2</v>
      </c>
      <c r="H6">
        <v>1.6668000012580317</v>
      </c>
      <c r="I6">
        <f>(H7 - 2*H6 + H5)/$G$1^2 + (H7 - H5)/(2*$G$1) - H6 + 1</f>
        <v>-8.6849225999152679E-4</v>
      </c>
    </row>
    <row r="7" spans="1:9">
      <c r="A7">
        <v>0</v>
      </c>
      <c r="B7">
        <v>0</v>
      </c>
      <c r="C7">
        <v>1</v>
      </c>
      <c r="D7">
        <f>$B$2</f>
        <v>3.526586390448037</v>
      </c>
      <c r="F7">
        <f t="shared" ref="F7:F15" si="0">F6+1</f>
        <v>2</v>
      </c>
      <c r="G7">
        <f t="shared" ref="G7:G14" si="1">G6+$G$1</f>
        <v>0.4</v>
      </c>
      <c r="H7">
        <v>2.2365793298872592</v>
      </c>
      <c r="I7">
        <f t="shared" ref="I7:I14" si="2">(H8 - 2*H7 + H6)/$G$1^2 + (H8 - H6)/(2*$G$1) - H7 + 1</f>
        <v>-4.3110384834021964E-4</v>
      </c>
    </row>
    <row r="8" spans="1:9">
      <c r="A8">
        <f>A7+1</f>
        <v>1</v>
      </c>
      <c r="B8">
        <f>B7+$B$1</f>
        <v>0.05</v>
      </c>
      <c r="C8">
        <f>($B$1*D7 + $B$1*C7 + C7 - $B$1^2)/$B$3</f>
        <v>1.1683334792576627</v>
      </c>
      <c r="D8">
        <f>(D7 + $B$1*C7 - $B$1)/$B$3</f>
        <v>3.3666695851532569</v>
      </c>
      <c r="F8">
        <f t="shared" si="0"/>
        <v>3</v>
      </c>
      <c r="G8">
        <f t="shared" si="1"/>
        <v>0.60000000000000009</v>
      </c>
      <c r="H8">
        <v>2.7477132615307696</v>
      </c>
      <c r="I8">
        <f t="shared" si="2"/>
        <v>8.3841165553621977E-4</v>
      </c>
    </row>
    <row r="9" spans="1:9">
      <c r="A9">
        <f t="shared" ref="A9:A47" si="3">A8+1</f>
        <v>2</v>
      </c>
      <c r="B9">
        <f t="shared" ref="B9:B47" si="4">B8+$B$1</f>
        <v>0.1</v>
      </c>
      <c r="C9">
        <f t="shared" ref="C9:C47" si="5">($B$1*D8 + $B$1*C8 + C8 - $B$1^2)/$B$3</f>
        <v>1.3294354486665476</v>
      </c>
      <c r="D9">
        <f t="shared" ref="D9:D47" si="6">(D8 + $B$1*C8 - $B$1)/$B$3</f>
        <v>3.222039388177699</v>
      </c>
      <c r="F9">
        <f t="shared" si="0"/>
        <v>4</v>
      </c>
      <c r="G9">
        <f t="shared" si="1"/>
        <v>0.8</v>
      </c>
      <c r="H9">
        <v>3.2294974482640528</v>
      </c>
      <c r="I9">
        <f t="shared" si="2"/>
        <v>2.6165525386345756E-3</v>
      </c>
    </row>
    <row r="10" spans="1:9">
      <c r="A10">
        <f t="shared" si="3"/>
        <v>3</v>
      </c>
      <c r="B10">
        <f t="shared" si="4"/>
        <v>0.15000000000000002</v>
      </c>
      <c r="C10">
        <f t="shared" si="5"/>
        <v>1.4840183202947588</v>
      </c>
      <c r="D10">
        <f t="shared" si="6"/>
        <v>3.0916574325642254</v>
      </c>
      <c r="F10">
        <f t="shared" si="0"/>
        <v>5</v>
      </c>
      <c r="G10">
        <f t="shared" si="1"/>
        <v>1</v>
      </c>
      <c r="H10">
        <v>3.7048522919841096</v>
      </c>
      <c r="I10">
        <f t="shared" si="2"/>
        <v>4.7435862026383724E-3</v>
      </c>
    </row>
    <row r="11" spans="1:9">
      <c r="A11">
        <f t="shared" si="3"/>
        <v>4</v>
      </c>
      <c r="B11">
        <f t="shared" si="4"/>
        <v>0.2</v>
      </c>
      <c r="C11">
        <f t="shared" si="5"/>
        <v>1.6327466424226329</v>
      </c>
      <c r="D11">
        <f t="shared" si="6"/>
        <v>2.9745664425574829</v>
      </c>
      <c r="F11">
        <f t="shared" si="0"/>
        <v>6</v>
      </c>
      <c r="G11">
        <f t="shared" si="1"/>
        <v>1.2</v>
      </c>
      <c r="H11">
        <v>4.1923097415073105</v>
      </c>
      <c r="I11">
        <f t="shared" si="2"/>
        <v>7.0258687950257581E-3</v>
      </c>
    </row>
    <row r="12" spans="1:9">
      <c r="A12">
        <f t="shared" si="3"/>
        <v>5</v>
      </c>
      <c r="B12">
        <f t="shared" si="4"/>
        <v>0.25</v>
      </c>
      <c r="C12">
        <f t="shared" si="5"/>
        <v>1.7762408560111107</v>
      </c>
      <c r="D12">
        <f t="shared" si="6"/>
        <v>2.8698842717695605</v>
      </c>
      <c r="F12">
        <f t="shared" si="0"/>
        <v>7</v>
      </c>
      <c r="G12">
        <f t="shared" si="1"/>
        <v>1.4</v>
      </c>
      <c r="H12">
        <v>4.7074780405827417</v>
      </c>
      <c r="I12">
        <f t="shared" si="2"/>
        <v>9.2358635329965466E-3</v>
      </c>
    </row>
    <row r="13" spans="1:9">
      <c r="A13">
        <f t="shared" si="3"/>
        <v>6</v>
      </c>
      <c r="B13">
        <f t="shared" si="4"/>
        <v>0.3</v>
      </c>
      <c r="C13">
        <f t="shared" si="5"/>
        <v>1.9150807755609969</v>
      </c>
      <c r="D13">
        <f t="shared" si="6"/>
        <v>2.7767983909977239</v>
      </c>
      <c r="F13">
        <f t="shared" si="0"/>
        <v>8</v>
      </c>
      <c r="G13">
        <f t="shared" si="1"/>
        <v>1.5999999999999999</v>
      </c>
      <c r="H13">
        <v>5.2641326090668485</v>
      </c>
      <c r="I13">
        <f t="shared" si="2"/>
        <v>1.1115297770865062E-2</v>
      </c>
    </row>
    <row r="14" spans="1:9">
      <c r="A14">
        <f t="shared" si="3"/>
        <v>7</v>
      </c>
      <c r="B14">
        <f t="shared" si="4"/>
        <v>0.35</v>
      </c>
      <c r="C14">
        <f t="shared" si="5"/>
        <v>2.0498088151684319</v>
      </c>
      <c r="D14">
        <f t="shared" si="6"/>
        <v>2.6945607921487102</v>
      </c>
      <c r="F14">
        <f t="shared" si="0"/>
        <v>9</v>
      </c>
      <c r="G14">
        <f t="shared" si="1"/>
        <v>1.7999999999999998</v>
      </c>
      <c r="H14">
        <v>5.8750408162570347</v>
      </c>
      <c r="I14">
        <f t="shared" si="2"/>
        <v>1.2478446952319366E-2</v>
      </c>
    </row>
    <row r="15" spans="1:9">
      <c r="A15">
        <f t="shared" si="3"/>
        <v>8</v>
      </c>
      <c r="B15">
        <f t="shared" si="4"/>
        <v>0.39999999999999997</v>
      </c>
      <c r="C15">
        <f t="shared" si="5"/>
        <v>2.1809329790303473</v>
      </c>
      <c r="D15">
        <f t="shared" si="6"/>
        <v>2.6224832772383122</v>
      </c>
      <c r="F15" s="22">
        <f t="shared" si="0"/>
        <v>10</v>
      </c>
      <c r="G15" s="22">
        <f>G14+$G$1</f>
        <v>1.9999999999999998</v>
      </c>
      <c r="H15" s="19">
        <v>6.5526027771657089</v>
      </c>
      <c r="I15" s="22">
        <f>(H15 - H14)/$G$1 + H15 - 10</f>
        <v>-5.9587418290920624E-2</v>
      </c>
    </row>
    <row r="16" spans="1:9">
      <c r="A16">
        <f t="shared" si="3"/>
        <v>9</v>
      </c>
      <c r="B16">
        <f t="shared" si="4"/>
        <v>0.44999999999999996</v>
      </c>
      <c r="C16">
        <f t="shared" si="5"/>
        <v>2.3089296342184058</v>
      </c>
      <c r="D16">
        <f t="shared" si="6"/>
        <v>2.5599331037611734</v>
      </c>
    </row>
    <row r="17" spans="1:4">
      <c r="A17">
        <f t="shared" si="3"/>
        <v>10</v>
      </c>
      <c r="B17">
        <f t="shared" si="4"/>
        <v>0.49999999999999994</v>
      </c>
      <c r="C17">
        <f t="shared" si="5"/>
        <v>2.4342460822123004</v>
      </c>
      <c r="D17">
        <f t="shared" si="6"/>
        <v>2.5063289598778939</v>
      </c>
    </row>
    <row r="18" spans="1:4">
      <c r="A18">
        <f t="shared" si="3"/>
        <v>11</v>
      </c>
      <c r="B18">
        <f t="shared" si="4"/>
        <v>0.54999999999999993</v>
      </c>
      <c r="C18">
        <f t="shared" si="5"/>
        <v>2.5573029444551882</v>
      </c>
      <c r="D18">
        <f t="shared" si="6"/>
        <v>2.4611372448577651</v>
      </c>
    </row>
    <row r="19" spans="1:4">
      <c r="A19">
        <f t="shared" si="3"/>
        <v>12</v>
      </c>
      <c r="B19">
        <f t="shared" si="4"/>
        <v>0.6</v>
      </c>
      <c r="C19">
        <f t="shared" si="5"/>
        <v>2.6784963760580767</v>
      </c>
      <c r="D19">
        <f t="shared" si="6"/>
        <v>2.4238686320577796</v>
      </c>
    </row>
    <row r="20" spans="1:4">
      <c r="A20">
        <f t="shared" si="3"/>
        <v>13</v>
      </c>
      <c r="B20">
        <f t="shared" si="4"/>
        <v>0.65</v>
      </c>
      <c r="C20">
        <f t="shared" si="5"/>
        <v>2.7982001207292311</v>
      </c>
      <c r="D20">
        <f t="shared" si="6"/>
        <v>2.3940748934230864</v>
      </c>
    </row>
    <row r="21" spans="1:4">
      <c r="A21">
        <f t="shared" si="3"/>
        <v>14</v>
      </c>
      <c r="B21">
        <f t="shared" si="4"/>
        <v>0.70000000000000007</v>
      </c>
      <c r="C21">
        <f t="shared" si="5"/>
        <v>2.9167674190327895</v>
      </c>
      <c r="D21">
        <f t="shared" si="6"/>
        <v>2.3713459660711673</v>
      </c>
    </row>
    <row r="22" spans="1:4">
      <c r="A22">
        <f t="shared" si="3"/>
        <v>15</v>
      </c>
      <c r="B22">
        <f t="shared" si="4"/>
        <v>0.75000000000000011</v>
      </c>
      <c r="C22">
        <f t="shared" si="5"/>
        <v>3.0345327811818494</v>
      </c>
      <c r="D22">
        <f t="shared" si="6"/>
        <v>2.3553072429811999</v>
      </c>
    </row>
    <row r="23" spans="1:4">
      <c r="A23">
        <f t="shared" si="3"/>
        <v>16</v>
      </c>
      <c r="B23">
        <f t="shared" si="4"/>
        <v>0.80000000000000016</v>
      </c>
      <c r="C23">
        <f t="shared" si="5"/>
        <v>3.1518136347398582</v>
      </c>
      <c r="D23">
        <f t="shared" si="6"/>
        <v>2.3456170711601834</v>
      </c>
    </row>
    <row r="24" spans="1:4">
      <c r="A24">
        <f t="shared" si="3"/>
        <v>17</v>
      </c>
      <c r="B24">
        <f t="shared" si="4"/>
        <v>0.8500000000000002</v>
      </c>
      <c r="C24">
        <f t="shared" si="5"/>
        <v>3.2689118568351887</v>
      </c>
      <c r="D24">
        <f t="shared" si="6"/>
        <v>2.3419644419066121</v>
      </c>
    </row>
    <row r="25" spans="1:4">
      <c r="A25">
        <f t="shared" si="3"/>
        <v>18</v>
      </c>
      <c r="B25">
        <f t="shared" si="4"/>
        <v>0.90000000000000024</v>
      </c>
      <c r="C25">
        <f t="shared" si="5"/>
        <v>3.3861151997826049</v>
      </c>
      <c r="D25">
        <f t="shared" si="6"/>
        <v>2.344066858948326</v>
      </c>
    </row>
    <row r="26" spans="1:4">
      <c r="A26">
        <f t="shared" si="3"/>
        <v>19</v>
      </c>
      <c r="B26">
        <f t="shared" si="4"/>
        <v>0.95000000000000029</v>
      </c>
      <c r="C26">
        <f t="shared" si="5"/>
        <v>3.5036986183476384</v>
      </c>
      <c r="D26">
        <f t="shared" si="6"/>
        <v>2.3516683713006743</v>
      </c>
    </row>
    <row r="27" spans="1:4">
      <c r="A27">
        <f t="shared" si="3"/>
        <v>20</v>
      </c>
      <c r="B27">
        <f t="shared" si="4"/>
        <v>1.0000000000000002</v>
      </c>
      <c r="C27">
        <f t="shared" si="5"/>
        <v>3.621925506281674</v>
      </c>
      <c r="D27">
        <f t="shared" si="6"/>
        <v>2.3645377586807221</v>
      </c>
    </row>
    <row r="28" spans="1:4">
      <c r="A28">
        <f t="shared" si="3"/>
        <v>21</v>
      </c>
      <c r="B28">
        <f t="shared" si="4"/>
        <v>1.0500000000000003</v>
      </c>
      <c r="C28">
        <f t="shared" si="5"/>
        <v>3.74104884919312</v>
      </c>
      <c r="D28">
        <f t="shared" si="6"/>
        <v>2.3824668582289315</v>
      </c>
    </row>
    <row r="29" spans="1:4">
      <c r="A29">
        <f t="shared" si="3"/>
        <v>22</v>
      </c>
      <c r="B29">
        <f t="shared" si="4"/>
        <v>1.1000000000000003</v>
      </c>
      <c r="C29">
        <f t="shared" si="5"/>
        <v>3.8613123002999727</v>
      </c>
      <c r="D29">
        <f t="shared" si="6"/>
        <v>2.4052690221370763</v>
      </c>
    </row>
    <row r="30" spans="1:4">
      <c r="A30">
        <f t="shared" si="3"/>
        <v>23</v>
      </c>
      <c r="B30">
        <f t="shared" si="4"/>
        <v>1.1500000000000004</v>
      </c>
      <c r="C30">
        <f t="shared" si="5"/>
        <v>3.9829511851282335</v>
      </c>
      <c r="D30">
        <f t="shared" si="6"/>
        <v>2.4327776965652266</v>
      </c>
    </row>
    <row r="31" spans="1:4">
      <c r="A31">
        <f t="shared" si="3"/>
        <v>24</v>
      </c>
      <c r="B31">
        <f t="shared" si="4"/>
        <v>1.2000000000000004</v>
      </c>
      <c r="C31">
        <f t="shared" si="5"/>
        <v>4.1061934407760434</v>
      </c>
      <c r="D31">
        <f t="shared" si="6"/>
        <v>2.4648451129562181</v>
      </c>
    </row>
    <row r="32" spans="1:4">
      <c r="A32">
        <f t="shared" si="3"/>
        <v>25</v>
      </c>
      <c r="B32">
        <f t="shared" si="4"/>
        <v>1.2500000000000004</v>
      </c>
      <c r="C32">
        <f t="shared" si="5"/>
        <v>4.2312604949524157</v>
      </c>
      <c r="D32">
        <f t="shared" si="6"/>
        <v>2.5013410835274654</v>
      </c>
    </row>
    <row r="33" spans="1:4">
      <c r="A33">
        <f t="shared" si="3"/>
        <v>26</v>
      </c>
      <c r="B33">
        <f t="shared" si="4"/>
        <v>1.3000000000000005</v>
      </c>
      <c r="C33">
        <f t="shared" si="5"/>
        <v>4.3583680896194839</v>
      </c>
      <c r="D33">
        <f t="shared" si="6"/>
        <v>2.5421518933413711</v>
      </c>
    </row>
    <row r="34" spans="1:4">
      <c r="A34">
        <f t="shared" si="3"/>
        <v>27</v>
      </c>
      <c r="B34">
        <f t="shared" si="4"/>
        <v>1.3500000000000005</v>
      </c>
      <c r="C34">
        <f t="shared" si="5"/>
        <v>4.4877270537160152</v>
      </c>
      <c r="D34">
        <f t="shared" si="6"/>
        <v>2.5871792819306396</v>
      </c>
    </row>
    <row r="35" spans="1:4">
      <c r="A35">
        <f t="shared" si="3"/>
        <v>28</v>
      </c>
      <c r="B35">
        <f t="shared" si="4"/>
        <v>1.4000000000000006</v>
      </c>
      <c r="C35">
        <f t="shared" si="5"/>
        <v>4.6195440291153673</v>
      </c>
      <c r="D35">
        <f t="shared" si="6"/>
        <v>2.6363395079870551</v>
      </c>
    </row>
    <row r="36" spans="1:4">
      <c r="A36">
        <f t="shared" si="3"/>
        <v>29</v>
      </c>
      <c r="B36">
        <f t="shared" si="4"/>
        <v>1.4500000000000006</v>
      </c>
      <c r="C36">
        <f t="shared" si="5"/>
        <v>4.7540221536711096</v>
      </c>
      <c r="D36">
        <f t="shared" si="6"/>
        <v>2.689562491114867</v>
      </c>
    </row>
    <row r="37" spans="1:4">
      <c r="A37">
        <f t="shared" si="3"/>
        <v>30</v>
      </c>
      <c r="B37">
        <f t="shared" si="4"/>
        <v>1.5000000000000007</v>
      </c>
      <c r="C37">
        <f t="shared" si="5"/>
        <v>4.8913617049264033</v>
      </c>
      <c r="D37">
        <f t="shared" si="6"/>
        <v>2.7467910251058925</v>
      </c>
    </row>
    <row r="38" spans="1:4">
      <c r="A38">
        <f t="shared" si="3"/>
        <v>31</v>
      </c>
      <c r="B38">
        <f t="shared" si="4"/>
        <v>1.5500000000000007</v>
      </c>
      <c r="C38">
        <f t="shared" si="5"/>
        <v>5.0317607078071767</v>
      </c>
      <c r="D38">
        <f t="shared" si="6"/>
        <v>2.8079800576154774</v>
      </c>
    </row>
    <row r="39" spans="1:4">
      <c r="A39">
        <f t="shared" si="3"/>
        <v>32</v>
      </c>
      <c r="B39">
        <f t="shared" si="4"/>
        <v>1.6000000000000008</v>
      </c>
      <c r="C39">
        <f t="shared" si="5"/>
        <v>5.1754155093826331</v>
      </c>
      <c r="D39">
        <f t="shared" si="6"/>
        <v>2.8730960315091516</v>
      </c>
    </row>
    <row r="40" spans="1:4">
      <c r="A40">
        <f t="shared" si="3"/>
        <v>33</v>
      </c>
      <c r="B40">
        <f t="shared" si="4"/>
        <v>1.6500000000000008</v>
      </c>
      <c r="C40">
        <f t="shared" si="5"/>
        <v>5.3225213235582061</v>
      </c>
      <c r="D40">
        <f t="shared" si="6"/>
        <v>2.9421162835114876</v>
      </c>
    </row>
    <row r="41" spans="1:4">
      <c r="A41">
        <f t="shared" si="3"/>
        <v>34</v>
      </c>
      <c r="B41">
        <f t="shared" si="4"/>
        <v>1.7000000000000008</v>
      </c>
      <c r="C41">
        <f t="shared" si="5"/>
        <v>5.4732727483643817</v>
      </c>
      <c r="D41">
        <f t="shared" si="6"/>
        <v>3.0150284961235299</v>
      </c>
    </row>
    <row r="42" spans="1:4">
      <c r="A42">
        <f t="shared" si="3"/>
        <v>35</v>
      </c>
      <c r="B42">
        <f t="shared" si="4"/>
        <v>1.7500000000000009</v>
      </c>
      <c r="C42">
        <f t="shared" si="5"/>
        <v>5.6278642583186418</v>
      </c>
      <c r="D42">
        <f t="shared" si="6"/>
        <v>3.0918301990852015</v>
      </c>
    </row>
    <row r="43" spans="1:4">
      <c r="A43">
        <f t="shared" si="3"/>
        <v>36</v>
      </c>
      <c r="B43">
        <f t="shared" si="4"/>
        <v>1.8000000000000009</v>
      </c>
      <c r="C43">
        <f t="shared" si="5"/>
        <v>5.7864906741659503</v>
      </c>
      <c r="D43">
        <f t="shared" si="6"/>
        <v>3.1725283169461895</v>
      </c>
    </row>
    <row r="44" spans="1:4">
      <c r="A44">
        <f t="shared" si="3"/>
        <v>37</v>
      </c>
      <c r="B44">
        <f t="shared" si="4"/>
        <v>1.850000000000001</v>
      </c>
      <c r="C44">
        <f t="shared" si="5"/>
        <v>5.9493476121446838</v>
      </c>
      <c r="D44">
        <f t="shared" si="6"/>
        <v>3.2571387595746892</v>
      </c>
    </row>
    <row r="45" spans="1:4">
      <c r="A45">
        <f t="shared" si="3"/>
        <v>38</v>
      </c>
      <c r="B45">
        <f t="shared" si="4"/>
        <v>1.900000000000001</v>
      </c>
      <c r="C45">
        <f t="shared" si="5"/>
        <v>6.1166319147786652</v>
      </c>
      <c r="D45">
        <f t="shared" si="6"/>
        <v>3.3456860526796404</v>
      </c>
    </row>
    <row r="46" spans="1:4">
      <c r="A46">
        <f t="shared" si="3"/>
        <v>39</v>
      </c>
      <c r="B46">
        <f t="shared" si="4"/>
        <v>1.9500000000000011</v>
      </c>
      <c r="C46">
        <f t="shared" si="5"/>
        <v>6.2885420650611739</v>
      </c>
      <c r="D46">
        <f t="shared" si="6"/>
        <v>3.4382030056501893</v>
      </c>
    </row>
    <row r="47" spans="1:4">
      <c r="A47" s="19">
        <f t="shared" si="3"/>
        <v>40</v>
      </c>
      <c r="B47" s="19">
        <f t="shared" si="4"/>
        <v>2.0000000000000009</v>
      </c>
      <c r="C47" s="19">
        <f t="shared" si="5"/>
        <v>6.4652785857725457</v>
      </c>
      <c r="D47" s="19">
        <f t="shared" si="6"/>
        <v>3.5347304142274445</v>
      </c>
    </row>
    <row r="48" spans="1:4">
      <c r="C48" t="s">
        <v>38</v>
      </c>
      <c r="D48" t="s">
        <v>39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B3348-821A-F742-90C9-4A3ADBA72F9F}">
  <sheetPr codeName="Sheet5"/>
  <dimension ref="A1:H12"/>
  <sheetViews>
    <sheetView zoomScale="113" workbookViewId="0">
      <selection activeCell="C9" sqref="C9"/>
    </sheetView>
  </sheetViews>
  <sheetFormatPr baseColWidth="10" defaultRowHeight="16"/>
  <cols>
    <col min="4" max="4" width="19.1640625" bestFit="1" customWidth="1"/>
  </cols>
  <sheetData>
    <row r="1" spans="1:8">
      <c r="A1" s="8" t="s">
        <v>49</v>
      </c>
      <c r="B1" s="8" t="s">
        <v>50</v>
      </c>
      <c r="C1" s="8" t="s">
        <v>51</v>
      </c>
      <c r="D1" s="30" t="s">
        <v>54</v>
      </c>
      <c r="E1" s="8" t="s">
        <v>55</v>
      </c>
      <c r="F1" s="8" t="s">
        <v>56</v>
      </c>
      <c r="G1" s="8" t="s">
        <v>52</v>
      </c>
      <c r="H1" s="8" t="s">
        <v>53</v>
      </c>
    </row>
    <row r="2" spans="1:8">
      <c r="A2">
        <v>1</v>
      </c>
      <c r="B2">
        <v>0</v>
      </c>
      <c r="C2" s="1">
        <v>3.4E-5</v>
      </c>
      <c r="D2" s="28">
        <f>LOG10($B$12*A2)</f>
        <v>-1.8239087409443189</v>
      </c>
      <c r="E2" s="28">
        <f>LOG10(C2)</f>
        <v>-4.4685210829577446</v>
      </c>
      <c r="F2" s="1">
        <f xml:space="preserve"> D2 - 2*LOG10( 1 + $A$9*A2 + $B$9*B2 )</f>
        <v>-4.4377709524848612</v>
      </c>
      <c r="G2" s="1">
        <f>10^(F2)</f>
        <v>3.6494636940314449E-5</v>
      </c>
      <c r="H2" s="1">
        <f>(C2 - G2)^2</f>
        <v>6.2232134639814381E-12</v>
      </c>
    </row>
    <row r="3" spans="1:8">
      <c r="A3">
        <f>A2-0.1</f>
        <v>0.9</v>
      </c>
      <c r="B3">
        <f>B2+0.1</f>
        <v>0.1</v>
      </c>
      <c r="C3" s="1">
        <v>3.6000000000000001E-5</v>
      </c>
      <c r="D3" s="28">
        <f t="shared" ref="D3:D6" si="0">LOG10($B$12*A3)</f>
        <v>-1.8696662315049939</v>
      </c>
      <c r="E3" s="28">
        <f t="shared" ref="E3:E6" si="1">LOG10(C3)</f>
        <v>-4.4436974992327123</v>
      </c>
      <c r="F3" s="1">
        <f t="shared" ref="F3:F6" si="2" xml:space="preserve"> D3 - 2*LOG10( 1 + $A$9*A3 + $B$9*B3 )</f>
        <v>-4.4314459358942937</v>
      </c>
      <c r="G3" s="1">
        <f>10^(F3)</f>
        <v>3.7030030017993004E-5</v>
      </c>
      <c r="H3" s="1">
        <f>(C3 - G3)^2</f>
        <v>1.0609618379666666E-12</v>
      </c>
    </row>
    <row r="4" spans="1:8">
      <c r="A4">
        <f>A3-0.1</f>
        <v>0.8</v>
      </c>
      <c r="B4">
        <f>B3+0.1</f>
        <v>0.2</v>
      </c>
      <c r="C4" s="1">
        <v>3.6999999999999998E-5</v>
      </c>
      <c r="D4" s="28">
        <f t="shared" si="0"/>
        <v>-1.9208187539523751</v>
      </c>
      <c r="E4" s="28">
        <f t="shared" si="1"/>
        <v>-4.431798275933005</v>
      </c>
      <c r="F4" s="1">
        <f t="shared" si="2"/>
        <v>-4.4271926370541479</v>
      </c>
      <c r="G4" s="1">
        <f>10^(F4)</f>
        <v>3.739446833762829E-5</v>
      </c>
      <c r="H4" s="1">
        <f t="shared" ref="H3:H6" si="3">(C4 - G4)^2</f>
        <v>1.55605269391228E-13</v>
      </c>
    </row>
    <row r="5" spans="1:8">
      <c r="A5">
        <f>A4-0.1</f>
        <v>0.70000000000000007</v>
      </c>
      <c r="B5">
        <f>B4+0.1</f>
        <v>0.30000000000000004</v>
      </c>
      <c r="C5" s="1">
        <v>3.8999999999999999E-5</v>
      </c>
      <c r="D5" s="28">
        <f t="shared" si="0"/>
        <v>-1.9788107009300619</v>
      </c>
      <c r="E5" s="28">
        <f t="shared" si="1"/>
        <v>-4.4089353929735005</v>
      </c>
      <c r="F5" s="1">
        <f t="shared" si="2"/>
        <v>-4.4260022544962894</v>
      </c>
      <c r="G5" s="1">
        <f t="shared" ref="G3:G6" si="4">10^(F5)</f>
        <v>3.7497105570210516E-5</v>
      </c>
      <c r="H5" s="1">
        <f t="shared" si="3"/>
        <v>2.2586916670922568E-12</v>
      </c>
    </row>
    <row r="6" spans="1:8">
      <c r="A6">
        <f>A5-0.1</f>
        <v>0.60000000000000009</v>
      </c>
      <c r="B6">
        <f>B5+0.1</f>
        <v>0.4</v>
      </c>
      <c r="C6" s="1">
        <v>4.0000000000000003E-5</v>
      </c>
      <c r="D6" s="28">
        <f t="shared" si="0"/>
        <v>-2.0457574905606752</v>
      </c>
      <c r="E6" s="28">
        <f t="shared" si="1"/>
        <v>-4.3979400086720375</v>
      </c>
      <c r="F6" s="1">
        <f t="shared" si="2"/>
        <v>-4.429437482784838</v>
      </c>
      <c r="G6" s="1">
        <f t="shared" si="4"/>
        <v>3.7201676957094363E-5</v>
      </c>
      <c r="H6" s="1">
        <f t="shared" si="3"/>
        <v>7.8306118524566825E-12</v>
      </c>
    </row>
    <row r="7" spans="1:8">
      <c r="D7" s="29"/>
      <c r="E7" s="27"/>
      <c r="F7" s="27"/>
    </row>
    <row r="8" spans="1:8">
      <c r="A8" s="18" t="s">
        <v>47</v>
      </c>
      <c r="B8" s="18" t="s">
        <v>48</v>
      </c>
      <c r="H8" s="16" t="s">
        <v>57</v>
      </c>
    </row>
    <row r="9" spans="1:8">
      <c r="A9" s="32">
        <v>19.273610839371202</v>
      </c>
      <c r="B9" s="17">
        <v>7.4743958494274532</v>
      </c>
      <c r="H9" s="31">
        <f>SUM(H2:H6)</f>
        <v>1.7529084090888271E-11</v>
      </c>
    </row>
    <row r="12" spans="1:8">
      <c r="A12" s="26" t="s">
        <v>58</v>
      </c>
      <c r="B12" s="27">
        <v>1.4999999999999999E-2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202cd47-7a56-4baa-99e3-e3b71a7c77dd}" enabled="0" method="" siteId="{e202cd47-7a56-4baa-99e3-e3b71a7c77d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Problem 1</vt:lpstr>
      <vt:lpstr>Problem 2</vt:lpstr>
      <vt:lpstr>Problem 3</vt:lpstr>
      <vt:lpstr>Prroblem 4</vt:lpstr>
      <vt:lpstr>Problem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Nghi, Tieu</dc:creator>
  <cp:lastModifiedBy>Nghi, Tieu</cp:lastModifiedBy>
  <dcterms:created xsi:type="dcterms:W3CDTF">2025-12-07T21:30:32Z</dcterms:created>
  <dcterms:modified xsi:type="dcterms:W3CDTF">2025-12-08T05:20:38Z</dcterms:modified>
</cp:coreProperties>
</file>