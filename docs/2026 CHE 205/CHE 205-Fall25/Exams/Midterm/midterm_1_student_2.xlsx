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/Downloads/"/>
    </mc:Choice>
  </mc:AlternateContent>
  <xr:revisionPtr revIDLastSave="0" documentId="8_{FD9D4BA2-D95B-BC46-8DDE-7E7122EDAEBB}" xr6:coauthVersionLast="47" xr6:coauthVersionMax="47" xr10:uidLastSave="{00000000-0000-0000-0000-000000000000}"/>
  <bookViews>
    <workbookView xWindow="5580" yWindow="620" windowWidth="24000" windowHeight="16140" xr2:uid="{5C2817B8-A6F2-D841-B74A-8F5D3F12D9C8}"/>
  </bookViews>
  <sheets>
    <sheet name="Sheet1" sheetId="1" r:id="rId1"/>
  </sheets>
  <definedNames>
    <definedName name="_xlchart.v1.0" hidden="1">Sheet1!$A$5:$A$24</definedName>
    <definedName name="_xlchart.v1.1" hidden="1">Sheet1!$B$5:$B$24</definedName>
    <definedName name="_xlchart.v1.2" hidden="1">Sheet1!$A$5:$A$24</definedName>
    <definedName name="_xlchart.v1.3" hidden="1">Sheet1!$B$5:$B$24</definedName>
    <definedName name="_xlchart.v2.4" hidden="1">Sheet1!$A$5:$A$24</definedName>
    <definedName name="_xlchart.v2.5" hidden="1">Sheet1!$B$5:$B$24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N9" i="1"/>
  <c r="O9" i="1"/>
  <c r="P9" i="1"/>
  <c r="Q9" i="1"/>
  <c r="R9" i="1"/>
  <c r="S9" i="1"/>
  <c r="N10" i="1"/>
  <c r="O10" i="1"/>
  <c r="P10" i="1"/>
  <c r="Q10" i="1"/>
  <c r="R10" i="1"/>
  <c r="S10" i="1"/>
  <c r="N11" i="1"/>
  <c r="O11" i="1"/>
  <c r="P11" i="1"/>
  <c r="Q11" i="1"/>
  <c r="R11" i="1"/>
  <c r="S11" i="1"/>
  <c r="P8" i="1"/>
  <c r="Q8" i="1"/>
  <c r="R8" i="1"/>
  <c r="S8" i="1"/>
  <c r="O8" i="1"/>
  <c r="S7" i="1"/>
  <c r="R7" i="1"/>
  <c r="N8" i="1"/>
  <c r="Q7" i="1"/>
  <c r="P7" i="1"/>
  <c r="J18" i="1"/>
  <c r="L18" i="1"/>
  <c r="J17" i="1"/>
  <c r="K16" i="1"/>
  <c r="L16" i="1"/>
  <c r="K17" i="1"/>
  <c r="L17" i="1"/>
  <c r="J16" i="1"/>
  <c r="L15" i="1"/>
  <c r="K15" i="1"/>
  <c r="K5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6" i="1"/>
</calcChain>
</file>

<file path=xl/sharedStrings.xml><?xml version="1.0" encoding="utf-8"?>
<sst xmlns="http://schemas.openxmlformats.org/spreadsheetml/2006/main" count="30" uniqueCount="23">
  <si>
    <t>Bartosz Bielicz</t>
  </si>
  <si>
    <t>c = (outlet concentration/inlet concentration)</t>
  </si>
  <si>
    <t>f_initial(c) = ce^(-0.5c) + ln(c) = 2.5</t>
  </si>
  <si>
    <t>f(c) = ce^(-0.5c) + ln(c) - 2.5 = 0</t>
  </si>
  <si>
    <t>c</t>
  </si>
  <si>
    <t>f(c)</t>
  </si>
  <si>
    <t>a)</t>
  </si>
  <si>
    <t>b)</t>
  </si>
  <si>
    <t>Goal seek returns c = 11.79 for f(c) = 0</t>
  </si>
  <si>
    <t>From the plot, c is between c = 11 and 12</t>
  </si>
  <si>
    <t>c) Goal Seek</t>
  </si>
  <si>
    <t>d) Newton's Method</t>
  </si>
  <si>
    <t>f'(c) = e^(-0.5c) + 1/c - 0.5ce^(-0.5c)</t>
  </si>
  <si>
    <t>f'(c)</t>
  </si>
  <si>
    <t>c = 11.79 for f(c) = 0</t>
  </si>
  <si>
    <t>e) Secant method</t>
  </si>
  <si>
    <t>c1</t>
  </si>
  <si>
    <t>c2</t>
  </si>
  <si>
    <t>f(c1)</t>
  </si>
  <si>
    <t>f(c2)</t>
  </si>
  <si>
    <t>c3</t>
  </si>
  <si>
    <t>f(c3)</t>
  </si>
  <si>
    <t>Sanity Check: All methods used depict c as between 11 and 12 (11.79)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</si>
</sst>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 (Body)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 vs f(c)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Sheet1!$A$5:$A$24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Sheet1!$B$5:$B$24</c:f>
              <c:numCache>
                <c:formatCode>0.00</c:formatCode>
                <c:ptCount val="20"/>
                <c:pt idx="0">
                  <c:v>-1.8934693402873666</c:v>
                </c:pt>
                <c:pt idx="1">
                  <c:v>-1.0710939370971699</c:v>
                </c:pt>
                <c:pt idx="2">
                  <c:v>-0.73199723088660074</c:v>
                </c:pt>
                <c:pt idx="3">
                  <c:v>-0.57236450593365862</c:v>
                </c:pt>
                <c:pt idx="4">
                  <c:v>-0.48013709444640584</c:v>
                </c:pt>
                <c:pt idx="5">
                  <c:v>-0.40951812056476156</c:v>
                </c:pt>
                <c:pt idx="6">
                  <c:v>-0.3427081669884573</c:v>
                </c:pt>
                <c:pt idx="7">
                  <c:v>-0.27403334721029093</c:v>
                </c:pt>
                <c:pt idx="8">
                  <c:v>-0.2027944538195996</c:v>
                </c:pt>
                <c:pt idx="9">
                  <c:v>-0.13003543701509956</c:v>
                </c:pt>
                <c:pt idx="10">
                  <c:v>-5.7150241378524758E-2</c:v>
                </c:pt>
                <c:pt idx="11">
                  <c:v>1.4651675907996875E-2</c:v>
                </c:pt>
                <c:pt idx="12">
                  <c:v>8.4494066970245196E-2</c:v>
                </c:pt>
                <c:pt idx="13">
                  <c:v>0.15182367713302147</c:v>
                </c:pt>
                <c:pt idx="14">
                  <c:v>0.21634646665442769</c:v>
                </c:pt>
                <c:pt idx="15">
                  <c:v>0.27795612428622141</c:v>
                </c:pt>
                <c:pt idx="16">
                  <c:v>0.33667230632939704</c:v>
                </c:pt>
                <c:pt idx="17">
                  <c:v>0.39259313436972487</c:v>
                </c:pt>
                <c:pt idx="18">
                  <c:v>0.44586116393430641</c:v>
                </c:pt>
                <c:pt idx="19">
                  <c:v>0.49664027214924067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6-7F46-8DE8-6A6808957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897008"/>
        <c:axId val="1765901488"/>
      </c:scatterChart>
      <c:valAx>
        <c:axId val="176589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901488"/>
        <c:crosses val="autoZero"/>
        <c:crossBetween val="midCat"/>
      </c:valAx>
      <c:valAx>
        <c:axId val="17659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89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3</xdr:row>
      <xdr:rowOff>50800</xdr:rowOff>
    </xdr:from>
    <xdr:to>
      <xdr:col>8</xdr:col>
      <xdr:colOff>438150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D8E46-86D3-091D-79C3-0F5DD3198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1E1C-5FEF-F44F-AB2E-AAFC4ACE9B4B}">
  <dimension ref="A1:S24"/>
  <sheetViews>
    <sheetView tabSelected="1" workbookViewId="0">
      <selection activeCell="L13" sqref="L13"/>
    </sheetView>
  </sheetViews>
  <sheetFormatPr baseColWidth="10" defaultRowHeight="16" x14ac:dyDescent="0.2"/>
  <sheetData>
    <row r="1" spans="1:19" x14ac:dyDescent="0.2">
      <c r="A1" t="s">
        <v>0</v>
      </c>
      <c r="C1" t="s">
        <v>2</v>
      </c>
      <c r="F1" t="s">
        <v>1</v>
      </c>
    </row>
    <row r="2" spans="1:19" x14ac:dyDescent="0.2">
      <c r="C2" t="s">
        <v>3</v>
      </c>
    </row>
    <row r="3" spans="1:19" ht="27" x14ac:dyDescent="0.35">
      <c r="A3" s="1" t="s">
        <v>6</v>
      </c>
      <c r="D3" s="2" t="s">
        <v>7</v>
      </c>
      <c r="J3" s="1" t="s">
        <v>10</v>
      </c>
      <c r="N3" s="2" t="s">
        <v>15</v>
      </c>
    </row>
    <row r="4" spans="1:19" x14ac:dyDescent="0.2">
      <c r="A4" t="s">
        <v>4</v>
      </c>
      <c r="B4" t="s">
        <v>5</v>
      </c>
      <c r="J4" t="s">
        <v>4</v>
      </c>
      <c r="K4" t="s">
        <v>5</v>
      </c>
      <c r="N4" t="s">
        <v>3</v>
      </c>
    </row>
    <row r="5" spans="1:19" x14ac:dyDescent="0.2">
      <c r="A5">
        <v>1</v>
      </c>
      <c r="B5" s="4">
        <f>A5*EXP(-0.5*A5)+LN(A5)-2.5</f>
        <v>-1.8934693402873666</v>
      </c>
      <c r="J5" s="5">
        <v>11.788765236264084</v>
      </c>
      <c r="K5" s="4">
        <f>J5*EXP(-0.5*J5)+LN(J5)-2.5</f>
        <v>-3.7642684937555515E-4</v>
      </c>
    </row>
    <row r="6" spans="1:19" x14ac:dyDescent="0.2">
      <c r="A6">
        <f>A5+1</f>
        <v>2</v>
      </c>
      <c r="B6" s="4">
        <f t="shared" ref="B6:B24" si="0">A6*EXP(-0.5*A6)+LN(A6)-2.5</f>
        <v>-1.0710939370971699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19" x14ac:dyDescent="0.2">
      <c r="A7">
        <f t="shared" ref="A7:A24" si="1">A6+1</f>
        <v>3</v>
      </c>
      <c r="B7" s="4">
        <f t="shared" si="0"/>
        <v>-0.73199723088660074</v>
      </c>
      <c r="J7" s="3" t="s">
        <v>8</v>
      </c>
      <c r="N7" s="4">
        <v>9</v>
      </c>
      <c r="O7" s="4">
        <v>13</v>
      </c>
      <c r="P7" s="4">
        <f>N7*EXP(-0.5*N7)+LN(N7)-2.5</f>
        <v>-0.2027944538195996</v>
      </c>
      <c r="Q7" s="4">
        <f>O7*EXP(-0.5*O7)+LN(O7)-2.5</f>
        <v>8.4494066970245196E-2</v>
      </c>
      <c r="R7" s="4">
        <f>O7-(Q7/((P7-Q7)/(N7-O7)))</f>
        <v>11.823565010701508</v>
      </c>
      <c r="S7" s="4">
        <f>R7*EXP(-0.5*R7)+LN(R7)-2.5</f>
        <v>2.1051828735032529E-3</v>
      </c>
    </row>
    <row r="8" spans="1:19" x14ac:dyDescent="0.2">
      <c r="A8">
        <f t="shared" si="1"/>
        <v>4</v>
      </c>
      <c r="B8" s="4">
        <f t="shared" si="0"/>
        <v>-0.57236450593365862</v>
      </c>
      <c r="N8" s="4">
        <f>O7</f>
        <v>13</v>
      </c>
      <c r="O8" s="4">
        <f>R7</f>
        <v>11.823565010701508</v>
      </c>
      <c r="P8" s="4">
        <f>N8*EXP(-0.5*N8)+LN(N8)-2.5</f>
        <v>8.4494066970245196E-2</v>
      </c>
      <c r="Q8" s="4">
        <f>O8*EXP(-0.5*O8)+LN(O8)-2.5</f>
        <v>2.1051828735032529E-3</v>
      </c>
      <c r="R8" s="4">
        <f>O8-(Q8/((P8-Q8)/(N8-O8)))</f>
        <v>11.793504999349089</v>
      </c>
      <c r="S8" s="4">
        <f>R8*EXP(-0.5*R8)+LN(R8)-2.5</f>
        <v>-3.8298014627180521E-5</v>
      </c>
    </row>
    <row r="9" spans="1:19" x14ac:dyDescent="0.2">
      <c r="A9">
        <f t="shared" si="1"/>
        <v>5</v>
      </c>
      <c r="B9" s="4">
        <f t="shared" si="0"/>
        <v>-0.48013709444640584</v>
      </c>
      <c r="N9" s="4">
        <f t="shared" ref="N9:N11" si="2">O8</f>
        <v>11.823565010701508</v>
      </c>
      <c r="O9" s="4">
        <f t="shared" ref="O9:O11" si="3">R8</f>
        <v>11.793504999349089</v>
      </c>
      <c r="P9" s="4">
        <f t="shared" ref="P9:P11" si="4">N9*EXP(-0.5*N9)+LN(N9)-2.5</f>
        <v>2.1051828735032529E-3</v>
      </c>
      <c r="Q9" s="4">
        <f t="shared" ref="Q9:Q11" si="5">O9*EXP(-0.5*O9)+LN(O9)-2.5</f>
        <v>-3.8298014627180521E-5</v>
      </c>
      <c r="R9" s="4">
        <f t="shared" ref="R9:R11" si="6">O9-(Q9/((P9-Q9)/(N9-O9)))</f>
        <v>11.794042087764872</v>
      </c>
      <c r="S9" s="4">
        <f t="shared" ref="S9:S11" si="7">R9*EXP(-0.5*R9)+LN(R9)-2.5</f>
        <v>1.4609819132260782E-8</v>
      </c>
    </row>
    <row r="10" spans="1:19" ht="27" x14ac:dyDescent="0.35">
      <c r="A10">
        <f t="shared" si="1"/>
        <v>6</v>
      </c>
      <c r="B10" s="4">
        <f t="shared" si="0"/>
        <v>-0.40951812056476156</v>
      </c>
      <c r="J10" s="1" t="s">
        <v>11</v>
      </c>
      <c r="N10" s="4">
        <f t="shared" si="2"/>
        <v>11.793504999349089</v>
      </c>
      <c r="O10" s="4">
        <f t="shared" si="3"/>
        <v>11.794042087764872</v>
      </c>
      <c r="P10" s="4">
        <f t="shared" si="4"/>
        <v>-3.8298014627180521E-5</v>
      </c>
      <c r="Q10" s="4">
        <f t="shared" si="5"/>
        <v>1.4609819132260782E-8</v>
      </c>
      <c r="R10" s="4">
        <f t="shared" si="6"/>
        <v>11.794041882956021</v>
      </c>
      <c r="S10" s="4">
        <f t="shared" si="7"/>
        <v>1.0125233984581428E-13</v>
      </c>
    </row>
    <row r="11" spans="1:19" x14ac:dyDescent="0.2">
      <c r="A11">
        <f t="shared" si="1"/>
        <v>7</v>
      </c>
      <c r="B11" s="4">
        <f t="shared" si="0"/>
        <v>-0.3427081669884573</v>
      </c>
      <c r="J11" t="s">
        <v>3</v>
      </c>
      <c r="N11" s="5">
        <f t="shared" si="2"/>
        <v>11.794042087764872</v>
      </c>
      <c r="O11" s="5">
        <f t="shared" si="3"/>
        <v>11.794041882956021</v>
      </c>
      <c r="P11" s="4">
        <f t="shared" si="4"/>
        <v>1.4609819132260782E-8</v>
      </c>
      <c r="Q11" s="4">
        <f t="shared" si="5"/>
        <v>1.0125233984581428E-13</v>
      </c>
      <c r="R11" s="4">
        <f t="shared" si="6"/>
        <v>11.794041882954602</v>
      </c>
      <c r="S11" s="4">
        <f t="shared" si="7"/>
        <v>0</v>
      </c>
    </row>
    <row r="12" spans="1:19" x14ac:dyDescent="0.2">
      <c r="A12">
        <f t="shared" si="1"/>
        <v>8</v>
      </c>
      <c r="B12" s="4">
        <f t="shared" si="0"/>
        <v>-0.27403334721029093</v>
      </c>
      <c r="J12" t="s">
        <v>12</v>
      </c>
    </row>
    <row r="13" spans="1:19" x14ac:dyDescent="0.2">
      <c r="A13">
        <f t="shared" si="1"/>
        <v>9</v>
      </c>
      <c r="B13" s="4">
        <f t="shared" si="0"/>
        <v>-0.2027944538195996</v>
      </c>
      <c r="N13" s="3" t="s">
        <v>14</v>
      </c>
    </row>
    <row r="14" spans="1:19" x14ac:dyDescent="0.2">
      <c r="A14">
        <f t="shared" si="1"/>
        <v>10</v>
      </c>
      <c r="B14" s="4">
        <f t="shared" si="0"/>
        <v>-0.13003543701509956</v>
      </c>
      <c r="J14" t="s">
        <v>4</v>
      </c>
      <c r="K14" t="s">
        <v>5</v>
      </c>
      <c r="L14" t="s">
        <v>13</v>
      </c>
    </row>
    <row r="15" spans="1:19" x14ac:dyDescent="0.2">
      <c r="A15">
        <f t="shared" si="1"/>
        <v>11</v>
      </c>
      <c r="B15" s="4">
        <f t="shared" si="0"/>
        <v>-5.7150241378524758E-2</v>
      </c>
      <c r="J15" s="4">
        <v>10</v>
      </c>
      <c r="K15" s="4">
        <f>J15*EXP(-0.5*J15)+LN(J15)-2.5</f>
        <v>-0.13003543701509956</v>
      </c>
      <c r="L15" s="4">
        <f>EXP(-0.5*J15)+1/J15-0.5*J15*EXP(-0.5*J15)</f>
        <v>7.3048212003658131E-2</v>
      </c>
    </row>
    <row r="16" spans="1:19" x14ac:dyDescent="0.2">
      <c r="A16">
        <f t="shared" si="1"/>
        <v>12</v>
      </c>
      <c r="B16" s="4">
        <f t="shared" si="0"/>
        <v>1.4651675907996875E-2</v>
      </c>
      <c r="J16" s="4">
        <f>J15-K15/L15</f>
        <v>11.78013168903556</v>
      </c>
      <c r="K16" s="4">
        <f t="shared" ref="K16:K18" si="8">J16*EXP(-0.5*J16)+LN(J16)-2.5</f>
        <v>-9.9243908805490832E-4</v>
      </c>
      <c r="L16" s="4">
        <f t="shared" ref="L16:L17" si="9">EXP(-0.5*J16)+1/J16-0.5*J16*EXP(-0.5*J16)</f>
        <v>7.1358887144597399E-2</v>
      </c>
    </row>
    <row r="17" spans="1:12" x14ac:dyDescent="0.2">
      <c r="A17">
        <f t="shared" si="1"/>
        <v>13</v>
      </c>
      <c r="B17" s="4">
        <f t="shared" si="0"/>
        <v>8.4494066970245196E-2</v>
      </c>
      <c r="J17" s="6">
        <f>J16-K16/L16</f>
        <v>11.794039404356903</v>
      </c>
      <c r="K17" s="6">
        <f t="shared" si="8"/>
        <v>-1.7680688557675239E-7</v>
      </c>
      <c r="L17" s="4">
        <f t="shared" si="9"/>
        <v>7.1333436490258306E-2</v>
      </c>
    </row>
    <row r="18" spans="1:12" x14ac:dyDescent="0.2">
      <c r="A18">
        <f t="shared" si="1"/>
        <v>14</v>
      </c>
      <c r="B18" s="4">
        <f t="shared" si="0"/>
        <v>0.15182367713302147</v>
      </c>
      <c r="J18" s="5">
        <f>J17-K17/L17</f>
        <v>11.794041882954518</v>
      </c>
      <c r="K18" s="6">
        <f t="shared" si="8"/>
        <v>-5.773159728050814E-15</v>
      </c>
      <c r="L18" s="4">
        <f t="shared" ref="L18" si="10">EXP(-0.5*J18)+1/J18-0.5*J18*EXP(-0.5*J18)</f>
        <v>7.1333431941191253E-2</v>
      </c>
    </row>
    <row r="19" spans="1:12" x14ac:dyDescent="0.2">
      <c r="A19">
        <f t="shared" si="1"/>
        <v>15</v>
      </c>
      <c r="B19" s="4">
        <f t="shared" si="0"/>
        <v>0.21634646665442769</v>
      </c>
      <c r="E19" s="3" t="s">
        <v>9</v>
      </c>
    </row>
    <row r="20" spans="1:12" x14ac:dyDescent="0.2">
      <c r="A20">
        <f t="shared" si="1"/>
        <v>16</v>
      </c>
      <c r="B20" s="4">
        <f t="shared" si="0"/>
        <v>0.27795612428622141</v>
      </c>
      <c r="J20" s="3" t="s">
        <v>14</v>
      </c>
    </row>
    <row r="21" spans="1:12" x14ac:dyDescent="0.2">
      <c r="A21">
        <f t="shared" si="1"/>
        <v>17</v>
      </c>
      <c r="B21" s="4">
        <f t="shared" si="0"/>
        <v>0.33667230632939704</v>
      </c>
    </row>
    <row r="22" spans="1:12" x14ac:dyDescent="0.2">
      <c r="A22">
        <f t="shared" si="1"/>
        <v>18</v>
      </c>
      <c r="B22" s="4">
        <f t="shared" si="0"/>
        <v>0.39259313436972487</v>
      </c>
      <c r="D22" s="3" t="s">
        <v>22</v>
      </c>
    </row>
    <row r="23" spans="1:12" x14ac:dyDescent="0.2">
      <c r="A23">
        <f t="shared" si="1"/>
        <v>19</v>
      </c>
      <c r="B23" s="4">
        <f t="shared" si="0"/>
        <v>0.44586116393430641</v>
      </c>
    </row>
    <row r="24" spans="1:12" x14ac:dyDescent="0.2">
      <c r="A24">
        <f t="shared" si="1"/>
        <v>20</v>
      </c>
      <c r="B24" s="4">
        <f t="shared" si="0"/>
        <v>0.49664027214924067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Bielicz</dc:creator>
  <cp:lastModifiedBy>Bartosz Bielicz</cp:lastModifiedBy>
  <dcterms:created xsi:type="dcterms:W3CDTF">2025-09-25T13:05:59Z</dcterms:created>
  <dcterms:modified xsi:type="dcterms:W3CDTF">2025-09-25T13:53:05Z</dcterms:modified>
</cp:coreProperties>
</file>