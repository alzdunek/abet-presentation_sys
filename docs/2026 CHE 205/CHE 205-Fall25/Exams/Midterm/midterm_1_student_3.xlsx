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brouwer/Desktop/"/>
    </mc:Choice>
  </mc:AlternateContent>
  <xr:revisionPtr revIDLastSave="0" documentId="13_ncr:1_{432DE448-7569-1549-BC08-4B2B39FD849A}" xr6:coauthVersionLast="47" xr6:coauthVersionMax="47" xr10:uidLastSave="{00000000-0000-0000-0000-000000000000}"/>
  <bookViews>
    <workbookView xWindow="0" yWindow="0" windowWidth="28800" windowHeight="18000" xr2:uid="{8E237DC8-3647-4442-B759-706E71213DA2}"/>
  </bookViews>
  <sheets>
    <sheet name="Sheet1" sheetId="1" r:id="rId1"/>
  </sheets>
  <definedNames>
    <definedName name="_xlchart.v1.0" hidden="1">Sheet1!$A$2:$A$21</definedName>
    <definedName name="_xlchart.v1.1" hidden="1">Sheet1!$B$1</definedName>
    <definedName name="_xlchart.v1.10" hidden="1">Sheet1!$B$2:$B$21</definedName>
    <definedName name="_xlchart.v1.2" hidden="1">Sheet1!$B$2:$B$21</definedName>
    <definedName name="_xlchart.v1.7" hidden="1">Sheet1!$A$1</definedName>
    <definedName name="_xlchart.v1.8" hidden="1">Sheet1!$A$2:$A$21</definedName>
    <definedName name="_xlchart.v1.9" hidden="1">Sheet1!$B$1</definedName>
    <definedName name="_xlchart.v2.3" hidden="1">Sheet1!$A$1</definedName>
    <definedName name="_xlchart.v2.4" hidden="1">Sheet1!$A$2:$A$21</definedName>
    <definedName name="_xlchart.v2.5" hidden="1">Sheet1!$B$1</definedName>
    <definedName name="_xlchart.v2.6" hidden="1">Sheet1!$B$2:$B$21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F40" i="1"/>
  <c r="F41" i="1"/>
  <c r="F39" i="1"/>
  <c r="C39" i="1"/>
  <c r="E39" i="1" s="1"/>
  <c r="C40" i="1"/>
  <c r="A40" i="1"/>
  <c r="D39" i="1"/>
  <c r="B41" i="1" l="1"/>
  <c r="B40" i="1"/>
  <c r="D40" i="1" l="1"/>
  <c r="E40" i="1" s="1"/>
  <c r="D41" i="1"/>
  <c r="A41" i="1" l="1"/>
  <c r="H28" i="1"/>
  <c r="C30" i="1"/>
  <c r="E30" i="1" s="1"/>
  <c r="B31" i="1" s="1"/>
  <c r="A31" i="1"/>
  <c r="A32" i="1" s="1"/>
  <c r="A33" i="1" s="1"/>
  <c r="A34" i="1" s="1"/>
  <c r="A35" i="1" s="1"/>
  <c r="D30" i="1"/>
  <c r="B2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C41" i="1" l="1"/>
  <c r="E41" i="1"/>
  <c r="D31" i="1"/>
  <c r="C31" i="1"/>
  <c r="E31" i="1" s="1"/>
  <c r="B32" i="1" s="1"/>
  <c r="C32" i="1" l="1"/>
  <c r="D32" i="1"/>
  <c r="E32" i="1"/>
  <c r="B33" i="1" s="1"/>
  <c r="C33" i="1" s="1"/>
  <c r="E33" i="1" s="1"/>
  <c r="B34" i="1" s="1"/>
  <c r="D33" i="1"/>
  <c r="C34" i="1" l="1"/>
  <c r="D34" i="1"/>
  <c r="E34" i="1" s="1"/>
  <c r="B35" i="1" s="1"/>
  <c r="C35" i="1" l="1"/>
  <c r="D35" i="1"/>
  <c r="E35" i="1" s="1"/>
  <c r="H29" i="1" s="1"/>
</calcChain>
</file>

<file path=xl/sharedStrings.xml><?xml version="1.0" encoding="utf-8"?>
<sst xmlns="http://schemas.openxmlformats.org/spreadsheetml/2006/main" count="24" uniqueCount="21">
  <si>
    <t>c</t>
  </si>
  <si>
    <t xml:space="preserve">f(c) </t>
  </si>
  <si>
    <t>f(c)= =c*EXP(-0.5*c)+LN(c)-2.5</t>
  </si>
  <si>
    <t>estimate c between 11 and 12 or about 11.8</t>
  </si>
  <si>
    <t>guess</t>
  </si>
  <si>
    <t>Newton's Method</t>
  </si>
  <si>
    <t>Goal Seek</t>
  </si>
  <si>
    <t>Secant Method</t>
  </si>
  <si>
    <t>New C</t>
  </si>
  <si>
    <t>f'(c)</t>
  </si>
  <si>
    <t>Newton's method c=</t>
  </si>
  <si>
    <t>Estimation from graph=</t>
  </si>
  <si>
    <t>Secant method c=</t>
  </si>
  <si>
    <t>Goal Seek c=</t>
  </si>
  <si>
    <t>Iteration</t>
  </si>
  <si>
    <t>c1</t>
  </si>
  <si>
    <t>f(c1)</t>
  </si>
  <si>
    <t>c2</t>
  </si>
  <si>
    <t>fc2)</t>
  </si>
  <si>
    <t>cnew</t>
  </si>
  <si>
    <t>f(cnew)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</si>
</sst>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f(c)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-1.8934693402873666</c:v>
                </c:pt>
                <c:pt idx="1">
                  <c:v>-1.0710939370971699</c:v>
                </c:pt>
                <c:pt idx="2">
                  <c:v>-0.73199723088660074</c:v>
                </c:pt>
                <c:pt idx="3">
                  <c:v>-0.57236450593365862</c:v>
                </c:pt>
                <c:pt idx="4">
                  <c:v>-0.48013709444640584</c:v>
                </c:pt>
                <c:pt idx="5">
                  <c:v>-0.40951812056476156</c:v>
                </c:pt>
                <c:pt idx="6">
                  <c:v>-0.3427081669884573</c:v>
                </c:pt>
                <c:pt idx="7">
                  <c:v>-0.27403334721029093</c:v>
                </c:pt>
                <c:pt idx="8">
                  <c:v>-0.2027944538195996</c:v>
                </c:pt>
                <c:pt idx="9">
                  <c:v>-0.13003543701509956</c:v>
                </c:pt>
                <c:pt idx="10">
                  <c:v>-5.7150241378524758E-2</c:v>
                </c:pt>
                <c:pt idx="11">
                  <c:v>1.4651675907996875E-2</c:v>
                </c:pt>
                <c:pt idx="12">
                  <c:v>8.4494066970245196E-2</c:v>
                </c:pt>
                <c:pt idx="13">
                  <c:v>0.15182367713302147</c:v>
                </c:pt>
                <c:pt idx="14">
                  <c:v>0.21634646665442769</c:v>
                </c:pt>
                <c:pt idx="15">
                  <c:v>0.27795612428622141</c:v>
                </c:pt>
                <c:pt idx="16">
                  <c:v>0.33667230632939704</c:v>
                </c:pt>
                <c:pt idx="17">
                  <c:v>0.39259313436972487</c:v>
                </c:pt>
                <c:pt idx="18">
                  <c:v>0.44586116393430641</c:v>
                </c:pt>
                <c:pt idx="19">
                  <c:v>0.49664027214924067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44-404A-AB81-54B339BB1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549232"/>
        <c:axId val="648595696"/>
      </c:scatterChart>
      <c:valAx>
        <c:axId val="45054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595696"/>
        <c:crosses val="autoZero"/>
        <c:crossBetween val="midCat"/>
      </c:valAx>
      <c:valAx>
        <c:axId val="6485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4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497932</xdr:colOff>
      <xdr:row>4</xdr:row>
      <xdr:rowOff>142333</xdr:rowOff>
    </xdr:from>
    <xdr:to>
      <xdr:col>8</xdr:col>
      <xdr:colOff>98347</xdr:colOff>
      <xdr:row>18</xdr:row>
      <xdr:rowOff>66753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625DA-8FFC-AB76-AF5F-27A2EA8FD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6FB5-DDA7-E24D-88C6-9424AC40E57A}">
  <dimension ref="A1:H41"/>
  <sheetViews>
    <sheetView tabSelected="1" topLeftCell="A22" zoomScale="118" workbookViewId="0">
      <selection activeCell="H31" sqref="H31"/>
    </sheetView>
  </sheetViews>
  <sheetFormatPr baseColWidth="10" defaultRowHeight="16" x14ac:dyDescent="0.2"/>
  <cols>
    <col min="4" max="4" width="36.33203125" customWidth="1"/>
    <col min="7" max="7" width="18.6640625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</v>
      </c>
      <c r="B2">
        <f>A2*EXP(-0.5*A2)+LN(A2)-2.5</f>
        <v>-1.8934693402873666</v>
      </c>
      <c r="D2" t="s">
        <v>3</v>
      </c>
    </row>
    <row r="3" spans="1:4" x14ac:dyDescent="0.2">
      <c r="A3">
        <v>2</v>
      </c>
      <c r="B3">
        <f t="shared" ref="B3:B21" si="0">A3*EXP(-0.5*A3)+LN(A3)-2.5</f>
        <v>-1.0710939370971699</v>
      </c>
    </row>
    <row r="4" spans="1:4" x14ac:dyDescent="0.2">
      <c r="A4">
        <v>3</v>
      </c>
      <c r="B4">
        <f t="shared" si="0"/>
        <v>-0.73199723088660074</v>
      </c>
    </row>
    <row r="5" spans="1:4" x14ac:dyDescent="0.2">
      <c r="A5">
        <v>4</v>
      </c>
      <c r="B5">
        <f t="shared" si="0"/>
        <v>-0.57236450593365862</v>
      </c>
    </row>
    <row r="6" spans="1:4" x14ac:dyDescent="0.2">
      <c r="A6">
        <v>5</v>
      </c>
      <c r="B6">
        <f t="shared" si="0"/>
        <v>-0.48013709444640584</v>
      </c>
    </row>
    <row r="7" spans="1:4" x14ac:dyDescent="0.2">
      <c r="A7">
        <v>6</v>
      </c>
      <c r="B7">
        <f t="shared" si="0"/>
        <v>-0.40951812056476156</v>
      </c>
    </row>
    <row r="8" spans="1:4" x14ac:dyDescent="0.2">
      <c r="A8">
        <v>7</v>
      </c>
      <c r="B8">
        <f t="shared" si="0"/>
        <v>-0.3427081669884573</v>
      </c>
    </row>
    <row r="9" spans="1:4" x14ac:dyDescent="0.2">
      <c r="A9">
        <v>8</v>
      </c>
      <c r="B9">
        <f t="shared" si="0"/>
        <v>-0.27403334721029093</v>
      </c>
    </row>
    <row r="10" spans="1:4" x14ac:dyDescent="0.2">
      <c r="A10">
        <v>9</v>
      </c>
      <c r="B10">
        <f t="shared" si="0"/>
        <v>-0.2027944538195996</v>
      </c>
    </row>
    <row r="11" spans="1:4" x14ac:dyDescent="0.2">
      <c r="A11">
        <v>10</v>
      </c>
      <c r="B11">
        <f t="shared" si="0"/>
        <v>-0.13003543701509956</v>
      </c>
    </row>
    <row r="12" spans="1:4" x14ac:dyDescent="0.2">
      <c r="A12" s="1">
        <v>11</v>
      </c>
      <c r="B12" s="1">
        <f t="shared" si="0"/>
        <v>-5.7150241378524758E-2</v>
      </c>
    </row>
    <row r="13" spans="1:4" x14ac:dyDescent="0.2">
      <c r="A13" s="1">
        <v>12</v>
      </c>
      <c r="B13" s="1">
        <f t="shared" si="0"/>
        <v>1.4651675907996875E-2</v>
      </c>
    </row>
    <row r="14" spans="1:4" x14ac:dyDescent="0.2">
      <c r="A14">
        <v>13</v>
      </c>
      <c r="B14">
        <f t="shared" si="0"/>
        <v>8.4494066970245196E-2</v>
      </c>
    </row>
    <row r="15" spans="1:4" x14ac:dyDescent="0.2">
      <c r="A15">
        <v>14</v>
      </c>
      <c r="B15">
        <f t="shared" si="0"/>
        <v>0.15182367713302147</v>
      </c>
    </row>
    <row r="16" spans="1:4" x14ac:dyDescent="0.2">
      <c r="A16">
        <v>15</v>
      </c>
      <c r="B16">
        <f t="shared" si="0"/>
        <v>0.21634646665442769</v>
      </c>
    </row>
    <row r="17" spans="1:8" x14ac:dyDescent="0.2">
      <c r="A17">
        <v>16</v>
      </c>
      <c r="B17">
        <f t="shared" si="0"/>
        <v>0.27795612428622141</v>
      </c>
    </row>
    <row r="18" spans="1:8" x14ac:dyDescent="0.2">
      <c r="A18">
        <v>17</v>
      </c>
      <c r="B18">
        <f t="shared" si="0"/>
        <v>0.33667230632939704</v>
      </c>
    </row>
    <row r="19" spans="1:8" x14ac:dyDescent="0.2">
      <c r="A19">
        <v>18</v>
      </c>
      <c r="B19">
        <f t="shared" si="0"/>
        <v>0.39259313436972487</v>
      </c>
    </row>
    <row r="20" spans="1:8" x14ac:dyDescent="0.2">
      <c r="A20">
        <v>19</v>
      </c>
      <c r="B20">
        <f t="shared" si="0"/>
        <v>0.44586116393430641</v>
      </c>
    </row>
    <row r="21" spans="1:8" x14ac:dyDescent="0.2">
      <c r="A21">
        <v>20</v>
      </c>
      <c r="B21">
        <f t="shared" si="0"/>
        <v>0.49664027214924067</v>
      </c>
    </row>
    <row r="23" spans="1:8" x14ac:dyDescent="0.2">
      <c r="A23" s="1" t="s">
        <v>6</v>
      </c>
    </row>
    <row r="25" spans="1:8" x14ac:dyDescent="0.2">
      <c r="A25" t="s">
        <v>4</v>
      </c>
      <c r="B25" t="s">
        <v>1</v>
      </c>
    </row>
    <row r="26" spans="1:8" x14ac:dyDescent="0.2">
      <c r="A26">
        <v>11.796961416663075</v>
      </c>
      <c r="B26">
        <f>A26*EXP(-0.5*A26)+LN(A26)-2.5</f>
        <v>2.0825253397438459E-4</v>
      </c>
    </row>
    <row r="27" spans="1:8" x14ac:dyDescent="0.2">
      <c r="G27" t="s">
        <v>11</v>
      </c>
      <c r="H27">
        <v>11.8</v>
      </c>
    </row>
    <row r="28" spans="1:8" x14ac:dyDescent="0.2">
      <c r="A28" s="1" t="s">
        <v>5</v>
      </c>
      <c r="G28" t="s">
        <v>13</v>
      </c>
      <c r="H28">
        <f>A26</f>
        <v>11.796961416663075</v>
      </c>
    </row>
    <row r="29" spans="1:8" x14ac:dyDescent="0.2">
      <c r="A29" t="s">
        <v>14</v>
      </c>
      <c r="B29" t="s">
        <v>0</v>
      </c>
      <c r="C29" t="s">
        <v>1</v>
      </c>
      <c r="D29" t="s">
        <v>9</v>
      </c>
      <c r="E29" t="s">
        <v>8</v>
      </c>
      <c r="G29" t="s">
        <v>10</v>
      </c>
      <c r="H29">
        <f>E35</f>
        <v>11.794041882954598</v>
      </c>
    </row>
    <row r="30" spans="1:8" x14ac:dyDescent="0.2">
      <c r="A30">
        <v>0</v>
      </c>
      <c r="B30">
        <v>11</v>
      </c>
      <c r="C30">
        <f>B30*EXP(-0.5*B30)+LN(B30)-2.5</f>
        <v>-5.7150241378524758E-2</v>
      </c>
      <c r="D30">
        <f>EXP(-0.5*B30)-0.5*B30*EXP(-0.5*B30)+(1/B30)</f>
        <v>7.2518619436002615E-2</v>
      </c>
      <c r="E30">
        <f>B30 - (C30/D30)</f>
        <v>11.788076797696895</v>
      </c>
      <c r="G30" t="s">
        <v>12</v>
      </c>
      <c r="H30">
        <f>A41</f>
        <v>11.797470892714758</v>
      </c>
    </row>
    <row r="31" spans="1:8" x14ac:dyDescent="0.2">
      <c r="A31">
        <f>A30+1</f>
        <v>1</v>
      </c>
      <c r="B31">
        <f>E30</f>
        <v>11.788076797696895</v>
      </c>
      <c r="C31">
        <f>B31*EXP(-0.5*B31)+LN(B31)-2.5</f>
        <v>-4.255426287231856E-4</v>
      </c>
      <c r="D31">
        <f>EXP(-0.5*B31)-0.5*B31*EXP(-0.5*B31)+(1/B31)</f>
        <v>7.1344366174243071E-2</v>
      </c>
      <c r="E31">
        <f>B31 - (C31/D31)</f>
        <v>11.794041426041675</v>
      </c>
    </row>
    <row r="32" spans="1:8" x14ac:dyDescent="0.2">
      <c r="A32">
        <f t="shared" ref="A32:A35" si="1">A31+1</f>
        <v>2</v>
      </c>
      <c r="B32">
        <f t="shared" ref="B32:B35" si="2">E31</f>
        <v>11.794041426041675</v>
      </c>
      <c r="C32">
        <f t="shared" ref="C32:C35" si="3">B32*EXP(-0.5*B32)+LN(B32)-2.5</f>
        <v>-3.2593167276218082E-8</v>
      </c>
      <c r="D32">
        <f t="shared" ref="D32:D35" si="4">EXP(-0.5*B32)-0.5*B32*EXP(-0.5*B32)+(1/B32)</f>
        <v>7.1333432779781603E-2</v>
      </c>
      <c r="E32">
        <f t="shared" ref="E32:E35" si="5">B32 - (C32/D32)</f>
        <v>11.794041882954598</v>
      </c>
    </row>
    <row r="33" spans="1:6" x14ac:dyDescent="0.2">
      <c r="A33">
        <f t="shared" si="1"/>
        <v>3</v>
      </c>
      <c r="B33">
        <f t="shared" si="2"/>
        <v>11.794041882954598</v>
      </c>
      <c r="C33">
        <f t="shared" si="3"/>
        <v>0</v>
      </c>
      <c r="D33">
        <f t="shared" si="4"/>
        <v>7.1333431941191114E-2</v>
      </c>
      <c r="E33">
        <f t="shared" si="5"/>
        <v>11.794041882954598</v>
      </c>
    </row>
    <row r="34" spans="1:6" x14ac:dyDescent="0.2">
      <c r="A34">
        <f t="shared" si="1"/>
        <v>4</v>
      </c>
      <c r="B34">
        <f t="shared" si="2"/>
        <v>11.794041882954598</v>
      </c>
      <c r="C34">
        <f t="shared" si="3"/>
        <v>0</v>
      </c>
      <c r="D34">
        <f t="shared" si="4"/>
        <v>7.1333431941191114E-2</v>
      </c>
      <c r="E34">
        <f t="shared" si="5"/>
        <v>11.794041882954598</v>
      </c>
    </row>
    <row r="35" spans="1:6" x14ac:dyDescent="0.2">
      <c r="A35">
        <f t="shared" si="1"/>
        <v>5</v>
      </c>
      <c r="B35">
        <f t="shared" si="2"/>
        <v>11.794041882954598</v>
      </c>
      <c r="C35">
        <f t="shared" si="3"/>
        <v>0</v>
      </c>
      <c r="D35">
        <f t="shared" si="4"/>
        <v>7.1333431941191114E-2</v>
      </c>
      <c r="E35">
        <f t="shared" si="5"/>
        <v>11.794041882954598</v>
      </c>
    </row>
    <row r="37" spans="1:6" x14ac:dyDescent="0.2">
      <c r="A37" s="1" t="s">
        <v>7</v>
      </c>
    </row>
    <row r="38" spans="1:6" x14ac:dyDescent="0.2">
      <c r="A38" t="s">
        <v>15</v>
      </c>
      <c r="B38" t="s">
        <v>17</v>
      </c>
      <c r="C38" t="s">
        <v>16</v>
      </c>
      <c r="D38" t="s">
        <v>18</v>
      </c>
      <c r="E38" t="s">
        <v>19</v>
      </c>
      <c r="F38" t="s">
        <v>20</v>
      </c>
    </row>
    <row r="39" spans="1:6" x14ac:dyDescent="0.2">
      <c r="A39">
        <v>10</v>
      </c>
      <c r="B39">
        <v>12</v>
      </c>
      <c r="C39">
        <f>A39*EXP(-0.5*A39)+LN(A39)-2.5</f>
        <v>-0.13003543701509956</v>
      </c>
      <c r="D39">
        <f>B39*EXP(-0.5*B39)+LN(B39)-2.5</f>
        <v>1.4651675907996875E-2</v>
      </c>
      <c r="E39">
        <f>B39-D39*(B39-A39)/(D39-C39)</f>
        <v>11.797470892714758</v>
      </c>
      <c r="F39">
        <f>E39*EXP(-0.5*E39)+LN(E39)-2.5</f>
        <v>2.4459223911055261E-4</v>
      </c>
    </row>
    <row r="40" spans="1:6" x14ac:dyDescent="0.2">
      <c r="A40">
        <f>A39+1</f>
        <v>11</v>
      </c>
      <c r="B40">
        <f>E39</f>
        <v>11.797470892714758</v>
      </c>
      <c r="C40">
        <f>A40*EXP(-0.5*A40)+LN(A40)-2.5</f>
        <v>-5.7150241378524758E-2</v>
      </c>
      <c r="D40">
        <f>B40*EXP(-0.5*B40)+LN(B40)-2.5</f>
        <v>2.4459223911055261E-4</v>
      </c>
      <c r="E40">
        <f t="shared" ref="E40:E41" si="6">B40-D40*(B40-A40)/(D40-C40)</f>
        <v>11.794072412764907</v>
      </c>
      <c r="F40">
        <f t="shared" ref="F40:F41" si="7">E40*EXP(-0.5*E40)+LN(E40)-2.5</f>
        <v>2.1777952903256903E-6</v>
      </c>
    </row>
    <row r="41" spans="1:6" x14ac:dyDescent="0.2">
      <c r="A41">
        <f>B40</f>
        <v>11.797470892714758</v>
      </c>
      <c r="B41">
        <f>E39</f>
        <v>11.797470892714758</v>
      </c>
      <c r="C41">
        <f>A41*EXP(-0.5*A41)+LN(A41)-2.5</f>
        <v>2.4459223911055261E-4</v>
      </c>
      <c r="D41">
        <f>B41*EXP(-0.5*B41)+LN(B41)-2.5</f>
        <v>2.4459223911055261E-4</v>
      </c>
      <c r="E41" t="e">
        <f t="shared" si="6"/>
        <v>#DIV/0!</v>
      </c>
      <c r="F41" t="e">
        <f t="shared" si="7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Brouwer, Daniel</dc:creator>
  <cp:lastModifiedBy>Brouwer, Daniel</cp:lastModifiedBy>
  <dcterms:created xsi:type="dcterms:W3CDTF">2025-09-25T12:54:56Z</dcterms:created>
  <dcterms:modified xsi:type="dcterms:W3CDTF">2025-09-25T13:55:51Z</dcterms:modified>
</cp:coreProperties>
</file>