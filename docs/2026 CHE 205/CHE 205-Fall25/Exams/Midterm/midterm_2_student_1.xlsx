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yankhan/Downloads/"/>
    </mc:Choice>
  </mc:AlternateContent>
  <xr:revisionPtr revIDLastSave="0" documentId="13_ncr:1_{F3E20955-21C1-3D44-8037-E9E97CD8430A}" xr6:coauthVersionLast="47" xr6:coauthVersionMax="47" xr10:uidLastSave="{00000000-0000-0000-0000-000000000000}"/>
  <bookViews>
    <workbookView xWindow="0" yWindow="720" windowWidth="29400" windowHeight="18400" activeTab="1" xr2:uid="{B00595C8-7A9C-F946-9691-93B08B64D602}"/>
  </bookViews>
  <sheets>
    <sheet name="Problem 1" sheetId="1" r:id="rId1"/>
    <sheet name="Problem 2" sheetId="2" r:id="rId2"/>
  </sheets>
  <definedNames>
    <definedName name="_xlchart.v1.0" hidden="1">'Problem 2'!$A$15</definedName>
    <definedName name="_xlchart.v1.1" hidden="1">'Problem 2'!$A$16:$A$26</definedName>
    <definedName name="_xlchart.v1.2" hidden="1">'Problem 2'!$B$15</definedName>
    <definedName name="_xlchart.v1.3" hidden="1">'Problem 2'!$B$16:$B$26</definedName>
    <definedName name="_xlchart.v2.4" hidden="1">'Problem 2'!$A$15</definedName>
    <definedName name="_xlchart.v2.5" hidden="1">'Problem 2'!$A$16:$A$26</definedName>
    <definedName name="_xlchart.v2.6" hidden="1">'Problem 2'!$B$15</definedName>
    <definedName name="_xlchart.v2.7" hidden="1">'Problem 2'!$B$16:$B$26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B17" i="2"/>
  <c r="B18" i="2"/>
  <c r="B19" i="2"/>
  <c r="B20" i="2"/>
  <c r="B21" i="2"/>
  <c r="B22" i="2"/>
  <c r="B23" i="2"/>
  <c r="B24" i="2"/>
  <c r="B25" i="2"/>
  <c r="N2" i="2" a="1"/>
  <c r="N2" i="2" s="1"/>
  <c r="A12" i="2"/>
  <c r="A3" i="2"/>
  <c r="A4" i="2" s="1"/>
  <c r="A5" i="2" s="1"/>
  <c r="A6" i="2" s="1"/>
  <c r="A7" i="2" s="1"/>
  <c r="A8" i="2" s="1"/>
  <c r="A9" i="2" s="1"/>
  <c r="A10" i="2" s="1"/>
  <c r="A11" i="2" s="1"/>
  <c r="A3" i="1"/>
  <c r="B3" i="1"/>
  <c r="A4" i="1" l="1"/>
  <c r="C3" i="1"/>
  <c r="B4" i="1" s="1"/>
  <c r="A5" i="1" l="1"/>
  <c r="C4" i="1"/>
  <c r="B5" i="1" s="1"/>
  <c r="A6" i="1" l="1"/>
  <c r="C5" i="1"/>
  <c r="B6" i="1" s="1"/>
  <c r="A7" i="1" l="1"/>
  <c r="C6" i="1"/>
  <c r="A8" i="1" l="1"/>
  <c r="B7" i="1"/>
  <c r="A9" i="1" l="1"/>
  <c r="C7" i="1"/>
  <c r="A10" i="1" l="1"/>
  <c r="B8" i="1"/>
  <c r="A11" i="1" l="1"/>
  <c r="C8" i="1"/>
  <c r="A12" i="1" l="1"/>
  <c r="B9" i="1"/>
  <c r="C9" i="1" l="1"/>
  <c r="B10" i="1" l="1"/>
  <c r="C10" i="1" l="1"/>
  <c r="B11" i="1" l="1"/>
  <c r="C11" i="1" l="1"/>
  <c r="B12" i="1" l="1"/>
  <c r="C12" i="1" s="1"/>
  <c r="E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<sst xmlns="http://schemas.openxmlformats.org/spreadsheetml/2006/main" count="18" uniqueCount="17">
  <si>
    <t>x</t>
  </si>
  <si>
    <t>T</t>
  </si>
  <si>
    <t>F</t>
  </si>
  <si>
    <t>Δx=</t>
  </si>
  <si>
    <t>RHS</t>
  </si>
  <si>
    <t>x=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</si>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</sst>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000"/>
    <numFmt numFmtId="169" formatCode="0.000"/>
    <numFmt numFmtId="170" formatCode="0.0"/>
  </numFmts>
  <fonts count="7" x14ac:knownFonts="1">
    <font>
      <sz val="12"/>
      <color theme="1"/>
      <name val="Aptos Narrow"/>
      <family val="2"/>
      <scheme val="minor"/>
    </font>
    <font>
      <sz val="14"/>
      <color rgb="FF202122"/>
      <name val="Arial"/>
      <family val="2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5" fillId="0" borderId="0" xfId="0" applyFont="1"/>
    <xf numFmtId="168" fontId="4" fillId="0" borderId="0" xfId="0" applyNumberFormat="1" applyFont="1"/>
    <xf numFmtId="169" fontId="4" fillId="0" borderId="0" xfId="0" applyNumberFormat="1" applyFont="1"/>
    <xf numFmtId="170" fontId="4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52916383248625"/>
          <c:y val="0.13602939682799983"/>
          <c:w val="0.79878083070176009"/>
          <c:h val="0.61751879868646498"/>
        </c:manualLayout>
      </c:layout>
      <c:lineChart>
        <c:grouping val="standard"/>
        <c:varyColors val="0"/>
        <c:ser>
          <c:idx val="0"/>
          <c:order val="0"/>
          <c:tx>
            <c:strRef>
              <c:f>'Problem 1'!$B$1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'Problem 1'!$A$2:$A$12</c:f>
              <c:numCache>
                <c:formatCode>General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  <c:pt idx="5">
                  <c:v>0.50000000000000011</c:v>
                </c:pt>
                <c:pt idx="6">
                  <c:v>0.40000000000000013</c:v>
                </c:pt>
                <c:pt idx="7">
                  <c:v>0.30000000000000016</c:v>
                </c:pt>
                <c:pt idx="8">
                  <c:v>0.20000000000000015</c:v>
                </c:pt>
                <c:pt idx="9">
                  <c:v>0.10000000000000014</c:v>
                </c:pt>
                <c:pt idx="10">
                  <c:v>1.3877787807814457E-16</c:v>
                </c:pt>
              </c:numCache>
            </c:numRef>
          </c:cat>
          <c:val>
            <c:numRef>
              <c:f>'Problem 1'!$B$2:$B$12</c:f>
              <c:numCache>
                <c:formatCode>General</c:formatCode>
                <c:ptCount val="11"/>
                <c:pt idx="0">
                  <c:v>1</c:v>
                </c:pt>
                <c:pt idx="1">
                  <c:v>1.3061625687695284</c:v>
                </c:pt>
                <c:pt idx="2">
                  <c:v>1.625386763226752</c:v>
                </c:pt>
                <c:pt idx="3">
                  <c:v>1.9608648253162433</c:v>
                </c:pt>
                <c:pt idx="4">
                  <c:v>2.3159515356588969</c:v>
                </c:pt>
                <c:pt idx="5">
                  <c:v>2.6941977613581396</c:v>
                </c:pt>
                <c:pt idx="6">
                  <c:v>3.0993859646709634</c:v>
                </c:pt>
                <c:pt idx="7">
                  <c:v>3.535568027630497</c:v>
                </c:pt>
                <c:pt idx="8">
                  <c:v>4.0071057708663353</c:v>
                </c:pt>
                <c:pt idx="9">
                  <c:v>4.518714571810837</c:v>
                </c:pt>
                <c:pt idx="10">
                  <c:v>5.0755105184734477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07-C74E-9D80-23C734644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9268960"/>
        <c:axId val="1800918928"/>
      </c:lineChart>
      <c:catAx>
        <c:axId val="100926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918928"/>
        <c:crosses val="autoZero"/>
        <c:auto val="1"/>
        <c:lblAlgn val="ctr"/>
        <c:lblOffset val="100"/>
        <c:noMultiLvlLbl val="0"/>
      </c:catAx>
      <c:valAx>
        <c:axId val="180091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26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'Problem 2'!$B$15</c:f>
              <c:strCache>
                <c:ptCount val="1"/>
                <c:pt idx="0">
                  <c:v>T(x)</c:v>
                </c:pt>
              </c:strCache>
            </c:strRef>
          </c:tx>
          <c:spPr>
            <a:ln w="4762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'Problem 2'!$A$16:$A$26</c:f>
              <c:numCache>
                <c:formatCode>0.0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'Problem 2'!$B$16:$B$26</c:f>
              <c:numCache>
                <c:formatCode>0.000</c:formatCode>
                <c:ptCount val="11"/>
                <c:pt idx="0">
                  <c:v>0.32720912711225936</c:v>
                </c:pt>
                <c:pt idx="1">
                  <c:v>0.21633839199225072</c:v>
                </c:pt>
                <c:pt idx="2">
                  <c:v>0.10763104079216455</c:v>
                </c:pt>
                <c:pt idx="3">
                  <c:v>0.11924576076136463</c:v>
                </c:pt>
                <c:pt idx="4">
                  <c:v>0.13205293833817833</c:v>
                </c:pt>
                <c:pt idx="5">
                  <c:v>0.26542640605973838</c:v>
                </c:pt>
                <c:pt idx="6">
                  <c:v>0.40145413784189582</c:v>
                </c:pt>
                <c:pt idx="7">
                  <c:v>0.54149641100247214</c:v>
                </c:pt>
                <c:pt idx="8">
                  <c:v>0.68695364827307304</c:v>
                </c:pt>
                <c:pt idx="9">
                  <c:v>0.83928042202640463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81-414D-B7D4-4296A40F2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9146832"/>
        <c:axId val="2019148560"/>
      </c:lineChart>
      <c:catAx>
        <c:axId val="2019146832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148560"/>
        <c:crosses val="autoZero"/>
        <c:auto val="1"/>
        <c:lblAlgn val="ctr"/>
        <c:lblOffset val="100"/>
        <c:noMultiLvlLbl val="0"/>
      </c:catAx>
      <c:valAx>
        <c:axId val="201914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14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111760</xdr:colOff>
      <xdr:row>0</xdr:row>
      <xdr:rowOff>12906</xdr:rowOff>
    </xdr:from>
    <xdr:to>
      <xdr:col>9</xdr:col>
      <xdr:colOff>562095</xdr:colOff>
      <xdr:row>17</xdr:row>
      <xdr:rowOff>10160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3D8FB5-A04E-BE16-EC94-0E9530ACB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365760</xdr:colOff>
      <xdr:row>2</xdr:row>
      <xdr:rowOff>81280</xdr:rowOff>
    </xdr:from>
    <xdr:to>
      <xdr:col>4</xdr:col>
      <xdr:colOff>20320</xdr:colOff>
      <xdr:row>12</xdr:row>
      <xdr:rowOff>60960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34A5085-5458-AD3B-D05F-F3E6F1484658}"/>
            </a:ext>
          </a:extLst>
        </xdr:cNvPr>
        <xdr:cNvSpPr txBox="1"/>
      </xdr:nvSpPr>
      <xdr:spPr>
        <a:xfrm>
          <a:off x="2834640" y="528320"/>
          <a:ext cx="477520" cy="2011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3200"/>
        </a:p>
        <a:p>
          <a:r>
            <a:rPr lang="en-US" sz="3200"/>
            <a:t>T</a:t>
          </a:r>
        </a:p>
      </xdr:txBody>
    </xdr:sp>
    <xdr:clientData/>
  </xdr:twoCellAnchor>
  <xdr:twoCellAnchor>
    <xdr:from>
      <xdr:col>6</xdr:col>
      <xdr:colOff>101600</xdr:colOff>
      <xdr:row>14</xdr:row>
      <xdr:rowOff>101600</xdr:rowOff>
    </xdr:from>
    <xdr:to>
      <xdr:col>6</xdr:col>
      <xdr:colOff>568960</xdr:colOff>
      <xdr:row>17</xdr:row>
      <xdr:rowOff>20320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2B88684-D1EE-E449-BC8F-27A454B741B7}"/>
            </a:ext>
          </a:extLst>
        </xdr:cNvPr>
        <xdr:cNvSpPr txBox="1"/>
      </xdr:nvSpPr>
      <xdr:spPr>
        <a:xfrm>
          <a:off x="5039360" y="2987040"/>
          <a:ext cx="467360" cy="528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aseline="0"/>
            <a:t> x</a:t>
          </a:r>
          <a:endParaRPr lang="en-US" sz="3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428948</xdr:colOff>
      <xdr:row>13</xdr:row>
      <xdr:rowOff>105746</xdr:rowOff>
    </xdr:from>
    <xdr:to>
      <xdr:col>9</xdr:col>
      <xdr:colOff>634999</xdr:colOff>
      <xdr:row>30</xdr:row>
      <xdr:rowOff>103674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77A859-9DDE-8309-83C3-FC1FE48E2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957F-F516-7145-ABFC-637724831AEA}">
  <dimension ref="A1:H23"/>
  <sheetViews>
    <sheetView zoomScale="125" workbookViewId="0">
      <selection activeCell="I25" sqref="I25"/>
    </sheetView>
  </sheetViews>
  <sheetFormatPr baseColWidth="10" defaultRowHeight="16" x14ac:dyDescent="0.2"/>
  <sheetData>
    <row r="1" spans="1:8" ht="19" x14ac:dyDescent="0.25">
      <c r="A1" t="s">
        <v>0</v>
      </c>
      <c r="B1" t="s">
        <v>1</v>
      </c>
      <c r="C1" t="s">
        <v>2</v>
      </c>
      <c r="G1" s="1" t="s">
        <v>3</v>
      </c>
      <c r="H1" s="2">
        <v>0.1</v>
      </c>
    </row>
    <row r="2" spans="1:8" x14ac:dyDescent="0.2">
      <c r="A2">
        <v>1</v>
      </c>
      <c r="B2">
        <v>1</v>
      </c>
      <c r="C2">
        <v>-3.0616256876952832</v>
      </c>
      <c r="E2">
        <f>C12 + B12 + 1</f>
        <v>0</v>
      </c>
    </row>
    <row r="3" spans="1:8" x14ac:dyDescent="0.2">
      <c r="A3">
        <f>A2-$H$1</f>
        <v>0.9</v>
      </c>
      <c r="B3">
        <f>B2 - 0.1*C2</f>
        <v>1.3061625687695284</v>
      </c>
      <c r="C3">
        <f>C2 - 0.1*B3</f>
        <v>-3.1922419445722361</v>
      </c>
    </row>
    <row r="4" spans="1:8" x14ac:dyDescent="0.2">
      <c r="A4">
        <f t="shared" ref="A4:A12" si="0">A3-$H$1</f>
        <v>0.8</v>
      </c>
      <c r="B4">
        <f t="shared" ref="B4:B12" si="1">B3 - 0.1*C3</f>
        <v>1.625386763226752</v>
      </c>
      <c r="C4">
        <f t="shared" ref="C4:C12" si="2">C3 - 0.1*B4</f>
        <v>-3.3547806208949114</v>
      </c>
    </row>
    <row r="5" spans="1:8" x14ac:dyDescent="0.2">
      <c r="A5">
        <f t="shared" si="0"/>
        <v>0.70000000000000007</v>
      </c>
      <c r="B5">
        <f t="shared" si="1"/>
        <v>1.9608648253162433</v>
      </c>
      <c r="C5">
        <f t="shared" si="2"/>
        <v>-3.5508671034265356</v>
      </c>
    </row>
    <row r="6" spans="1:8" x14ac:dyDescent="0.2">
      <c r="A6">
        <f t="shared" si="0"/>
        <v>0.60000000000000009</v>
      </c>
      <c r="B6">
        <f t="shared" si="1"/>
        <v>2.3159515356588969</v>
      </c>
      <c r="C6">
        <f t="shared" si="2"/>
        <v>-3.7824622569924253</v>
      </c>
    </row>
    <row r="7" spans="1:8" x14ac:dyDescent="0.2">
      <c r="A7">
        <f t="shared" si="0"/>
        <v>0.50000000000000011</v>
      </c>
      <c r="B7">
        <f t="shared" si="1"/>
        <v>2.6941977613581396</v>
      </c>
      <c r="C7">
        <f t="shared" si="2"/>
        <v>-4.0518820331282397</v>
      </c>
    </row>
    <row r="8" spans="1:8" x14ac:dyDescent="0.2">
      <c r="A8">
        <f t="shared" si="0"/>
        <v>0.40000000000000013</v>
      </c>
      <c r="B8">
        <f t="shared" si="1"/>
        <v>3.0993859646709634</v>
      </c>
      <c r="C8">
        <f t="shared" si="2"/>
        <v>-4.3618206295953357</v>
      </c>
    </row>
    <row r="9" spans="1:8" x14ac:dyDescent="0.2">
      <c r="A9">
        <f t="shared" si="0"/>
        <v>0.30000000000000016</v>
      </c>
      <c r="B9">
        <f t="shared" si="1"/>
        <v>3.535568027630497</v>
      </c>
      <c r="C9">
        <f t="shared" si="2"/>
        <v>-4.7153774323583857</v>
      </c>
    </row>
    <row r="10" spans="1:8" x14ac:dyDescent="0.2">
      <c r="A10">
        <f t="shared" si="0"/>
        <v>0.20000000000000015</v>
      </c>
      <c r="B10">
        <f t="shared" si="1"/>
        <v>4.0071057708663353</v>
      </c>
      <c r="C10">
        <f t="shared" si="2"/>
        <v>-5.1160880094450194</v>
      </c>
    </row>
    <row r="11" spans="1:8" x14ac:dyDescent="0.2">
      <c r="A11">
        <f t="shared" si="0"/>
        <v>0.10000000000000014</v>
      </c>
      <c r="B11">
        <f t="shared" si="1"/>
        <v>4.518714571810837</v>
      </c>
      <c r="C11">
        <f t="shared" si="2"/>
        <v>-5.5679594666261032</v>
      </c>
    </row>
    <row r="12" spans="1:8" x14ac:dyDescent="0.2">
      <c r="A12">
        <f t="shared" si="0"/>
        <v>1.3877787807814457E-16</v>
      </c>
      <c r="B12">
        <f t="shared" si="1"/>
        <v>5.0755105184734477</v>
      </c>
      <c r="C12">
        <f t="shared" si="2"/>
        <v>-6.0755105184734477</v>
      </c>
    </row>
    <row r="23" spans="3:3" x14ac:dyDescent="0.2">
      <c r="C23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1531F-2491-2D40-B4D1-9E604D3A22FF}">
  <dimension ref="A1:P26"/>
  <sheetViews>
    <sheetView tabSelected="1" zoomScale="98" workbookViewId="0">
      <selection activeCell="R12" sqref="R12"/>
    </sheetView>
  </sheetViews>
  <sheetFormatPr baseColWidth="10" defaultRowHeight="16" x14ac:dyDescent="0.2"/>
  <sheetData>
    <row r="1" spans="1:16" ht="19" x14ac:dyDescent="0.25">
      <c r="A1" s="4"/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4</v>
      </c>
      <c r="M1" s="4"/>
      <c r="N1" s="4"/>
      <c r="O1" s="3" t="s">
        <v>5</v>
      </c>
      <c r="P1" s="3">
        <v>0.1</v>
      </c>
    </row>
    <row r="2" spans="1:16" ht="19" x14ac:dyDescent="0.25">
      <c r="A2" s="8">
        <v>0</v>
      </c>
      <c r="B2" s="7">
        <v>-10</v>
      </c>
      <c r="C2" s="7">
        <v>11</v>
      </c>
      <c r="D2" s="7">
        <v>-1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-1</v>
      </c>
      <c r="M2" s="4"/>
      <c r="N2" s="6" cm="1">
        <f t="array" ref="N2:N11">MMULT(MINVERSE(B2:K11), L2:L11)</f>
        <v>0.32720912711225936</v>
      </c>
      <c r="O2" s="3"/>
      <c r="P2" s="3"/>
    </row>
    <row r="3" spans="1:16" ht="19" x14ac:dyDescent="0.25">
      <c r="A3" s="8">
        <f>A2+$P$1</f>
        <v>0.1</v>
      </c>
      <c r="B3" s="7">
        <v>1</v>
      </c>
      <c r="C3" s="7">
        <v>-2.0099999999999998</v>
      </c>
      <c r="D3" s="7">
        <v>1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4"/>
      <c r="N3" s="6">
        <v>0.21633839199225072</v>
      </c>
      <c r="O3" s="3"/>
      <c r="P3" s="3"/>
    </row>
    <row r="4" spans="1:16" ht="19" x14ac:dyDescent="0.25">
      <c r="A4" s="8">
        <f t="shared" ref="A4:A12" si="0">A3+$P$1</f>
        <v>0.2</v>
      </c>
      <c r="B4" s="7">
        <v>0</v>
      </c>
      <c r="C4" s="7">
        <v>1</v>
      </c>
      <c r="D4" s="7">
        <v>-2.0099999999999998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4"/>
      <c r="N4" s="6">
        <v>0.10763104079216455</v>
      </c>
      <c r="O4" s="3"/>
      <c r="P4" s="3"/>
    </row>
    <row r="5" spans="1:16" ht="19" x14ac:dyDescent="0.25">
      <c r="A5" s="8">
        <f t="shared" si="0"/>
        <v>0.30000000000000004</v>
      </c>
      <c r="B5" s="7">
        <v>0</v>
      </c>
      <c r="C5" s="7">
        <v>0</v>
      </c>
      <c r="D5" s="7">
        <v>1</v>
      </c>
      <c r="E5" s="7">
        <v>-2.0099999999999998</v>
      </c>
      <c r="F5" s="7">
        <v>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4"/>
      <c r="N5" s="6">
        <v>0.11924576076136463</v>
      </c>
      <c r="O5" s="3"/>
      <c r="P5" s="3"/>
    </row>
    <row r="6" spans="1:16" ht="19" x14ac:dyDescent="0.25">
      <c r="A6" s="8">
        <f t="shared" si="0"/>
        <v>0.4</v>
      </c>
      <c r="B6" s="7">
        <v>0</v>
      </c>
      <c r="C6" s="7">
        <v>0</v>
      </c>
      <c r="D6" s="7">
        <v>0</v>
      </c>
      <c r="E6" s="7">
        <v>0</v>
      </c>
      <c r="F6" s="7">
        <v>-2.0099999999999998</v>
      </c>
      <c r="G6" s="7">
        <v>1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4"/>
      <c r="N6" s="6">
        <v>0.13205293833817833</v>
      </c>
      <c r="O6" s="3"/>
      <c r="P6" s="3"/>
    </row>
    <row r="7" spans="1:16" ht="19" x14ac:dyDescent="0.25">
      <c r="A7" s="8">
        <f t="shared" si="0"/>
        <v>0.5</v>
      </c>
      <c r="B7" s="7">
        <v>0</v>
      </c>
      <c r="C7" s="7">
        <v>0</v>
      </c>
      <c r="D7" s="7">
        <v>0</v>
      </c>
      <c r="E7" s="7">
        <v>0</v>
      </c>
      <c r="F7" s="7">
        <v>1</v>
      </c>
      <c r="G7" s="7">
        <v>-2.0099999999999998</v>
      </c>
      <c r="H7" s="7">
        <v>1</v>
      </c>
      <c r="I7" s="7">
        <v>0</v>
      </c>
      <c r="J7" s="7">
        <v>0</v>
      </c>
      <c r="K7" s="7">
        <v>0</v>
      </c>
      <c r="L7" s="7">
        <v>0</v>
      </c>
      <c r="M7" s="4"/>
      <c r="N7" s="6">
        <v>0.26542640605973838</v>
      </c>
      <c r="O7" s="3"/>
      <c r="P7" s="3"/>
    </row>
    <row r="8" spans="1:16" ht="19" x14ac:dyDescent="0.25">
      <c r="A8" s="8">
        <f t="shared" si="0"/>
        <v>0.6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1</v>
      </c>
      <c r="H8" s="7">
        <v>-2.0099999999999998</v>
      </c>
      <c r="I8" s="7">
        <v>1</v>
      </c>
      <c r="J8" s="7">
        <v>0</v>
      </c>
      <c r="K8" s="7">
        <v>0</v>
      </c>
      <c r="L8" s="7">
        <v>0</v>
      </c>
      <c r="M8" s="4"/>
      <c r="N8" s="6">
        <v>0.40145413784189582</v>
      </c>
      <c r="O8" s="3"/>
      <c r="P8" s="3"/>
    </row>
    <row r="9" spans="1:16" ht="19" x14ac:dyDescent="0.25">
      <c r="A9" s="8">
        <f t="shared" si="0"/>
        <v>0.7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1</v>
      </c>
      <c r="I9" s="7">
        <v>-2.0099999999999998</v>
      </c>
      <c r="J9" s="7">
        <v>1</v>
      </c>
      <c r="K9" s="7">
        <v>0</v>
      </c>
      <c r="L9" s="7">
        <v>0</v>
      </c>
      <c r="M9" s="4"/>
      <c r="N9" s="6">
        <v>0.54149641100247214</v>
      </c>
      <c r="O9" s="3"/>
      <c r="P9" s="3"/>
    </row>
    <row r="10" spans="1:16" ht="19" x14ac:dyDescent="0.25">
      <c r="A10" s="8">
        <f t="shared" si="0"/>
        <v>0.79999999999999993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-2.0099999999999998</v>
      </c>
      <c r="K10" s="7">
        <v>1</v>
      </c>
      <c r="L10" s="7">
        <v>0</v>
      </c>
      <c r="M10" s="4"/>
      <c r="N10" s="6">
        <v>0.68695364827307304</v>
      </c>
      <c r="O10" s="3"/>
      <c r="P10" s="3"/>
    </row>
    <row r="11" spans="1:16" ht="19" x14ac:dyDescent="0.25">
      <c r="A11" s="8">
        <f t="shared" si="0"/>
        <v>0.89999999999999991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1</v>
      </c>
      <c r="K11" s="7">
        <v>-2.0099999999999998</v>
      </c>
      <c r="L11" s="7">
        <v>-1</v>
      </c>
      <c r="M11" s="4"/>
      <c r="N11" s="6">
        <v>0.83928042202640463</v>
      </c>
      <c r="O11" s="3"/>
      <c r="P11" s="3"/>
    </row>
    <row r="12" spans="1:16" ht="19" x14ac:dyDescent="0.25">
      <c r="A12" s="8">
        <f t="shared" si="0"/>
        <v>0.99999999999999989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1</v>
      </c>
      <c r="L12" s="7">
        <v>1</v>
      </c>
      <c r="M12" s="4"/>
      <c r="N12" s="4"/>
      <c r="O12" s="3"/>
      <c r="P12" s="3"/>
    </row>
    <row r="15" spans="1:16" ht="18" x14ac:dyDescent="0.2">
      <c r="A15" s="5" t="s">
        <v>0</v>
      </c>
      <c r="B15" s="5" t="s">
        <v>16</v>
      </c>
    </row>
    <row r="16" spans="1:16" ht="18" x14ac:dyDescent="0.2">
      <c r="A16" s="8">
        <v>0</v>
      </c>
      <c r="B16" s="7">
        <f>N2</f>
        <v>0.32720912711225936</v>
      </c>
    </row>
    <row r="17" spans="1:2" ht="18" x14ac:dyDescent="0.2">
      <c r="A17" s="8">
        <v>0.1</v>
      </c>
      <c r="B17" s="7">
        <f>N3</f>
        <v>0.21633839199225072</v>
      </c>
    </row>
    <row r="18" spans="1:2" ht="18" x14ac:dyDescent="0.2">
      <c r="A18" s="8">
        <v>0.2</v>
      </c>
      <c r="B18" s="7">
        <f>N4</f>
        <v>0.10763104079216455</v>
      </c>
    </row>
    <row r="19" spans="1:2" ht="18" x14ac:dyDescent="0.2">
      <c r="A19" s="8">
        <v>0.3</v>
      </c>
      <c r="B19" s="7">
        <f>N5</f>
        <v>0.11924576076136463</v>
      </c>
    </row>
    <row r="20" spans="1:2" ht="18" x14ac:dyDescent="0.2">
      <c r="A20" s="8">
        <v>0.4</v>
      </c>
      <c r="B20" s="7">
        <f>N6</f>
        <v>0.13205293833817833</v>
      </c>
    </row>
    <row r="21" spans="1:2" ht="18" x14ac:dyDescent="0.2">
      <c r="A21" s="8">
        <v>0.5</v>
      </c>
      <c r="B21" s="7">
        <f>N7</f>
        <v>0.26542640605973838</v>
      </c>
    </row>
    <row r="22" spans="1:2" ht="18" x14ac:dyDescent="0.2">
      <c r="A22" s="8">
        <v>0.6</v>
      </c>
      <c r="B22" s="7">
        <f>N8</f>
        <v>0.40145413784189582</v>
      </c>
    </row>
    <row r="23" spans="1:2" ht="18" x14ac:dyDescent="0.2">
      <c r="A23" s="8">
        <v>0.7</v>
      </c>
      <c r="B23" s="7">
        <f>N9</f>
        <v>0.54149641100247214</v>
      </c>
    </row>
    <row r="24" spans="1:2" ht="18" x14ac:dyDescent="0.2">
      <c r="A24" s="8">
        <v>0.8</v>
      </c>
      <c r="B24" s="7">
        <f>N10</f>
        <v>0.68695364827307304</v>
      </c>
    </row>
    <row r="25" spans="1:2" ht="18" x14ac:dyDescent="0.2">
      <c r="A25" s="8">
        <v>0.9</v>
      </c>
      <c r="B25" s="7">
        <f>N11</f>
        <v>0.83928042202640463</v>
      </c>
    </row>
    <row r="26" spans="1:2" ht="18" x14ac:dyDescent="0.2">
      <c r="A26" s="8">
        <v>1</v>
      </c>
      <c r="B26" s="7">
        <v>1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1</vt:lpstr>
      <vt:lpstr>Problem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Rayyan</dc:creator>
  <cp:lastModifiedBy>Khan, Rayyan</cp:lastModifiedBy>
  <dcterms:created xsi:type="dcterms:W3CDTF">2025-11-06T14:24:42Z</dcterms:created>
  <dcterms:modified xsi:type="dcterms:W3CDTF">2025-11-06T15:13:38Z</dcterms:modified>
</cp:coreProperties>
</file>