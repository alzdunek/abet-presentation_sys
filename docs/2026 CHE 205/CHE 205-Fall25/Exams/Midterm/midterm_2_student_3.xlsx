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lyons/Documents/"/>
    </mc:Choice>
  </mc:AlternateContent>
  <xr:revisionPtr revIDLastSave="0" documentId="8_{B607FC1F-D244-7948-9C45-EC2C75134BC1}" xr6:coauthVersionLast="47" xr6:coauthVersionMax="47" xr10:uidLastSave="{00000000-0000-0000-0000-000000000000}"/>
  <bookViews>
    <workbookView xWindow="2300" yWindow="500" windowWidth="26980" windowHeight="15540" xr2:uid="{0583D6BB-8C91-2B49-8124-FE69D44C30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 a="1"/>
  <c r="V7" i="1" s="1"/>
  <c r="W8" i="1"/>
  <c r="W9" i="1"/>
  <c r="W10" i="1"/>
  <c r="W11" i="1"/>
  <c r="W12" i="1"/>
  <c r="W13" i="1"/>
  <c r="W14" i="1"/>
  <c r="W15" i="1"/>
  <c r="W16" i="1"/>
  <c r="W17" i="1"/>
  <c r="W7" i="1"/>
  <c r="J8" i="1"/>
  <c r="K8" i="1"/>
  <c r="L8" i="1"/>
  <c r="M8" i="1"/>
  <c r="N8" i="1"/>
  <c r="O8" i="1"/>
  <c r="P8" i="1"/>
  <c r="Q8" i="1"/>
  <c r="R8" i="1"/>
  <c r="S8" i="1"/>
  <c r="T8" i="1"/>
  <c r="J9" i="1"/>
  <c r="K9" i="1"/>
  <c r="L9" i="1"/>
  <c r="M9" i="1"/>
  <c r="N9" i="1"/>
  <c r="O9" i="1"/>
  <c r="P9" i="1"/>
  <c r="Q9" i="1"/>
  <c r="R9" i="1"/>
  <c r="S9" i="1"/>
  <c r="T9" i="1"/>
  <c r="J10" i="1"/>
  <c r="K10" i="1"/>
  <c r="L10" i="1"/>
  <c r="M10" i="1"/>
  <c r="N10" i="1"/>
  <c r="O10" i="1"/>
  <c r="P10" i="1"/>
  <c r="Q10" i="1"/>
  <c r="R10" i="1"/>
  <c r="S10" i="1"/>
  <c r="T10" i="1"/>
  <c r="J11" i="1"/>
  <c r="K11" i="1"/>
  <c r="L11" i="1"/>
  <c r="M11" i="1"/>
  <c r="N11" i="1"/>
  <c r="O11" i="1"/>
  <c r="P11" i="1"/>
  <c r="Q11" i="1"/>
  <c r="R11" i="1"/>
  <c r="S11" i="1"/>
  <c r="T11" i="1"/>
  <c r="J12" i="1"/>
  <c r="K12" i="1"/>
  <c r="L12" i="1"/>
  <c r="M12" i="1"/>
  <c r="N12" i="1"/>
  <c r="O12" i="1"/>
  <c r="P12" i="1"/>
  <c r="Q12" i="1"/>
  <c r="R12" i="1"/>
  <c r="S12" i="1"/>
  <c r="T12" i="1"/>
  <c r="J13" i="1"/>
  <c r="K13" i="1"/>
  <c r="L13" i="1"/>
  <c r="M13" i="1"/>
  <c r="N13" i="1"/>
  <c r="O13" i="1"/>
  <c r="P13" i="1"/>
  <c r="Q13" i="1"/>
  <c r="R13" i="1"/>
  <c r="S13" i="1"/>
  <c r="T13" i="1"/>
  <c r="J14" i="1"/>
  <c r="K14" i="1"/>
  <c r="L14" i="1"/>
  <c r="M14" i="1"/>
  <c r="N14" i="1"/>
  <c r="O14" i="1"/>
  <c r="P14" i="1"/>
  <c r="Q14" i="1"/>
  <c r="R14" i="1"/>
  <c r="S14" i="1"/>
  <c r="T14" i="1"/>
  <c r="J15" i="1"/>
  <c r="K15" i="1"/>
  <c r="L15" i="1"/>
  <c r="M15" i="1"/>
  <c r="N15" i="1"/>
  <c r="O15" i="1"/>
  <c r="P15" i="1"/>
  <c r="Q15" i="1"/>
  <c r="R15" i="1"/>
  <c r="S15" i="1"/>
  <c r="T15" i="1"/>
  <c r="J16" i="1"/>
  <c r="K16" i="1"/>
  <c r="L16" i="1"/>
  <c r="M16" i="1"/>
  <c r="N16" i="1"/>
  <c r="O16" i="1"/>
  <c r="P16" i="1"/>
  <c r="Q16" i="1"/>
  <c r="R16" i="1"/>
  <c r="S16" i="1"/>
  <c r="T16" i="1"/>
  <c r="J17" i="1"/>
  <c r="K17" i="1"/>
  <c r="L17" i="1"/>
  <c r="M17" i="1"/>
  <c r="N17" i="1"/>
  <c r="O17" i="1"/>
  <c r="P17" i="1"/>
  <c r="Q17" i="1"/>
  <c r="R17" i="1"/>
  <c r="S17" i="1"/>
  <c r="T17" i="1"/>
  <c r="K7" i="1"/>
  <c r="L7" i="1"/>
  <c r="M7" i="1"/>
  <c r="N7" i="1"/>
  <c r="O7" i="1"/>
  <c r="P7" i="1"/>
  <c r="Q7" i="1"/>
  <c r="R7" i="1"/>
  <c r="S7" i="1"/>
  <c r="T7" i="1"/>
  <c r="J7" i="1"/>
  <c r="I4" i="1"/>
  <c r="C3" i="1"/>
  <c r="A12" i="1"/>
  <c r="A4" i="1"/>
  <c r="A5" i="1"/>
  <c r="A6" i="1"/>
  <c r="A7" i="1"/>
  <c r="A8" i="1" s="1"/>
  <c r="A9" i="1" s="1"/>
  <c r="A10" i="1" s="1"/>
  <c r="A11" i="1" s="1"/>
  <c r="A3" i="1"/>
  <c r="C4" i="1" l="1"/>
  <c r="B4" i="1" s="1"/>
  <c r="C5" i="1" s="1"/>
  <c r="B3" i="1"/>
  <c r="B5" i="1" l="1"/>
  <c r="C6" i="1" s="1"/>
  <c r="B6" i="1" l="1"/>
  <c r="C7" i="1" s="1"/>
  <c r="B7" i="1" l="1"/>
  <c r="C8" i="1" s="1"/>
  <c r="B8" i="1" l="1"/>
  <c r="C9" i="1" s="1"/>
  <c r="B9" i="1" l="1"/>
  <c r="C10" i="1" s="1"/>
  <c r="B10" i="1" l="1"/>
  <c r="C11" i="1" s="1"/>
  <c r="B11" i="1" l="1"/>
  <c r="C12" i="1"/>
  <c r="B1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<sst xmlns="http://schemas.openxmlformats.org/spreadsheetml/2006/main" count="9" uniqueCount="9">
  <si>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x</t>
  </si>
  <si>
    <t>T</t>
  </si>
  <si>
    <t xml:space="preserve">h = </t>
  </si>
  <si>
    <t>y(1) guess</t>
  </si>
  <si>
    <t>dx</t>
  </si>
  <si>
    <t>dx2</t>
  </si>
  <si>
    <t>T_fd</t>
  </si>
  <si>
    <t>X</t>
  </si>
  <si>
    <t>Wasn’t sure if they needed to be on the same or separate graphs so I did both.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</si>
</sst>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vs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</c:f>
              <c:numCache>
                <c:formatCode>0.00</c:formatCode>
                <c:ptCount val="11"/>
                <c:pt idx="0" formatCode="General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  <c:pt idx="5">
                  <c:v>0.50000000000000011</c:v>
                </c:pt>
                <c:pt idx="6">
                  <c:v>0.40000000000000013</c:v>
                </c:pt>
                <c:pt idx="7">
                  <c:v>0.30000000000000016</c:v>
                </c:pt>
                <c:pt idx="8">
                  <c:v>0.20000000000000015</c:v>
                </c:pt>
                <c:pt idx="9">
                  <c:v>0.10000000000000014</c:v>
                </c:pt>
                <c:pt idx="10">
                  <c:v>1.3877787807814457E-16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1.3856850331313131</c:v>
                </c:pt>
                <c:pt idx="2">
                  <c:v>1.7892626931945719</c:v>
                </c:pt>
                <c:pt idx="3">
                  <c:v>2.2149902558159908</c:v>
                </c:pt>
                <c:pt idx="4">
                  <c:v>2.6673917357953632</c:v>
                </c:pt>
                <c:pt idx="5">
                  <c:v>3.1513062785603387</c:v>
                </c:pt>
                <c:pt idx="6">
                  <c:v>3.6719402235609238</c:v>
                </c:pt>
                <c:pt idx="7">
                  <c:v>4.2349234025873823</c:v>
                </c:pt>
                <c:pt idx="8">
                  <c:v>4.8463702844584251</c:v>
                </c:pt>
                <c:pt idx="9">
                  <c:v>5.5129466326560284</c:v>
                </c:pt>
                <c:pt idx="10">
                  <c:v>6.2419424049026579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AE-6F46-B025-956A64D4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12128"/>
        <c:axId val="106236240"/>
      </c:scatterChart>
      <c:valAx>
        <c:axId val="1060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6240"/>
        <c:crosses val="autoZero"/>
        <c:crossBetween val="midCat"/>
      </c:valAx>
      <c:valAx>
        <c:axId val="1062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vs T_fd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Sheet1!$W$7:$W$17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Sheet1!$V$7:$V$17</c:f>
              <c:numCache>
                <c:formatCode>General</c:formatCode>
                <c:ptCount val="11"/>
                <c:pt idx="0">
                  <c:v>6.9909605008423856</c:v>
                </c:pt>
                <c:pt idx="1">
                  <c:v>6.1918644507581471</c:v>
                </c:pt>
                <c:pt idx="2">
                  <c:v>5.4546870451814904</c:v>
                </c:pt>
                <c:pt idx="3">
                  <c:v>4.7720565100566468</c:v>
                </c:pt>
                <c:pt idx="4">
                  <c:v>4.1371465400323704</c:v>
                </c:pt>
                <c:pt idx="5">
                  <c:v>3.543608035408417</c:v>
                </c:pt>
                <c:pt idx="6">
                  <c:v>2.9855056111385485</c:v>
                </c:pt>
                <c:pt idx="7">
                  <c:v>2.4572582429800658</c:v>
                </c:pt>
                <c:pt idx="8">
                  <c:v>1.9535834572513835</c:v>
                </c:pt>
                <c:pt idx="9">
                  <c:v>1.4694445060952155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8-2544-BD9B-5E9B00E5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73408"/>
        <c:axId val="162129456"/>
      </c:scatterChart>
      <c:valAx>
        <c:axId val="1623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29456"/>
        <c:crosses val="autoZero"/>
        <c:crossBetween val="midCat"/>
      </c:valAx>
      <c:valAx>
        <c:axId val="1621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T_fd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vs T on the same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 vs 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</c:f>
              <c:numCache>
                <c:formatCode>0.00</c:formatCode>
                <c:ptCount val="11"/>
                <c:pt idx="0" formatCode="General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  <c:pt idx="5">
                  <c:v>0.50000000000000011</c:v>
                </c:pt>
                <c:pt idx="6">
                  <c:v>0.40000000000000013</c:v>
                </c:pt>
                <c:pt idx="7">
                  <c:v>0.30000000000000016</c:v>
                </c:pt>
                <c:pt idx="8">
                  <c:v>0.20000000000000015</c:v>
                </c:pt>
                <c:pt idx="9">
                  <c:v>0.10000000000000014</c:v>
                </c:pt>
                <c:pt idx="10">
                  <c:v>1.3877787807814457E-16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1.3856850331313131</c:v>
                </c:pt>
                <c:pt idx="2">
                  <c:v>1.7892626931945719</c:v>
                </c:pt>
                <c:pt idx="3">
                  <c:v>2.2149902558159908</c:v>
                </c:pt>
                <c:pt idx="4">
                  <c:v>2.6673917357953632</c:v>
                </c:pt>
                <c:pt idx="5">
                  <c:v>3.1513062785603387</c:v>
                </c:pt>
                <c:pt idx="6">
                  <c:v>3.6719402235609238</c:v>
                </c:pt>
                <c:pt idx="7">
                  <c:v>4.2349234025873823</c:v>
                </c:pt>
                <c:pt idx="8">
                  <c:v>4.8463702844584251</c:v>
                </c:pt>
                <c:pt idx="9">
                  <c:v>5.5129466326560284</c:v>
                </c:pt>
                <c:pt idx="10">
                  <c:v>6.2419424049026579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B-D741-89D0-1255D03BBDEF}"/>
            </c:ext>
          </c:extLst>
        </c:ser>
        <c:ser>
          <c:idx val="1"/>
          <c:order val="1"/>
          <c:tx>
            <c:v>x vs T_fd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Sheet1!$W$7:$W$17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Sheet1!$V$7:$V$17</c:f>
              <c:numCache>
                <c:formatCode>General</c:formatCode>
                <c:ptCount val="11"/>
                <c:pt idx="0">
                  <c:v>6.9909605008423856</c:v>
                </c:pt>
                <c:pt idx="1">
                  <c:v>6.1918644507581471</c:v>
                </c:pt>
                <c:pt idx="2">
                  <c:v>5.4546870451814904</c:v>
                </c:pt>
                <c:pt idx="3">
                  <c:v>4.7720565100566468</c:v>
                </c:pt>
                <c:pt idx="4">
                  <c:v>4.1371465400323704</c:v>
                </c:pt>
                <c:pt idx="5">
                  <c:v>3.543608035408417</c:v>
                </c:pt>
                <c:pt idx="6">
                  <c:v>2.9855056111385485</c:v>
                </c:pt>
                <c:pt idx="7">
                  <c:v>2.4572582429800658</c:v>
                </c:pt>
                <c:pt idx="8">
                  <c:v>1.9535834572513835</c:v>
                </c:pt>
                <c:pt idx="9">
                  <c:v>1.4694445060952155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8B-D741-89D0-1255D03BB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12128"/>
        <c:axId val="106236240"/>
      </c:scatterChart>
      <c:valAx>
        <c:axId val="1060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6240"/>
        <c:crosses val="autoZero"/>
        <c:crossBetween val="midCat"/>
      </c:valAx>
      <c:valAx>
        <c:axId val="1062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14</xdr:row>
      <xdr:rowOff>76200</xdr:rowOff>
    </xdr:from>
    <xdr:to>
      <xdr:col>6</xdr:col>
      <xdr:colOff>1009650</xdr:colOff>
      <xdr:row>27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047B42-E6B1-3301-9C55-F9515A558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165100</xdr:colOff>
      <xdr:row>18</xdr:row>
      <xdr:rowOff>25400</xdr:rowOff>
    </xdr:from>
    <xdr:to>
      <xdr:col>14</xdr:col>
      <xdr:colOff>609600</xdr:colOff>
      <xdr:row>31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3914CD-9544-C86C-8C72-07F1685FB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800100</xdr:colOff>
      <xdr:row>31</xdr:row>
      <xdr:rowOff>12700</xdr:rowOff>
    </xdr:from>
    <xdr:to>
      <xdr:col>7</xdr:col>
      <xdr:colOff>381000</xdr:colOff>
      <xdr:row>44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65D905-8234-0246-B9BC-62A084D60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9D6D-D4A5-E643-B3FC-0347F7CFE3E6}">
  <dimension ref="A1:W36"/>
  <sheetViews>
    <sheetView tabSelected="1" topLeftCell="A13" workbookViewId="0">
      <selection activeCell="J41" sqref="J41"/>
    </sheetView>
  </sheetViews>
  <sheetFormatPr baseColWidth="10" defaultRowHeight="16" x14ac:dyDescent="0.2"/>
  <cols>
    <col min="3" max="3" width="19.6640625" customWidth="1"/>
    <col min="7" max="7" width="13.33203125" bestFit="1" customWidth="1"/>
  </cols>
  <sheetData>
    <row r="1" spans="1:23" x14ac:dyDescent="0.2">
      <c r="A1" t="s">
        <v>0</v>
      </c>
      <c r="B1" t="s">
        <v>1</v>
      </c>
      <c r="C1" t="s">
        <v>3</v>
      </c>
      <c r="I1" t="s">
        <v>4</v>
      </c>
    </row>
    <row r="2" spans="1:23" x14ac:dyDescent="0.2">
      <c r="A2">
        <v>1</v>
      </c>
      <c r="B2">
        <v>1</v>
      </c>
      <c r="C2">
        <v>-3.7182818279999998</v>
      </c>
      <c r="G2" s="2"/>
      <c r="I2">
        <v>0.1</v>
      </c>
    </row>
    <row r="3" spans="1:23" x14ac:dyDescent="0.2">
      <c r="A3" s="1">
        <f>A2-$B$22</f>
        <v>0.9</v>
      </c>
      <c r="B3">
        <f xml:space="preserve"> B2 - 0.1 * C3</f>
        <v>1.3856850331313131</v>
      </c>
      <c r="C3">
        <f>(C2 - 0.1*B2) / (1 - 0.1^2)</f>
        <v>-3.8568503313131313</v>
      </c>
      <c r="I3" t="s">
        <v>5</v>
      </c>
    </row>
    <row r="4" spans="1:23" x14ac:dyDescent="0.2">
      <c r="A4" s="1">
        <f t="shared" ref="A4:A11" si="0">A3-$B$22</f>
        <v>0.8</v>
      </c>
      <c r="B4">
        <f t="shared" ref="B4:B12" si="1" xml:space="preserve"> B3 - 0.1 * C4</f>
        <v>1.7892626931945719</v>
      </c>
      <c r="C4">
        <f t="shared" ref="C4:C12" si="2">(C3 - 0.1*B3) / (1 - 0.1^2)</f>
        <v>-4.0357766006325884</v>
      </c>
      <c r="D4" s="1"/>
      <c r="I4">
        <f>(I2)^2</f>
        <v>1.0000000000000002E-2</v>
      </c>
    </row>
    <row r="5" spans="1:23" x14ac:dyDescent="0.2">
      <c r="A5" s="1">
        <f t="shared" si="0"/>
        <v>0.70000000000000007</v>
      </c>
      <c r="B5">
        <f t="shared" si="1"/>
        <v>2.2149902558159908</v>
      </c>
      <c r="C5">
        <f t="shared" si="2"/>
        <v>-4.2572756262141871</v>
      </c>
      <c r="D5" s="1"/>
      <c r="V5" t="s">
        <v>6</v>
      </c>
      <c r="W5" t="s">
        <v>7</v>
      </c>
    </row>
    <row r="6" spans="1:23" x14ac:dyDescent="0.2">
      <c r="A6" s="1">
        <f t="shared" si="0"/>
        <v>0.60000000000000009</v>
      </c>
      <c r="B6">
        <f t="shared" si="1"/>
        <v>2.6673917357953632</v>
      </c>
      <c r="C6">
        <f t="shared" si="2"/>
        <v>-4.524014799793723</v>
      </c>
      <c r="D6" s="1"/>
      <c r="J6">
        <v>0</v>
      </c>
      <c r="K6">
        <v>1</v>
      </c>
      <c r="L6">
        <v>2</v>
      </c>
      <c r="M6">
        <v>3</v>
      </c>
      <c r="N6">
        <v>4</v>
      </c>
      <c r="O6">
        <v>5</v>
      </c>
      <c r="P6">
        <v>6</v>
      </c>
      <c r="Q6">
        <v>7</v>
      </c>
      <c r="R6">
        <v>8</v>
      </c>
      <c r="S6">
        <v>9</v>
      </c>
      <c r="T6">
        <v>10</v>
      </c>
    </row>
    <row r="7" spans="1:23" x14ac:dyDescent="0.2">
      <c r="A7" s="1">
        <f t="shared" si="0"/>
        <v>0.50000000000000011</v>
      </c>
      <c r="B7">
        <f t="shared" si="1"/>
        <v>3.1513062785603387</v>
      </c>
      <c r="C7">
        <f t="shared" si="2"/>
        <v>-4.8391454276497567</v>
      </c>
      <c r="D7" s="1"/>
      <c r="I7">
        <v>0</v>
      </c>
      <c r="J7">
        <f>IF($I7=0,
   IF(J$6=0, -1/$I$2 + 1, IF(J$6=1, 1/$I$2, 0)),
   IF($I7=10,
      IF(J$6=10, 1, 0),
      IF(J$6=$I7-1, 1/$I$4,
         IF(J$6=$I7, -2/$I$4 - 1,
            IF(J$6=$I7+1, 1/$I$4, 0)
         )
      )
   )
)</f>
        <v>-9</v>
      </c>
      <c r="K7">
        <f t="shared" ref="K7:T17" si="3">IF($I7=0,
   IF(K$6=0, -1/$I$2 + 1, IF(K$6=1, 1/$I$2, 0)),
   IF($I7=10,
      IF(K$6=10, 1, 0),
      IF(K$6=$I7-1, 1/$I$4,
         IF(K$6=$I7, -2/$I$4 - 1,
            IF(K$6=$I7+1, 1/$I$4, 0)
         )
      )
   )
)</f>
        <v>10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v>-1</v>
      </c>
      <c r="V7" cm="1">
        <f t="array" ref="V7:V17">MMULT(MINVERSE(J7:T17), U7:U17)</f>
        <v>6.9909605008423856</v>
      </c>
      <c r="W7">
        <f>$I7 * $I$2</f>
        <v>0</v>
      </c>
    </row>
    <row r="8" spans="1:23" x14ac:dyDescent="0.2">
      <c r="A8" s="1">
        <f t="shared" si="0"/>
        <v>0.40000000000000013</v>
      </c>
      <c r="B8">
        <f t="shared" si="1"/>
        <v>3.6719402235609238</v>
      </c>
      <c r="C8">
        <f t="shared" si="2"/>
        <v>-5.2063394500058493</v>
      </c>
      <c r="D8" s="1"/>
      <c r="I8">
        <v>1</v>
      </c>
      <c r="J8">
        <f t="shared" ref="J8:J17" si="4">IF($I8=0,
   IF(J$6=0, -1/$I$2 + 1, IF(J$6=1, 1/$I$2, 0)),
   IF($I8=10,
      IF(J$6=10, 1, 0),
      IF(J$6=$I8-1, 1/$I$4,
         IF(J$6=$I8, -2/$I$4 - 1,
            IF(J$6=$I8+1, 1/$I$4, 0)
         )
      )
   )
)</f>
        <v>99.999999999999986</v>
      </c>
      <c r="K8">
        <f t="shared" si="3"/>
        <v>-200.99999999999997</v>
      </c>
      <c r="L8">
        <f t="shared" si="3"/>
        <v>99.999999999999986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v>0</v>
      </c>
      <c r="V8">
        <v>6.1918644507581471</v>
      </c>
      <c r="W8">
        <f t="shared" ref="W8:W17" si="5">$I8 * $I$2</f>
        <v>0.1</v>
      </c>
    </row>
    <row r="9" spans="1:23" x14ac:dyDescent="0.2">
      <c r="A9" s="1">
        <f t="shared" si="0"/>
        <v>0.30000000000000016</v>
      </c>
      <c r="B9">
        <f t="shared" si="1"/>
        <v>4.2349234025873823</v>
      </c>
      <c r="C9">
        <f t="shared" si="2"/>
        <v>-5.6298317902645874</v>
      </c>
      <c r="D9" s="1"/>
      <c r="I9">
        <v>2</v>
      </c>
      <c r="J9">
        <f t="shared" si="4"/>
        <v>0</v>
      </c>
      <c r="K9">
        <f t="shared" si="3"/>
        <v>99.999999999999986</v>
      </c>
      <c r="L9">
        <f t="shared" si="3"/>
        <v>-200.99999999999997</v>
      </c>
      <c r="M9">
        <f t="shared" si="3"/>
        <v>99.999999999999986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v>0</v>
      </c>
      <c r="V9">
        <v>5.4546870451814904</v>
      </c>
      <c r="W9">
        <f t="shared" si="5"/>
        <v>0.2</v>
      </c>
    </row>
    <row r="10" spans="1:23" x14ac:dyDescent="0.2">
      <c r="A10" s="1">
        <f t="shared" si="0"/>
        <v>0.20000000000000015</v>
      </c>
      <c r="B10">
        <f t="shared" si="1"/>
        <v>4.8463702844584251</v>
      </c>
      <c r="C10">
        <f t="shared" si="2"/>
        <v>-6.1144688187104297</v>
      </c>
      <c r="D10" s="1"/>
      <c r="I10">
        <v>3</v>
      </c>
      <c r="J10">
        <f t="shared" si="4"/>
        <v>0</v>
      </c>
      <c r="K10">
        <f t="shared" si="3"/>
        <v>0</v>
      </c>
      <c r="L10">
        <f t="shared" si="3"/>
        <v>99.999999999999986</v>
      </c>
      <c r="M10">
        <f t="shared" si="3"/>
        <v>-200.99999999999997</v>
      </c>
      <c r="N10">
        <f t="shared" si="3"/>
        <v>99.999999999999986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v>0</v>
      </c>
      <c r="V10">
        <v>4.7720565100566468</v>
      </c>
      <c r="W10">
        <f t="shared" si="5"/>
        <v>0.30000000000000004</v>
      </c>
    </row>
    <row r="11" spans="1:23" x14ac:dyDescent="0.2">
      <c r="A11" s="1">
        <f t="shared" si="0"/>
        <v>0.10000000000000014</v>
      </c>
      <c r="B11">
        <f t="shared" si="1"/>
        <v>5.5129466326560284</v>
      </c>
      <c r="C11">
        <f t="shared" si="2"/>
        <v>-6.6657634819760325</v>
      </c>
      <c r="D11" s="1"/>
      <c r="I11">
        <v>4</v>
      </c>
      <c r="J11">
        <f t="shared" si="4"/>
        <v>0</v>
      </c>
      <c r="K11">
        <f t="shared" si="3"/>
        <v>0</v>
      </c>
      <c r="L11">
        <f t="shared" si="3"/>
        <v>0</v>
      </c>
      <c r="M11">
        <f t="shared" si="3"/>
        <v>99.999999999999986</v>
      </c>
      <c r="N11">
        <f t="shared" si="3"/>
        <v>-200.99999999999997</v>
      </c>
      <c r="O11">
        <f t="shared" si="3"/>
        <v>99.999999999999986</v>
      </c>
      <c r="P11">
        <f t="shared" si="3"/>
        <v>0</v>
      </c>
      <c r="Q11">
        <f t="shared" si="3"/>
        <v>0</v>
      </c>
      <c r="R11">
        <f t="shared" si="3"/>
        <v>0</v>
      </c>
      <c r="S11">
        <f t="shared" si="3"/>
        <v>0</v>
      </c>
      <c r="T11">
        <f t="shared" si="3"/>
        <v>0</v>
      </c>
      <c r="U11">
        <v>0</v>
      </c>
      <c r="V11">
        <v>4.1371465400323704</v>
      </c>
      <c r="W11">
        <f t="shared" si="5"/>
        <v>0.4</v>
      </c>
    </row>
    <row r="12" spans="1:23" x14ac:dyDescent="0.2">
      <c r="A12" s="1">
        <f>A11-$B$22</f>
        <v>1.3877787807814457E-16</v>
      </c>
      <c r="B12">
        <f t="shared" si="1"/>
        <v>6.2419424049026579</v>
      </c>
      <c r="C12">
        <f t="shared" si="2"/>
        <v>-7.2899577224662986</v>
      </c>
      <c r="D12" s="1"/>
      <c r="I12">
        <v>5</v>
      </c>
      <c r="J12">
        <f t="shared" si="4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99.999999999999986</v>
      </c>
      <c r="O12">
        <f t="shared" si="3"/>
        <v>-200.99999999999997</v>
      </c>
      <c r="P12">
        <f t="shared" si="3"/>
        <v>99.999999999999986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v>0</v>
      </c>
      <c r="V12">
        <v>3.543608035408417</v>
      </c>
      <c r="W12">
        <f t="shared" si="5"/>
        <v>0.5</v>
      </c>
    </row>
    <row r="13" spans="1:23" x14ac:dyDescent="0.2">
      <c r="D13" s="1"/>
      <c r="I13">
        <v>6</v>
      </c>
      <c r="J13">
        <f t="shared" si="4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99.999999999999986</v>
      </c>
      <c r="P13">
        <f t="shared" si="3"/>
        <v>-200.99999999999997</v>
      </c>
      <c r="Q13">
        <f t="shared" si="3"/>
        <v>99.999999999999986</v>
      </c>
      <c r="R13">
        <f t="shared" si="3"/>
        <v>0</v>
      </c>
      <c r="S13">
        <f t="shared" si="3"/>
        <v>0</v>
      </c>
      <c r="T13">
        <f t="shared" si="3"/>
        <v>0</v>
      </c>
      <c r="U13">
        <v>0</v>
      </c>
      <c r="V13">
        <v>2.9855056111385485</v>
      </c>
      <c r="W13">
        <f t="shared" si="5"/>
        <v>0.60000000000000009</v>
      </c>
    </row>
    <row r="14" spans="1:23" x14ac:dyDescent="0.2">
      <c r="I14">
        <v>7</v>
      </c>
      <c r="J14">
        <f t="shared" si="4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99.999999999999986</v>
      </c>
      <c r="Q14">
        <f t="shared" si="3"/>
        <v>-200.99999999999997</v>
      </c>
      <c r="R14">
        <f t="shared" si="3"/>
        <v>99.999999999999986</v>
      </c>
      <c r="S14">
        <f t="shared" si="3"/>
        <v>0</v>
      </c>
      <c r="T14">
        <f t="shared" si="3"/>
        <v>0</v>
      </c>
      <c r="U14">
        <v>0</v>
      </c>
      <c r="V14">
        <v>2.4572582429800658</v>
      </c>
      <c r="W14">
        <f t="shared" si="5"/>
        <v>0.70000000000000007</v>
      </c>
    </row>
    <row r="15" spans="1:23" x14ac:dyDescent="0.2">
      <c r="I15">
        <v>8</v>
      </c>
      <c r="J15">
        <f t="shared" si="4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99.999999999999986</v>
      </c>
      <c r="R15">
        <f t="shared" si="3"/>
        <v>-200.99999999999997</v>
      </c>
      <c r="S15">
        <f t="shared" si="3"/>
        <v>99.999999999999986</v>
      </c>
      <c r="T15">
        <f t="shared" si="3"/>
        <v>0</v>
      </c>
      <c r="U15">
        <v>0</v>
      </c>
      <c r="V15">
        <v>1.9535834572513835</v>
      </c>
      <c r="W15">
        <f t="shared" si="5"/>
        <v>0.8</v>
      </c>
    </row>
    <row r="16" spans="1:23" x14ac:dyDescent="0.2">
      <c r="I16">
        <v>9</v>
      </c>
      <c r="J16">
        <f t="shared" si="4"/>
        <v>0</v>
      </c>
      <c r="K16">
        <f t="shared" si="3"/>
        <v>0</v>
      </c>
      <c r="L16">
        <f t="shared" si="3"/>
        <v>0</v>
      </c>
      <c r="M16">
        <f t="shared" si="3"/>
        <v>0</v>
      </c>
      <c r="N16">
        <f t="shared" si="3"/>
        <v>0</v>
      </c>
      <c r="O16">
        <f t="shared" si="3"/>
        <v>0</v>
      </c>
      <c r="P16">
        <f t="shared" si="3"/>
        <v>0</v>
      </c>
      <c r="Q16">
        <f t="shared" si="3"/>
        <v>0</v>
      </c>
      <c r="R16">
        <f t="shared" si="3"/>
        <v>99.999999999999986</v>
      </c>
      <c r="S16">
        <f t="shared" si="3"/>
        <v>-200.99999999999997</v>
      </c>
      <c r="T16">
        <f t="shared" si="3"/>
        <v>99.999999999999986</v>
      </c>
      <c r="U16">
        <v>0</v>
      </c>
      <c r="V16">
        <v>1.4694445060952155</v>
      </c>
      <c r="W16">
        <f t="shared" si="5"/>
        <v>0.9</v>
      </c>
    </row>
    <row r="17" spans="1:23" x14ac:dyDescent="0.2">
      <c r="I17">
        <v>10</v>
      </c>
      <c r="J17">
        <f t="shared" si="4"/>
        <v>0</v>
      </c>
      <c r="K17">
        <f t="shared" si="3"/>
        <v>0</v>
      </c>
      <c r="L17">
        <f t="shared" si="3"/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1</v>
      </c>
      <c r="U17">
        <v>1</v>
      </c>
      <c r="V17">
        <v>1</v>
      </c>
      <c r="W17">
        <f t="shared" si="5"/>
        <v>1</v>
      </c>
    </row>
    <row r="22" spans="1:23" x14ac:dyDescent="0.2">
      <c r="A22" t="s">
        <v>2</v>
      </c>
      <c r="B22">
        <v>0.1</v>
      </c>
    </row>
    <row r="36" spans="9:9" x14ac:dyDescent="0.2">
      <c r="I36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Lyons, Liv</dc:creator>
  <cp:lastModifiedBy>Lyons, Liv</cp:lastModifiedBy>
  <dcterms:created xsi:type="dcterms:W3CDTF">2025-11-06T13:59:04Z</dcterms:created>
  <dcterms:modified xsi:type="dcterms:W3CDTF">2025-11-06T14:56:03Z</dcterms:modified>
</cp:coreProperties>
</file>