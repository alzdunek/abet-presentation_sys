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y\Desktop\CHE 205\"/>
    </mc:Choice>
  </mc:AlternateContent>
  <xr:revisionPtr revIDLastSave="0" documentId="13_ncr:1_{59C776F8-B351-443C-8F22-D7C1B8396E9F}" xr6:coauthVersionLast="47" xr6:coauthVersionMax="47" xr10:uidLastSave="{00000000-0000-0000-0000-000000000000}"/>
  <bookViews>
    <workbookView xWindow="-108" yWindow="288" windowWidth="23256" windowHeight="12180" activeTab="2" xr2:uid="{2BA3D76C-06B3-46CE-B349-87DB89683E53}"/>
  </bookViews>
  <sheets>
    <sheet name="Sheet1" sheetId="1" r:id="rId1"/>
    <sheet name="Sheet2" sheetId="2" r:id="rId2"/>
    <sheet name="Sheet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A6" i="3"/>
  <c r="B6" i="3"/>
  <c r="C6" i="3"/>
  <c r="D6" i="3"/>
  <c r="E6" i="3"/>
  <c r="F6" i="3"/>
  <c r="A7" i="3"/>
  <c r="B7" i="3"/>
  <c r="C7" i="3"/>
  <c r="D7" i="3"/>
  <c r="E7" i="3"/>
  <c r="F7" i="3"/>
  <c r="A8" i="3"/>
  <c r="B8" i="3"/>
  <c r="C8" i="3"/>
  <c r="D8" i="3"/>
  <c r="E8" i="3"/>
  <c r="F8" i="3"/>
  <c r="A9" i="3"/>
  <c r="B9" i="3"/>
  <c r="C9" i="3"/>
  <c r="D9" i="3"/>
  <c r="E9" i="3"/>
  <c r="F9" i="3"/>
  <c r="A10" i="3"/>
  <c r="B10" i="3"/>
  <c r="C10" i="3"/>
  <c r="D10" i="3"/>
  <c r="E10" i="3"/>
  <c r="F10" i="3"/>
  <c r="F5" i="3"/>
  <c r="E5" i="3"/>
  <c r="D5" i="3"/>
  <c r="C5" i="3"/>
  <c r="C4" i="3"/>
  <c r="E4" i="3"/>
  <c r="B5" i="3"/>
  <c r="A5" i="3"/>
  <c r="F4" i="3"/>
  <c r="D4" i="3"/>
  <c r="B7" i="1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C5" i="2"/>
  <c r="B5" i="2"/>
  <c r="A5" i="2"/>
  <c r="C4" i="2"/>
  <c r="B4" i="2"/>
  <c r="B32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  <c r="B22" i="1"/>
  <c r="B23" i="1"/>
  <c r="B24" i="1"/>
  <c r="B25" i="1"/>
  <c r="B26" i="1"/>
  <c r="A25" i="1"/>
  <c r="A26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8" i="1"/>
</calcChain>
</file>

<file path=xl/sharedStrings.xml><?xml version="1.0" encoding="utf-8"?>
<sst xmlns="http://schemas.openxmlformats.org/spreadsheetml/2006/main" count="27" uniqueCount="22">
  <si>
    <t>Part a</t>
  </si>
  <si>
    <t>c*e^(-0.5c)+ln(c)=2.5</t>
  </si>
  <si>
    <t>f(c)= (2.5 -ln(c))/(e^(-0.5c)</t>
  </si>
  <si>
    <t>Part b</t>
  </si>
  <si>
    <t>c</t>
  </si>
  <si>
    <t>f(x)</t>
  </si>
  <si>
    <t>c is between 12 and 13</t>
  </si>
  <si>
    <t>Part c</t>
  </si>
  <si>
    <t>Part d</t>
  </si>
  <si>
    <t>Newton’s method</t>
  </si>
  <si>
    <t>f(c)</t>
  </si>
  <si>
    <t>f'(c)</t>
  </si>
  <si>
    <t>f'(c)= (e^(c/2)*(2.5-ln(c))/2 - ((e^(c/2)/c)</t>
  </si>
  <si>
    <t>Part e</t>
  </si>
  <si>
    <t>Secant method</t>
  </si>
  <si>
    <t>c1</t>
  </si>
  <si>
    <t>c2</t>
  </si>
  <si>
    <t>f(c1)</t>
  </si>
  <si>
    <t>f(c2)</t>
  </si>
  <si>
    <t>c3</t>
  </si>
  <si>
    <t>f(c3)</t>
  </si>
  <si>
    <t>c=12.18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</si>
</sst>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Sheet1!$A$7:$A$26</c:f>
              <c:numCache>
                <c:formatCode>0.00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Sheet1!$B$7:$B$26</c:f>
              <c:numCache>
                <c:formatCode>0.00</c:formatCode>
                <c:ptCount val="20"/>
                <c:pt idx="0">
                  <c:v>4.12180317675032</c:v>
                </c:pt>
                <c:pt idx="1">
                  <c:v>4.9115351857838929</c:v>
                </c:pt>
                <c:pt idx="2">
                  <c:v>6.2805839891822073</c:v>
                </c:pt>
                <c:pt idx="3">
                  <c:v>8.2292334433805276</c:v>
                </c:pt>
                <c:pt idx="4">
                  <c:v>10.849267253403051</c:v>
                </c:pt>
                <c:pt idx="5">
                  <c:v>14.225391331317933</c:v>
                </c:pt>
                <c:pt idx="6">
                  <c:v>18.348935839757761</c:v>
                </c:pt>
                <c:pt idx="7">
                  <c:v>22.961713805072169</c:v>
                </c:pt>
                <c:pt idx="8">
                  <c:v>27.254974976496513</c:v>
                </c:pt>
                <c:pt idx="9">
                  <c:v>29.298970002695032</c:v>
                </c:pt>
                <c:pt idx="10">
                  <c:v>24.984202992277787</c:v>
                </c:pt>
                <c:pt idx="11">
                  <c:v>6.0890920657903349</c:v>
                </c:pt>
                <c:pt idx="12">
                  <c:v>-43.200521687148559</c:v>
                </c:pt>
                <c:pt idx="13">
                  <c:v>-152.49487857860805</c:v>
                </c:pt>
                <c:pt idx="14">
                  <c:v>-376.16358792890935</c:v>
                </c:pt>
                <c:pt idx="15">
                  <c:v>-812.57552873817474</c:v>
                </c:pt>
                <c:pt idx="16">
                  <c:v>-1637.6665605393659</c:v>
                </c:pt>
                <c:pt idx="17">
                  <c:v>-3163.2151171877595</c:v>
                </c:pt>
                <c:pt idx="18">
                  <c:v>-5937.5833541174252</c:v>
                </c:pt>
                <c:pt idx="19">
                  <c:v>-10919.229966818744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1-48C2-B885-954E886F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844127"/>
        <c:axId val="1411845375"/>
      </c:scatterChart>
      <c:valAx>
        <c:axId val="141184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45375"/>
        <c:crosses val="autoZero"/>
        <c:crossBetween val="midCat"/>
      </c:valAx>
      <c:valAx>
        <c:axId val="14118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4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9</xdr:row>
      <xdr:rowOff>121920</xdr:rowOff>
    </xdr:from>
    <xdr:to>
      <xdr:col>14</xdr:col>
      <xdr:colOff>396240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918C1-9A30-4ED2-9A57-D8835C10C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7F4-4473-46B5-BE70-1BE1E19A4B07}">
  <dimension ref="A1:B32"/>
  <sheetViews>
    <sheetView topLeftCell="A15" zoomScale="91" workbookViewId="0">
      <selection activeCell="I61" sqref="I61"/>
    </sheetView>
  </sheetViews>
  <sheetFormatPr defaultRowHeight="14.4" x14ac:dyDescent="0.3"/>
  <cols>
    <col min="1" max="1" width="32.21875" customWidth="1"/>
    <col min="2" max="2" width="17.664062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5" spans="1:2" x14ac:dyDescent="0.3">
      <c r="A5" t="s">
        <v>3</v>
      </c>
    </row>
    <row r="6" spans="1:2" x14ac:dyDescent="0.3">
      <c r="A6" t="s">
        <v>4</v>
      </c>
      <c r="B6" t="s">
        <v>5</v>
      </c>
    </row>
    <row r="7" spans="1:2" x14ac:dyDescent="0.3">
      <c r="A7" s="1">
        <v>1</v>
      </c>
      <c r="B7" s="1">
        <f>(2.5-LN(A7))/(EXP(-0.5*A7))</f>
        <v>4.12180317675032</v>
      </c>
    </row>
    <row r="8" spans="1:2" x14ac:dyDescent="0.3">
      <c r="A8" s="1">
        <f>1+A7</f>
        <v>2</v>
      </c>
      <c r="B8" s="1">
        <f t="shared" ref="B8:B26" si="0">(2.5-LN(A8))/(EXP(-0.5*A8))</f>
        <v>4.9115351857838929</v>
      </c>
    </row>
    <row r="9" spans="1:2" x14ac:dyDescent="0.3">
      <c r="A9" s="1">
        <f t="shared" ref="A9:A26" si="1">1+A8</f>
        <v>3</v>
      </c>
      <c r="B9" s="1">
        <f t="shared" si="0"/>
        <v>6.2805839891822073</v>
      </c>
    </row>
    <row r="10" spans="1:2" x14ac:dyDescent="0.3">
      <c r="A10" s="1">
        <f t="shared" si="1"/>
        <v>4</v>
      </c>
      <c r="B10" s="1">
        <f t="shared" si="0"/>
        <v>8.2292334433805276</v>
      </c>
    </row>
    <row r="11" spans="1:2" x14ac:dyDescent="0.3">
      <c r="A11" s="1">
        <f t="shared" si="1"/>
        <v>5</v>
      </c>
      <c r="B11" s="1">
        <f t="shared" si="0"/>
        <v>10.849267253403051</v>
      </c>
    </row>
    <row r="12" spans="1:2" x14ac:dyDescent="0.3">
      <c r="A12" s="1">
        <f t="shared" si="1"/>
        <v>6</v>
      </c>
      <c r="B12" s="1">
        <f t="shared" si="0"/>
        <v>14.225391331317933</v>
      </c>
    </row>
    <row r="13" spans="1:2" x14ac:dyDescent="0.3">
      <c r="A13" s="1">
        <f t="shared" si="1"/>
        <v>7</v>
      </c>
      <c r="B13" s="1">
        <f t="shared" si="0"/>
        <v>18.348935839757761</v>
      </c>
    </row>
    <row r="14" spans="1:2" x14ac:dyDescent="0.3">
      <c r="A14" s="1">
        <f t="shared" si="1"/>
        <v>8</v>
      </c>
      <c r="B14" s="1">
        <f t="shared" si="0"/>
        <v>22.961713805072169</v>
      </c>
    </row>
    <row r="15" spans="1:2" x14ac:dyDescent="0.3">
      <c r="A15" s="1">
        <f t="shared" si="1"/>
        <v>9</v>
      </c>
      <c r="B15" s="1">
        <f t="shared" si="0"/>
        <v>27.254974976496513</v>
      </c>
    </row>
    <row r="16" spans="1:2" x14ac:dyDescent="0.3">
      <c r="A16" s="1">
        <f t="shared" si="1"/>
        <v>10</v>
      </c>
      <c r="B16" s="1">
        <f t="shared" si="0"/>
        <v>29.298970002695032</v>
      </c>
    </row>
    <row r="17" spans="1:2" x14ac:dyDescent="0.3">
      <c r="A17" s="1">
        <f t="shared" si="1"/>
        <v>11</v>
      </c>
      <c r="B17" s="1">
        <f t="shared" si="0"/>
        <v>24.984202992277787</v>
      </c>
    </row>
    <row r="18" spans="1:2" x14ac:dyDescent="0.3">
      <c r="A18" s="1">
        <f t="shared" si="1"/>
        <v>12</v>
      </c>
      <c r="B18" s="1">
        <f t="shared" si="0"/>
        <v>6.0890920657903349</v>
      </c>
    </row>
    <row r="19" spans="1:2" x14ac:dyDescent="0.3">
      <c r="A19" s="1">
        <f t="shared" si="1"/>
        <v>13</v>
      </c>
      <c r="B19" s="1">
        <f>(2.5-LN(A19))/(EXP(-0.5*A19))</f>
        <v>-43.200521687148559</v>
      </c>
    </row>
    <row r="20" spans="1:2" x14ac:dyDescent="0.3">
      <c r="A20" s="1">
        <f t="shared" si="1"/>
        <v>14</v>
      </c>
      <c r="B20" s="1">
        <f t="shared" si="0"/>
        <v>-152.49487857860805</v>
      </c>
    </row>
    <row r="21" spans="1:2" x14ac:dyDescent="0.3">
      <c r="A21" s="1">
        <f t="shared" si="1"/>
        <v>15</v>
      </c>
      <c r="B21" s="1">
        <f t="shared" si="0"/>
        <v>-376.16358792890935</v>
      </c>
    </row>
    <row r="22" spans="1:2" x14ac:dyDescent="0.3">
      <c r="A22" s="1">
        <f t="shared" si="1"/>
        <v>16</v>
      </c>
      <c r="B22" s="1">
        <f t="shared" si="0"/>
        <v>-812.57552873817474</v>
      </c>
    </row>
    <row r="23" spans="1:2" x14ac:dyDescent="0.3">
      <c r="A23" s="1">
        <f t="shared" si="1"/>
        <v>17</v>
      </c>
      <c r="B23" s="1">
        <f t="shared" si="0"/>
        <v>-1637.6665605393659</v>
      </c>
    </row>
    <row r="24" spans="1:2" x14ac:dyDescent="0.3">
      <c r="A24" s="1">
        <f t="shared" si="1"/>
        <v>18</v>
      </c>
      <c r="B24" s="1">
        <f t="shared" si="0"/>
        <v>-3163.2151171877595</v>
      </c>
    </row>
    <row r="25" spans="1:2" x14ac:dyDescent="0.3">
      <c r="A25" s="1">
        <f>1+A24</f>
        <v>19</v>
      </c>
      <c r="B25" s="1">
        <f t="shared" si="0"/>
        <v>-5937.5833541174252</v>
      </c>
    </row>
    <row r="26" spans="1:2" x14ac:dyDescent="0.3">
      <c r="A26" s="1">
        <f t="shared" si="1"/>
        <v>20</v>
      </c>
      <c r="B26" s="1">
        <f t="shared" si="0"/>
        <v>-10919.229966818744</v>
      </c>
    </row>
    <row r="28" spans="1:2" x14ac:dyDescent="0.3">
      <c r="A28" t="s">
        <v>6</v>
      </c>
    </row>
    <row r="30" spans="1:2" x14ac:dyDescent="0.3">
      <c r="A30" t="s">
        <v>7</v>
      </c>
    </row>
    <row r="31" spans="1:2" x14ac:dyDescent="0.3">
      <c r="A31" t="s">
        <v>4</v>
      </c>
      <c r="B31" t="s">
        <v>5</v>
      </c>
    </row>
    <row r="32" spans="1:2" x14ac:dyDescent="0.3">
      <c r="A32" s="1">
        <v>12.182493551911699</v>
      </c>
      <c r="B32" s="1">
        <f>(2.5-LN(A32))/(EXP(-0.5*A32))</f>
        <v>1.4830671489187683E-5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BA2D-D440-4AA5-BCD0-E016836819FA}">
  <dimension ref="A1:G12"/>
  <sheetViews>
    <sheetView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6.44140625" customWidth="1"/>
    <col min="3" max="3" width="17.44140625" customWidth="1"/>
    <col min="5" max="5" width="35.88671875" customWidth="1"/>
    <col min="8" max="8" width="15.109375" customWidth="1"/>
  </cols>
  <sheetData>
    <row r="1" spans="1:7" x14ac:dyDescent="0.3">
      <c r="A1" t="s">
        <v>8</v>
      </c>
      <c r="B1" t="s">
        <v>9</v>
      </c>
    </row>
    <row r="2" spans="1:7" x14ac:dyDescent="0.3">
      <c r="E2" t="s">
        <v>12</v>
      </c>
      <c r="G2" t="s">
        <v>2</v>
      </c>
    </row>
    <row r="3" spans="1:7" x14ac:dyDescent="0.3">
      <c r="A3" t="s">
        <v>4</v>
      </c>
      <c r="B3" t="s">
        <v>10</v>
      </c>
      <c r="C3" t="s">
        <v>11</v>
      </c>
    </row>
    <row r="4" spans="1:7" x14ac:dyDescent="0.3">
      <c r="A4" s="1">
        <v>12</v>
      </c>
      <c r="B4" s="1">
        <f>(2.5-LN(A4))/(EXP(-0.5*A4))</f>
        <v>6.0890920657903349</v>
      </c>
      <c r="C4" s="1">
        <f>(EXP(A4/2)*(2.5-LN(A4))/2-((EXP(A4/2)/A4)))</f>
        <v>-30.574520091499426</v>
      </c>
    </row>
    <row r="5" spans="1:7" x14ac:dyDescent="0.3">
      <c r="A5" s="1">
        <f>A4-B4/C4</f>
        <v>12.199155769168827</v>
      </c>
      <c r="B5" s="1">
        <f>(2.5-LN(A5))/(EXP(-0.5*A5))</f>
        <v>-0.60911897744533006</v>
      </c>
      <c r="C5" s="1">
        <f>(EXP(A5/2)*(2.5-LN(A5))/2-((EXP(A5/2)/A5)))</f>
        <v>-36.837383136007645</v>
      </c>
    </row>
    <row r="6" spans="1:7" x14ac:dyDescent="0.3">
      <c r="A6" s="1">
        <f t="shared" ref="A6:A17" si="0">A5-B5/C5</f>
        <v>12.182620420411931</v>
      </c>
      <c r="B6" s="1">
        <f t="shared" ref="B6:B17" si="1">(2.5-LN(A6))/(EXP(-0.5*A6))</f>
        <v>-4.5881343797519727E-3</v>
      </c>
      <c r="C6" s="1">
        <f t="shared" ref="C6:C17" si="2">(EXP(A6/2)*(2.5-LN(A6))/2-((EXP(A6/2)/A6)))</f>
        <v>-36.283498748914063</v>
      </c>
    </row>
    <row r="7" spans="1:7" x14ac:dyDescent="0.3">
      <c r="A7" s="1">
        <f t="shared" si="0"/>
        <v>12.18249396804273</v>
      </c>
      <c r="B7" s="1">
        <f t="shared" si="1"/>
        <v>-2.6626305114423092E-7</v>
      </c>
      <c r="C7" s="1">
        <f t="shared" si="2"/>
        <v>-36.27928753460958</v>
      </c>
    </row>
    <row r="8" spans="1:7" x14ac:dyDescent="0.3">
      <c r="A8" s="1">
        <f t="shared" si="0"/>
        <v>12.182493960703471</v>
      </c>
      <c r="B8" s="1">
        <f t="shared" si="1"/>
        <v>0</v>
      </c>
      <c r="C8" s="1">
        <f t="shared" si="2"/>
        <v>-36.279287290202724</v>
      </c>
    </row>
    <row r="9" spans="1:7" x14ac:dyDescent="0.3">
      <c r="A9" s="1">
        <f t="shared" si="0"/>
        <v>12.182493960703471</v>
      </c>
      <c r="B9" s="1">
        <f t="shared" si="1"/>
        <v>0</v>
      </c>
      <c r="C9" s="1">
        <f t="shared" si="2"/>
        <v>-36.279287290202724</v>
      </c>
    </row>
    <row r="10" spans="1:7" x14ac:dyDescent="0.3">
      <c r="A10" s="1">
        <f t="shared" si="0"/>
        <v>12.182493960703471</v>
      </c>
      <c r="B10" s="1">
        <f t="shared" si="1"/>
        <v>0</v>
      </c>
      <c r="C10" s="1">
        <f t="shared" si="2"/>
        <v>-36.279287290202724</v>
      </c>
    </row>
    <row r="12" spans="1:7" x14ac:dyDescent="0.3">
      <c r="A1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E70A-3EE5-4023-98E9-A79586F7C14D}">
  <dimension ref="A1:F12"/>
  <sheetViews>
    <sheetView tabSelected="1" workbookViewId="0">
      <selection activeCell="B16" sqref="B16"/>
    </sheetView>
  </sheetViews>
  <sheetFormatPr defaultRowHeight="14.4" x14ac:dyDescent="0.3"/>
  <cols>
    <col min="2" max="2" width="16.21875" customWidth="1"/>
  </cols>
  <sheetData>
    <row r="1" spans="1:6" x14ac:dyDescent="0.3">
      <c r="A1" t="s">
        <v>13</v>
      </c>
      <c r="B1" t="s">
        <v>14</v>
      </c>
    </row>
    <row r="3" spans="1:6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6" x14ac:dyDescent="0.3">
      <c r="A4" s="1">
        <v>12</v>
      </c>
      <c r="B4" s="1">
        <v>12.5</v>
      </c>
      <c r="C4" s="1">
        <f>(2.5-LN(A4))/(EXP(-0.5*A4))</f>
        <v>6.0890920657903349</v>
      </c>
      <c r="D4" s="1">
        <f>(2.5-LN(B4))/(EXP(-0.5*B4))</f>
        <v>-13.327767713006549</v>
      </c>
      <c r="E4" s="1">
        <f>B4-D4/((C4-D4)/(A4-B4))</f>
        <v>12.15679909457964</v>
      </c>
      <c r="F4" s="1">
        <f>(2.5-LN(E4))/(EXP(-0.5*E4))</f>
        <v>0.92126365624960882</v>
      </c>
    </row>
    <row r="5" spans="1:6" x14ac:dyDescent="0.3">
      <c r="A5" s="1">
        <f>B4</f>
        <v>12.5</v>
      </c>
      <c r="B5" s="1">
        <f>E4</f>
        <v>12.15679909457964</v>
      </c>
      <c r="C5" s="1">
        <f>(2.5-LN(A5))/(EXP(-0.5*A5))</f>
        <v>-13.327767713006549</v>
      </c>
      <c r="D5" s="1">
        <f>(2.5-LN(B5))/(EXP(-0.5*B5))</f>
        <v>0.92126365624960882</v>
      </c>
      <c r="E5" s="1">
        <f>B5-D5/((C5-D5)/(A5-B5))</f>
        <v>12.178988569271787</v>
      </c>
      <c r="F5" s="1">
        <f>(2.5-LN(E5))/(EXP(-0.5*E5))</f>
        <v>0.1269686701443857</v>
      </c>
    </row>
    <row r="6" spans="1:6" x14ac:dyDescent="0.3">
      <c r="A6" s="1">
        <f t="shared" ref="A6:A10" si="0">B5</f>
        <v>12.15679909457964</v>
      </c>
      <c r="B6" s="1">
        <f t="shared" ref="B6:B10" si="1">E5</f>
        <v>12.178988569271787</v>
      </c>
      <c r="C6" s="1">
        <f t="shared" ref="C6:C10" si="2">(2.5-LN(A6))/(EXP(-0.5*A6))</f>
        <v>0.92126365624960882</v>
      </c>
      <c r="D6" s="1">
        <f t="shared" ref="D6:D10" si="3">(2.5-LN(B6))/(EXP(-0.5*B6))</f>
        <v>0.1269686701443857</v>
      </c>
      <c r="E6" s="1">
        <f t="shared" ref="E6:E10" si="4">B6-D6/((C6-D6)/(A6-B6))</f>
        <v>12.182535574027135</v>
      </c>
      <c r="F6" s="1">
        <f t="shared" ref="F6:F10" si="5">(2.5-LN(E6))/(EXP(-0.5*E6))</f>
        <v>-1.5097305579271616E-3</v>
      </c>
    </row>
    <row r="7" spans="1:6" x14ac:dyDescent="0.3">
      <c r="A7" s="1">
        <f t="shared" si="0"/>
        <v>12.178988569271787</v>
      </c>
      <c r="B7" s="1">
        <f t="shared" si="1"/>
        <v>12.182535574027135</v>
      </c>
      <c r="C7" s="1">
        <f t="shared" si="2"/>
        <v>0.1269686701443857</v>
      </c>
      <c r="D7" s="1">
        <f t="shared" si="3"/>
        <v>-1.5097305579271616E-3</v>
      </c>
      <c r="E7" s="1">
        <f t="shared" si="4"/>
        <v>12.182493893702357</v>
      </c>
      <c r="F7" s="1">
        <f t="shared" si="5"/>
        <v>2.4307526058203434E-6</v>
      </c>
    </row>
    <row r="8" spans="1:6" x14ac:dyDescent="0.3">
      <c r="A8" s="1">
        <f t="shared" si="0"/>
        <v>12.182535574027135</v>
      </c>
      <c r="B8" s="1">
        <f t="shared" si="1"/>
        <v>12.182493893702357</v>
      </c>
      <c r="C8" s="1">
        <f t="shared" si="2"/>
        <v>-1.5097305579271616E-3</v>
      </c>
      <c r="D8" s="1">
        <f t="shared" si="3"/>
        <v>2.4307526058203434E-6</v>
      </c>
      <c r="E8" s="1">
        <f t="shared" si="4"/>
        <v>12.182493960702192</v>
      </c>
      <c r="F8" s="1">
        <f t="shared" si="5"/>
        <v>4.6517194984724715E-11</v>
      </c>
    </row>
    <row r="9" spans="1:6" x14ac:dyDescent="0.3">
      <c r="A9" s="1">
        <f t="shared" si="0"/>
        <v>12.182493893702357</v>
      </c>
      <c r="B9" s="1">
        <f t="shared" si="1"/>
        <v>12.182493960702192</v>
      </c>
      <c r="C9" s="1">
        <f t="shared" si="2"/>
        <v>2.4307526058203434E-6</v>
      </c>
      <c r="D9" s="1">
        <f t="shared" si="3"/>
        <v>4.6517194984724715E-11</v>
      </c>
      <c r="E9" s="1">
        <f t="shared" si="4"/>
        <v>12.182493960703475</v>
      </c>
      <c r="F9" s="1">
        <f t="shared" si="5"/>
        <v>0</v>
      </c>
    </row>
    <row r="10" spans="1:6" x14ac:dyDescent="0.3">
      <c r="A10" s="1">
        <f t="shared" si="0"/>
        <v>12.182493960702192</v>
      </c>
      <c r="B10" s="1">
        <f t="shared" si="1"/>
        <v>12.182493960703475</v>
      </c>
      <c r="C10" s="1">
        <f t="shared" si="2"/>
        <v>4.6517194984724715E-11</v>
      </c>
      <c r="D10" s="1">
        <f t="shared" si="3"/>
        <v>0</v>
      </c>
      <c r="E10" s="1">
        <f t="shared" si="4"/>
        <v>12.182493960703475</v>
      </c>
      <c r="F10" s="1">
        <f t="shared" si="5"/>
        <v>0</v>
      </c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S.</dc:creator>
  <cp:lastModifiedBy>Abbas S.</cp:lastModifiedBy>
  <dcterms:created xsi:type="dcterms:W3CDTF">2025-09-25T13:03:06Z</dcterms:created>
  <dcterms:modified xsi:type="dcterms:W3CDTF">2025-09-25T13:35:51Z</dcterms:modified>
</cp:coreProperties>
</file>