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\uic\Fall 25\CHE 205\"/>
    </mc:Choice>
  </mc:AlternateContent>
  <xr:revisionPtr revIDLastSave="0" documentId="8_{A4986343-0EFC-4E3D-86CF-888F9935BA4E}" xr6:coauthVersionLast="47" xr6:coauthVersionMax="47" xr10:uidLastSave="{00000000-0000-0000-0000-000000000000}"/>
  <bookViews>
    <workbookView xWindow="-108" yWindow="-108" windowWidth="23256" windowHeight="12456" xr2:uid="{2091A646-71F1-472C-89FB-B9D7F18C2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1" l="1" a="1"/>
  <c r="M21" i="1" s="1"/>
  <c r="C20" i="1"/>
  <c r="B20" i="1"/>
  <c r="K29" i="1"/>
  <c r="J28" i="1"/>
  <c r="I27" i="1"/>
  <c r="H26" i="1"/>
  <c r="G25" i="1"/>
  <c r="F24" i="1"/>
  <c r="E23" i="1"/>
  <c r="D22" i="1"/>
  <c r="C21" i="1"/>
  <c r="A22" i="1"/>
  <c r="A23" i="1"/>
  <c r="A24" i="1"/>
  <c r="A25" i="1"/>
  <c r="A26" i="1" s="1"/>
  <c r="A27" i="1" s="1"/>
  <c r="A28" i="1" s="1"/>
  <c r="A29" i="1" s="1"/>
  <c r="A30" i="1" s="1"/>
  <c r="A21" i="1"/>
  <c r="M20" i="1" l="1"/>
  <c r="M22" i="1"/>
  <c r="M28" i="1"/>
  <c r="M27" i="1"/>
  <c r="M26" i="1"/>
  <c r="M25" i="1"/>
  <c r="M24" i="1"/>
  <c r="M23" i="1"/>
  <c r="M29" i="1"/>
  <c r="C13" i="1"/>
  <c r="B13" i="1"/>
  <c r="A12" i="1"/>
  <c r="A13" i="1"/>
  <c r="A14" i="1"/>
  <c r="A6" i="1"/>
  <c r="A7" i="1"/>
  <c r="A8" i="1"/>
  <c r="A9" i="1"/>
  <c r="A10" i="1"/>
  <c r="A11" i="1"/>
  <c r="A5" i="1"/>
  <c r="B12" i="1" l="1"/>
  <c r="C12" i="1"/>
  <c r="B11" i="1" l="1"/>
  <c r="C11" i="1"/>
  <c r="C10" i="1" l="1"/>
  <c r="B10" i="1"/>
  <c r="B9" i="1" s="1"/>
  <c r="C9" i="1" l="1"/>
  <c r="C8" i="1" s="1"/>
  <c r="B8" i="1" l="1"/>
  <c r="C7" i="1" l="1"/>
  <c r="B7" i="1"/>
  <c r="B6" i="1" l="1"/>
  <c r="C6" i="1"/>
  <c r="C5" i="1" s="1"/>
  <c r="B5" i="1" l="1"/>
  <c r="B4" i="1" s="1"/>
  <c r="C4" i="1" l="1"/>
  <c r="E4" i="1" s="1"/>
</calcChain>
</file>

<file path=xl/sharedStrings.xml><?xml version="1.0" encoding="utf-8"?>
<sst xmlns="http://schemas.openxmlformats.org/spreadsheetml/2006/main" count="10" uniqueCount="8">
  <si>
    <t>dx=</t>
    <phoneticPr fontId="1" type="noConversion"/>
  </si>
  <si>
    <t>x</t>
    <phoneticPr fontId="1" type="noConversion"/>
  </si>
  <si>
    <t>T</t>
    <phoneticPr fontId="1" type="noConversion"/>
  </si>
  <si>
    <t>Z</t>
    <phoneticPr fontId="1" type="noConversion"/>
  </si>
  <si>
    <t>Z(0) +T(0) = -1</t>
    <phoneticPr fontId="1" type="noConversion"/>
  </si>
  <si>
    <t>A</t>
    <phoneticPr fontId="1" type="noConversion"/>
  </si>
  <si>
    <t>B</t>
    <phoneticPr fontId="1" type="noConversion"/>
  </si>
  <si>
    <t>T= A^-1*B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</si>
</sst>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Sheet1!$A$4:$A$14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Sheet1!$B$4:$B$14</c:f>
              <c:numCache>
                <c:formatCode>General</c:formatCode>
                <c:ptCount val="11"/>
                <c:pt idx="0">
                  <c:v>5.8131328235479449</c:v>
                </c:pt>
                <c:pt idx="1">
                  <c:v>5.1836561022153029</c:v>
                </c:pt>
                <c:pt idx="2">
                  <c:v>4.6001811928107692</c:v>
                </c:pt>
                <c:pt idx="3">
                  <c:v>4.0572790741477123</c:v>
                </c:pt>
                <c:pt idx="4">
                  <c:v>3.5498757126107634</c:v>
                </c:pt>
                <c:pt idx="5">
                  <c:v>3.0732043950240548</c:v>
                </c:pt>
                <c:pt idx="6">
                  <c:v>2.6227606842801476</c:v>
                </c:pt>
                <c:pt idx="7">
                  <c:v>2.1942595692285258</c:v>
                </c:pt>
                <c:pt idx="8">
                  <c:v>1.783594398158489</c:v>
                </c:pt>
                <c:pt idx="9">
                  <c:v>1.3867971990792445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1C-446D-A01D-78C20BA83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86608"/>
        <c:axId val="74008208"/>
      </c:scatterChart>
      <c:valAx>
        <c:axId val="739866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008208"/>
        <c:crosses val="autoZero"/>
        <c:crossBetween val="midCat"/>
      </c:valAx>
      <c:valAx>
        <c:axId val="7400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 T(x)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398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Sheet1!$A$20:$A$30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Sheet1!$M$20:$M$30</c:f>
              <c:numCache>
                <c:formatCode>General</c:formatCode>
                <c:ptCount val="11"/>
                <c:pt idx="0">
                  <c:v>6.9909605008425046</c:v>
                </c:pt>
                <c:pt idx="1">
                  <c:v>6.1918644507582545</c:v>
                </c:pt>
                <c:pt idx="2">
                  <c:v>5.4546870451815863</c:v>
                </c:pt>
                <c:pt idx="3">
                  <c:v>4.772056510056732</c:v>
                </c:pt>
                <c:pt idx="4">
                  <c:v>4.137146540032445</c:v>
                </c:pt>
                <c:pt idx="5">
                  <c:v>3.54360803540848</c:v>
                </c:pt>
                <c:pt idx="6">
                  <c:v>2.9855056111385996</c:v>
                </c:pt>
                <c:pt idx="7">
                  <c:v>2.4572582429801044</c:v>
                </c:pt>
                <c:pt idx="8">
                  <c:v>1.9535834572514101</c:v>
                </c:pt>
                <c:pt idx="9">
                  <c:v>1.469444506095229</c:v>
                </c:pt>
                <c:pt idx="1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AD4-4A2F-A526-B59E090CB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1927792"/>
        <c:axId val="921929232"/>
      </c:scatterChart>
      <c:valAx>
        <c:axId val="921927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21929232"/>
        <c:crosses val="autoZero"/>
        <c:crossBetween val="midCat"/>
      </c:valAx>
      <c:valAx>
        <c:axId val="92192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T(x)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21927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331470</xdr:colOff>
      <xdr:row>1</xdr:row>
      <xdr:rowOff>22860</xdr:rowOff>
    </xdr:from>
    <xdr:to>
      <xdr:col>8</xdr:col>
      <xdr:colOff>609600</xdr:colOff>
      <xdr:row>8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17FE7A-1D1B-BE0C-5D52-3B55F7DD260B}"/>
            </a:ext>
          </a:extLst>
        </xdr:cNvPr>
        <xdr:cNvSpPr txBox="1"/>
      </xdr:nvSpPr>
      <xdr:spPr>
        <a:xfrm>
          <a:off x="3684270" y="243840"/>
          <a:ext cx="2289810" cy="152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d^2T</a:t>
          </a:r>
          <a:r>
            <a:rPr lang="en-US" altLang="ko-KR" sz="1100" baseline="0"/>
            <a:t>/dx^2= T</a:t>
          </a:r>
        </a:p>
        <a:p>
          <a:r>
            <a:rPr lang="en-US" altLang="ko-KR" sz="1100" baseline="0"/>
            <a:t>Z= dT/dx</a:t>
          </a:r>
        </a:p>
        <a:p>
          <a:r>
            <a:rPr lang="en-US" altLang="ko-KR" sz="1100" baseline="0"/>
            <a:t>1st order: dZ/dx= T </a:t>
          </a:r>
        </a:p>
        <a:p>
          <a:r>
            <a:rPr lang="en-US" altLang="ko-KR" sz="1100"/>
            <a:t>Z(0) +T(0)</a:t>
          </a:r>
          <a:r>
            <a:rPr lang="en-US" altLang="ko-KR" sz="1100" baseline="0"/>
            <a:t> = -1</a:t>
          </a:r>
        </a:p>
        <a:p>
          <a:endParaRPr lang="en-US" altLang="ko-KR" sz="1100"/>
        </a:p>
        <a:p>
          <a:r>
            <a:rPr lang="en-US" altLang="ko-KR" sz="1100"/>
            <a:t>BE</a:t>
          </a:r>
        </a:p>
        <a:p>
          <a:r>
            <a:rPr lang="en-US" altLang="ko-KR" sz="1100"/>
            <a:t>Z_[n]</a:t>
          </a:r>
          <a:r>
            <a:rPr lang="en-US" altLang="ko-KR" sz="1100" baseline="0"/>
            <a:t> =Z_[n+1]-dx*T_[n+1]</a:t>
          </a:r>
        </a:p>
        <a:p>
          <a:r>
            <a:rPr lang="en-US" altLang="ko-KR" sz="1100" baseline="0"/>
            <a:t>T_[n]= T_[n+1]-dx*Z_[n+1]</a:t>
          </a:r>
          <a:endParaRPr lang="ko-KR" altLang="en-US" sz="1100"/>
        </a:p>
      </xdr:txBody>
    </xdr:sp>
    <xdr:clientData/>
  </xdr:twoCellAnchor>
  <xdr:twoCellAnchor>
    <xdr:from>
      <xdr:col>9</xdr:col>
      <xdr:colOff>270510</xdr:colOff>
      <xdr:row>3</xdr:row>
      <xdr:rowOff>152400</xdr:rowOff>
    </xdr:from>
    <xdr:to>
      <xdr:col>16</xdr:col>
      <xdr:colOff>148590</xdr:colOff>
      <xdr:row>16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749A46-E7FB-8CEB-E189-01B72E634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38100</xdr:colOff>
      <xdr:row>17</xdr:row>
      <xdr:rowOff>83820</xdr:rowOff>
    </xdr:from>
    <xdr:to>
      <xdr:col>21</xdr:col>
      <xdr:colOff>441960</xdr:colOff>
      <xdr:row>26</xdr:row>
      <xdr:rowOff>205740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D4EDAAE-493B-3D08-7231-0B21BEDB44FC}"/>
            </a:ext>
          </a:extLst>
        </xdr:cNvPr>
        <xdr:cNvSpPr txBox="1"/>
      </xdr:nvSpPr>
      <xdr:spPr>
        <a:xfrm>
          <a:off x="11437620" y="3840480"/>
          <a:ext cx="3086100" cy="21107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d^2T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/dx^2= T</a:t>
          </a:r>
          <a:endParaRPr lang="en-US" altLang="ko-KR" sz="1100"/>
        </a:p>
        <a:p>
          <a:r>
            <a:rPr lang="en-US" altLang="ko-KR" sz="1100"/>
            <a:t>(T_[n-1]-2T_[n]+T_[n+1])/dx^2=T_[n]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T_[n-1]- (2+dx^2)*T_[n]+T_[n+1]=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</a:t>
          </a:r>
        </a:p>
        <a:p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0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T[0.1]-T[0]/dx+T(0)=-1</a:t>
          </a: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(1-1/d/x)T(0)+1/dx*T(0.1)=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-1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n-1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T_[n-2]- T_[n-1]+T(1)= dx^2*T_[n-1]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T[n-2]-(2+dx^2) *T[n-1]=-1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ko-KR" altLang="ko-KR">
            <a:effectLst/>
          </a:endParaRPr>
        </a:p>
        <a:p>
          <a:endParaRPr lang="ko-KR" altLang="en-US" sz="1100"/>
        </a:p>
      </xdr:txBody>
    </xdr:sp>
    <xdr:clientData/>
  </xdr:twoCellAnchor>
  <xdr:twoCellAnchor>
    <xdr:from>
      <xdr:col>14</xdr:col>
      <xdr:colOff>453390</xdr:colOff>
      <xdr:row>27</xdr:row>
      <xdr:rowOff>137160</xdr:rowOff>
    </xdr:from>
    <xdr:to>
      <xdr:col>21</xdr:col>
      <xdr:colOff>331470</xdr:colOff>
      <xdr:row>40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0C77DE-5F01-1DBA-FF1C-602C408BA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6074-9042-493C-A279-438A92E5D7BC}">
  <dimension ref="A1:N30"/>
  <sheetViews>
    <sheetView tabSelected="1" zoomScale="78" workbookViewId="0">
      <selection activeCell="M26" sqref="M26"/>
    </sheetView>
  </sheetViews>
  <sheetFormatPr defaultRowHeight="17.399999999999999" x14ac:dyDescent="0.4"/>
  <sheetData>
    <row r="1" spans="1:5" x14ac:dyDescent="0.4">
      <c r="A1">
        <v>1</v>
      </c>
    </row>
    <row r="2" spans="1:5" x14ac:dyDescent="0.4">
      <c r="A2" t="s">
        <v>0</v>
      </c>
      <c r="B2">
        <v>0.1</v>
      </c>
    </row>
    <row r="3" spans="1:5" x14ac:dyDescent="0.4">
      <c r="A3" t="s">
        <v>1</v>
      </c>
      <c r="B3" t="s">
        <v>2</v>
      </c>
      <c r="C3" t="s">
        <v>3</v>
      </c>
      <c r="E3" t="s">
        <v>4</v>
      </c>
    </row>
    <row r="4" spans="1:5" x14ac:dyDescent="0.4">
      <c r="A4">
        <v>0</v>
      </c>
      <c r="B4">
        <f t="shared" ref="B4:B12" si="0">B5-$B$2*C5</f>
        <v>5.8131328235479449</v>
      </c>
      <c r="C4">
        <f t="shared" ref="C4:C12" si="1">C5-$B$2*B5</f>
        <v>-6.8131328235479467</v>
      </c>
      <c r="E4">
        <f>B4+C4</f>
        <v>-1.0000000000000018</v>
      </c>
    </row>
    <row r="5" spans="1:5" x14ac:dyDescent="0.4">
      <c r="A5">
        <f>A4+$B$2</f>
        <v>0.1</v>
      </c>
      <c r="B5">
        <f t="shared" si="0"/>
        <v>5.1836561022153029</v>
      </c>
      <c r="C5">
        <f t="shared" si="1"/>
        <v>-6.2947672133264163</v>
      </c>
    </row>
    <row r="6" spans="1:5" x14ac:dyDescent="0.4">
      <c r="A6">
        <f t="shared" ref="A6:A14" si="2">A5+$B$2</f>
        <v>0.2</v>
      </c>
      <c r="B6">
        <f t="shared" si="0"/>
        <v>4.6001811928107692</v>
      </c>
      <c r="C6">
        <f t="shared" si="1"/>
        <v>-5.834749094045339</v>
      </c>
    </row>
    <row r="7" spans="1:5" x14ac:dyDescent="0.4">
      <c r="A7">
        <f t="shared" si="2"/>
        <v>0.30000000000000004</v>
      </c>
      <c r="B7">
        <f t="shared" si="0"/>
        <v>4.0572790741477123</v>
      </c>
      <c r="C7">
        <f t="shared" si="1"/>
        <v>-5.4290211866305675</v>
      </c>
    </row>
    <row r="8" spans="1:5" x14ac:dyDescent="0.4">
      <c r="A8">
        <f t="shared" si="2"/>
        <v>0.4</v>
      </c>
      <c r="B8">
        <f t="shared" si="0"/>
        <v>3.5498757126107634</v>
      </c>
      <c r="C8">
        <f t="shared" si="1"/>
        <v>-5.0740336153694914</v>
      </c>
    </row>
    <row r="9" spans="1:5" x14ac:dyDescent="0.4">
      <c r="A9">
        <f t="shared" si="2"/>
        <v>0.5</v>
      </c>
      <c r="B9">
        <f t="shared" si="0"/>
        <v>3.0732043950240548</v>
      </c>
      <c r="C9">
        <f t="shared" si="1"/>
        <v>-4.7667131758670855</v>
      </c>
    </row>
    <row r="10" spans="1:5" x14ac:dyDescent="0.4">
      <c r="A10">
        <f t="shared" si="2"/>
        <v>0.6</v>
      </c>
      <c r="B10">
        <f t="shared" si="0"/>
        <v>2.6227606842801476</v>
      </c>
      <c r="C10">
        <f t="shared" si="1"/>
        <v>-4.5044371074390703</v>
      </c>
    </row>
    <row r="11" spans="1:5" x14ac:dyDescent="0.4">
      <c r="A11">
        <f t="shared" si="2"/>
        <v>0.7</v>
      </c>
      <c r="B11">
        <f t="shared" si="0"/>
        <v>2.1942595692285258</v>
      </c>
      <c r="C11">
        <f t="shared" si="1"/>
        <v>-4.2850111505162181</v>
      </c>
    </row>
    <row r="12" spans="1:5" x14ac:dyDescent="0.4">
      <c r="A12">
        <f>A11+$B$2</f>
        <v>0.79999999999999993</v>
      </c>
      <c r="B12">
        <f t="shared" si="0"/>
        <v>1.783594398158489</v>
      </c>
      <c r="C12">
        <f t="shared" si="1"/>
        <v>-4.1066517107003691</v>
      </c>
    </row>
    <row r="13" spans="1:5" x14ac:dyDescent="0.4">
      <c r="A13">
        <f t="shared" si="2"/>
        <v>0.89999999999999991</v>
      </c>
      <c r="B13">
        <f>B14-$B$2*C14</f>
        <v>1.3867971990792445</v>
      </c>
      <c r="C13">
        <f>C14-$B$2*B14</f>
        <v>-3.9679719907924444</v>
      </c>
    </row>
    <row r="14" spans="1:5" x14ac:dyDescent="0.4">
      <c r="A14">
        <f t="shared" si="2"/>
        <v>0.99999999999999989</v>
      </c>
      <c r="B14">
        <v>1</v>
      </c>
      <c r="C14">
        <v>-3.8679719907924444</v>
      </c>
    </row>
    <row r="17" spans="1:14" x14ac:dyDescent="0.4">
      <c r="A17">
        <v>2</v>
      </c>
    </row>
    <row r="18" spans="1:14" x14ac:dyDescent="0.4">
      <c r="A18" t="s">
        <v>0</v>
      </c>
      <c r="B18">
        <v>0.1</v>
      </c>
    </row>
    <row r="19" spans="1:14" x14ac:dyDescent="0.4">
      <c r="A19" t="s">
        <v>1</v>
      </c>
      <c r="B19" t="s">
        <v>5</v>
      </c>
      <c r="M19" t="s">
        <v>7</v>
      </c>
      <c r="N19" t="s">
        <v>6</v>
      </c>
    </row>
    <row r="20" spans="1:14" x14ac:dyDescent="0.4">
      <c r="A20">
        <v>0</v>
      </c>
      <c r="B20">
        <f>(1-1/B18)</f>
        <v>-9</v>
      </c>
      <c r="C20">
        <f>1/B18</f>
        <v>10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M20">
        <f t="array" ref="M20:M29">MMULT(MINVERSE(B20:K29),N20:N29)</f>
        <v>6.9909605008425046</v>
      </c>
      <c r="N20">
        <v>-1</v>
      </c>
    </row>
    <row r="21" spans="1:14" x14ac:dyDescent="0.4">
      <c r="A21">
        <f>A20+$B$18</f>
        <v>0.1</v>
      </c>
      <c r="B21">
        <v>1</v>
      </c>
      <c r="C21">
        <f>-(2+B18^2)</f>
        <v>-2.0099999999999998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M21">
        <v>6.1918644507582545</v>
      </c>
      <c r="N21">
        <v>0</v>
      </c>
    </row>
    <row r="22" spans="1:14" x14ac:dyDescent="0.4">
      <c r="A22">
        <f t="shared" ref="A22:A31" si="3">A21+$B$18</f>
        <v>0.2</v>
      </c>
      <c r="B22">
        <v>0</v>
      </c>
      <c r="C22">
        <v>1</v>
      </c>
      <c r="D22">
        <f>-(2+B18^2)</f>
        <v>-2.0099999999999998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M22">
        <v>5.4546870451815863</v>
      </c>
      <c r="N22">
        <v>0</v>
      </c>
    </row>
    <row r="23" spans="1:14" x14ac:dyDescent="0.4">
      <c r="A23">
        <f t="shared" si="3"/>
        <v>0.30000000000000004</v>
      </c>
      <c r="B23">
        <v>0</v>
      </c>
      <c r="C23">
        <v>0</v>
      </c>
      <c r="D23">
        <v>1</v>
      </c>
      <c r="E23">
        <f>-(2+B18^2)</f>
        <v>-2.0099999999999998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M23">
        <v>4.772056510056732</v>
      </c>
      <c r="N23">
        <v>0</v>
      </c>
    </row>
    <row r="24" spans="1:14" x14ac:dyDescent="0.4">
      <c r="A24">
        <f t="shared" si="3"/>
        <v>0.4</v>
      </c>
      <c r="B24">
        <v>0</v>
      </c>
      <c r="C24">
        <v>0</v>
      </c>
      <c r="D24">
        <v>0</v>
      </c>
      <c r="E24">
        <v>1</v>
      </c>
      <c r="F24">
        <f>-(2+B18^2)</f>
        <v>-2.0099999999999998</v>
      </c>
      <c r="G24">
        <v>1</v>
      </c>
      <c r="H24">
        <v>0</v>
      </c>
      <c r="I24">
        <v>0</v>
      </c>
      <c r="J24">
        <v>0</v>
      </c>
      <c r="K24">
        <v>0</v>
      </c>
      <c r="M24">
        <v>4.137146540032445</v>
      </c>
      <c r="N24">
        <v>0</v>
      </c>
    </row>
    <row r="25" spans="1:14" x14ac:dyDescent="0.4">
      <c r="A25">
        <f t="shared" si="3"/>
        <v>0.5</v>
      </c>
      <c r="B25">
        <v>0</v>
      </c>
      <c r="C25">
        <v>0</v>
      </c>
      <c r="D25">
        <v>0</v>
      </c>
      <c r="E25">
        <v>0</v>
      </c>
      <c r="F25">
        <v>1</v>
      </c>
      <c r="G25">
        <f>-(2+B18^2)</f>
        <v>-2.0099999999999998</v>
      </c>
      <c r="H25">
        <v>1</v>
      </c>
      <c r="I25">
        <v>0</v>
      </c>
      <c r="J25">
        <v>0</v>
      </c>
      <c r="K25">
        <v>0</v>
      </c>
      <c r="M25">
        <v>3.54360803540848</v>
      </c>
      <c r="N25">
        <v>0</v>
      </c>
    </row>
    <row r="26" spans="1:14" x14ac:dyDescent="0.4">
      <c r="A26">
        <f t="shared" si="3"/>
        <v>0.6</v>
      </c>
      <c r="B26">
        <v>0</v>
      </c>
      <c r="C26">
        <v>0</v>
      </c>
      <c r="D26">
        <v>0</v>
      </c>
      <c r="E26">
        <v>0</v>
      </c>
      <c r="F26">
        <v>0</v>
      </c>
      <c r="G26">
        <v>1</v>
      </c>
      <c r="H26">
        <f>-(2+B18^2)</f>
        <v>-2.0099999999999998</v>
      </c>
      <c r="I26">
        <v>1</v>
      </c>
      <c r="J26">
        <v>0</v>
      </c>
      <c r="K26">
        <v>0</v>
      </c>
      <c r="M26">
        <v>2.9855056111385996</v>
      </c>
      <c r="N26">
        <v>0</v>
      </c>
    </row>
    <row r="27" spans="1:14" x14ac:dyDescent="0.4">
      <c r="A27">
        <f t="shared" si="3"/>
        <v>0.7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f>-(2+B18^2)</f>
        <v>-2.0099999999999998</v>
      </c>
      <c r="J27">
        <v>1</v>
      </c>
      <c r="K27">
        <v>0</v>
      </c>
      <c r="M27">
        <v>2.4572582429801044</v>
      </c>
      <c r="N27">
        <v>0</v>
      </c>
    </row>
    <row r="28" spans="1:14" x14ac:dyDescent="0.4">
      <c r="A28">
        <f t="shared" si="3"/>
        <v>0.79999999999999993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f>-(2+B18^2)</f>
        <v>-2.0099999999999998</v>
      </c>
      <c r="K28">
        <v>1</v>
      </c>
      <c r="M28">
        <v>1.9535834572514101</v>
      </c>
      <c r="N28">
        <v>0</v>
      </c>
    </row>
    <row r="29" spans="1:14" x14ac:dyDescent="0.4">
      <c r="A29">
        <f t="shared" si="3"/>
        <v>0.89999999999999991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f>-(2+B18^2)</f>
        <v>-2.0099999999999998</v>
      </c>
      <c r="M29">
        <v>1.469444506095229</v>
      </c>
      <c r="N29">
        <v>-1</v>
      </c>
    </row>
    <row r="30" spans="1:14" x14ac:dyDescent="0.4">
      <c r="A30">
        <f t="shared" si="3"/>
        <v>0.99999999999999989</v>
      </c>
      <c r="M30">
        <v>1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2305BB7BCC8F448D53C4A1402EF518" ma:contentTypeVersion="10" ma:contentTypeDescription="Create a new document." ma:contentTypeScope="" ma:versionID="b440419b411d0b2cd5105cf0ba470b18">
  <xsd:schema xmlns:xsd="http://www.w3.org/2001/XMLSchema" xmlns:xs="http://www.w3.org/2001/XMLSchema" xmlns:p="http://schemas.microsoft.com/office/2006/metadata/properties" xmlns:ns3="32ae0081-715f-40c2-b531-090c655e42e8" targetNamespace="http://schemas.microsoft.com/office/2006/metadata/properties" ma:root="true" ma:fieldsID="34c93a46ba7b2ee6af4a13777bfae3c5" ns3:_="">
    <xsd:import namespace="32ae0081-715f-40c2-b531-090c655e42e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e0081-715f-40c2-b531-090c655e42e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ae0081-715f-40c2-b531-090c655e42e8" xsi:nil="true"/>
  </documentManagement>
</p:properties>
</file>

<file path=customXml/itemProps1.xml><?xml version="1.0" encoding="utf-8"?>
<ds:datastoreItem xmlns:ds="http://schemas.openxmlformats.org/officeDocument/2006/customXml" ds:itemID="{587158FF-C894-45EF-8843-5C105E1515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ae0081-715f-40c2-b531-090c655e42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0AFEEA-7CAD-498A-AAFD-F419D3C6EC5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B4A227-C2FA-4A71-95EE-BA42FE60BDB1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32ae0081-715f-40c2-b531-090c655e42e8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Daohn</dc:creator>
  <cp:lastModifiedBy>Kim, Daohn</cp:lastModifiedBy>
  <dcterms:created xsi:type="dcterms:W3CDTF">2025-11-06T13:58:44Z</dcterms:created>
  <dcterms:modified xsi:type="dcterms:W3CDTF">2025-11-06T15:06:55Z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0x010100F02305BB7BCC8F448D53C4A1402EF518</vt:lpwstr>
  </property>
</Properties>
</file>