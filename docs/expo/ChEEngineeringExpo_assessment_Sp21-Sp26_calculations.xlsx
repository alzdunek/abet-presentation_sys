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c365-my.sharepoint.com/personal/irojas5_uic_edu/Documents/EXPO-selected/"/>
    </mc:Choice>
  </mc:AlternateContent>
  <xr:revisionPtr revIDLastSave="748" documentId="13_ncr:1_{99D2D64D-C0CF-4408-A1FF-101C282A436F}" xr6:coauthVersionLast="47" xr6:coauthVersionMax="47" xr10:uidLastSave="{8E130EEC-DAD9-4E96-AB41-EAADF9FE0FFF}"/>
  <bookViews>
    <workbookView xWindow="-120" yWindow="-120" windowWidth="29040" windowHeight="17520" xr2:uid="{00000000-000D-0000-FFFF-FFFF00000000}"/>
  </bookViews>
  <sheets>
    <sheet name="EXPO2026" sheetId="13" r:id="rId1"/>
    <sheet name="DATA26" sheetId="14" r:id="rId2"/>
    <sheet name="EXPO2025" sheetId="12" r:id="rId3"/>
    <sheet name="DATA25" sheetId="11" r:id="rId4"/>
    <sheet name="EXPO2024" sheetId="6" r:id="rId5"/>
    <sheet name="DATA24" sheetId="9" r:id="rId6"/>
    <sheet name="EXPO2022" sheetId="4" r:id="rId7"/>
    <sheet name="EXPO2021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4" l="1"/>
  <c r="R2" i="14"/>
  <c r="S2" i="14"/>
  <c r="T2" i="14"/>
  <c r="U2" i="14"/>
  <c r="V2" i="14"/>
  <c r="W2" i="14"/>
  <c r="X2" i="14"/>
  <c r="Y2" i="14"/>
  <c r="Q3" i="14"/>
  <c r="R3" i="14"/>
  <c r="S3" i="14"/>
  <c r="T3" i="14"/>
  <c r="U3" i="14"/>
  <c r="V3" i="14"/>
  <c r="W3" i="14"/>
  <c r="X3" i="14"/>
  <c r="Y3" i="14"/>
  <c r="Q4" i="14"/>
  <c r="R4" i="14"/>
  <c r="S4" i="14"/>
  <c r="T4" i="14"/>
  <c r="U4" i="14"/>
  <c r="V4" i="14"/>
  <c r="W4" i="14"/>
  <c r="X4" i="14"/>
  <c r="Y4" i="14"/>
  <c r="Q5" i="14"/>
  <c r="R5" i="14"/>
  <c r="S5" i="14"/>
  <c r="T5" i="14"/>
  <c r="U5" i="14"/>
  <c r="V5" i="14"/>
  <c r="W5" i="14"/>
  <c r="X5" i="14"/>
  <c r="Y5" i="14"/>
  <c r="Q6" i="14"/>
  <c r="R6" i="14"/>
  <c r="S6" i="14"/>
  <c r="T6" i="14"/>
  <c r="U6" i="14"/>
  <c r="V6" i="14"/>
  <c r="W6" i="14"/>
  <c r="X6" i="14"/>
  <c r="Y6" i="14"/>
  <c r="Q7" i="14"/>
  <c r="R7" i="14"/>
  <c r="S7" i="14"/>
  <c r="T7" i="14"/>
  <c r="U7" i="14"/>
  <c r="V7" i="14"/>
  <c r="W7" i="14"/>
  <c r="X7" i="14"/>
  <c r="Y7" i="14"/>
  <c r="P7" i="14"/>
  <c r="P6" i="14"/>
  <c r="P5" i="14"/>
  <c r="P4" i="14"/>
  <c r="P3" i="14"/>
  <c r="P2" i="14"/>
  <c r="L35" i="13"/>
  <c r="K35" i="13"/>
  <c r="J35" i="13"/>
  <c r="I35" i="13"/>
  <c r="H35" i="13"/>
  <c r="G35" i="13"/>
  <c r="F35" i="13"/>
  <c r="E35" i="13"/>
  <c r="D35" i="13"/>
  <c r="C35" i="13"/>
  <c r="L34" i="13"/>
  <c r="K34" i="13"/>
  <c r="J34" i="13"/>
  <c r="I34" i="13"/>
  <c r="H34" i="13"/>
  <c r="D44" i="13" s="1"/>
  <c r="G34" i="13"/>
  <c r="F34" i="13"/>
  <c r="E34" i="13"/>
  <c r="D34" i="13"/>
  <c r="C34" i="13"/>
  <c r="N27" i="13"/>
  <c r="M27" i="13"/>
  <c r="L26" i="13"/>
  <c r="K26" i="13"/>
  <c r="J26" i="13"/>
  <c r="I26" i="13"/>
  <c r="H26" i="13"/>
  <c r="G26" i="13"/>
  <c r="F26" i="13"/>
  <c r="E26" i="13"/>
  <c r="D26" i="13"/>
  <c r="C26" i="13"/>
  <c r="L25" i="13"/>
  <c r="K25" i="13"/>
  <c r="J25" i="13"/>
  <c r="I25" i="13"/>
  <c r="I28" i="13" s="1"/>
  <c r="H25" i="13"/>
  <c r="N25" i="13" s="1"/>
  <c r="G25" i="13"/>
  <c r="G28" i="13" s="1"/>
  <c r="F25" i="13"/>
  <c r="F28" i="13" s="1"/>
  <c r="E25" i="13"/>
  <c r="E28" i="13" s="1"/>
  <c r="D25" i="13"/>
  <c r="C25" i="13"/>
  <c r="L38" i="12"/>
  <c r="K38" i="12"/>
  <c r="J38" i="12"/>
  <c r="I38" i="12"/>
  <c r="H38" i="12"/>
  <c r="G38" i="12"/>
  <c r="F38" i="12"/>
  <c r="E38" i="12"/>
  <c r="D38" i="12"/>
  <c r="C38" i="12"/>
  <c r="L37" i="12"/>
  <c r="K37" i="12"/>
  <c r="J37" i="12"/>
  <c r="I37" i="12"/>
  <c r="H37" i="12"/>
  <c r="G37" i="12"/>
  <c r="F37" i="12"/>
  <c r="E37" i="12"/>
  <c r="D37" i="12"/>
  <c r="C37" i="12"/>
  <c r="N30" i="12"/>
  <c r="M30" i="12"/>
  <c r="L29" i="12"/>
  <c r="K29" i="12"/>
  <c r="J29" i="12"/>
  <c r="I29" i="12"/>
  <c r="H29" i="12"/>
  <c r="G29" i="12"/>
  <c r="F29" i="12"/>
  <c r="E29" i="12"/>
  <c r="D29" i="12"/>
  <c r="C29" i="12"/>
  <c r="L28" i="12"/>
  <c r="K28" i="12"/>
  <c r="J28" i="12"/>
  <c r="I28" i="12"/>
  <c r="H28" i="12"/>
  <c r="G28" i="12"/>
  <c r="F28" i="12"/>
  <c r="E28" i="12"/>
  <c r="D28" i="12"/>
  <c r="C28" i="12"/>
  <c r="P2" i="11"/>
  <c r="Q2" i="11"/>
  <c r="R2" i="11"/>
  <c r="S2" i="11"/>
  <c r="T2" i="11"/>
  <c r="U2" i="11"/>
  <c r="V2" i="11"/>
  <c r="W2" i="11"/>
  <c r="X2" i="11"/>
  <c r="P3" i="11"/>
  <c r="Q3" i="11"/>
  <c r="R3" i="11"/>
  <c r="S3" i="11"/>
  <c r="T3" i="11"/>
  <c r="U3" i="11"/>
  <c r="V3" i="11"/>
  <c r="W3" i="11"/>
  <c r="X3" i="11"/>
  <c r="P4" i="11"/>
  <c r="Q4" i="11"/>
  <c r="R4" i="11"/>
  <c r="S4" i="11"/>
  <c r="T4" i="11"/>
  <c r="U4" i="11"/>
  <c r="V4" i="11"/>
  <c r="W4" i="11"/>
  <c r="X4" i="11"/>
  <c r="P5" i="11"/>
  <c r="Q5" i="11"/>
  <c r="R5" i="11"/>
  <c r="S5" i="11"/>
  <c r="T5" i="11"/>
  <c r="U5" i="11"/>
  <c r="V5" i="11"/>
  <c r="W5" i="11"/>
  <c r="X5" i="11"/>
  <c r="P6" i="11"/>
  <c r="Q6" i="11"/>
  <c r="R6" i="11"/>
  <c r="S6" i="11"/>
  <c r="T6" i="11"/>
  <c r="U6" i="11"/>
  <c r="V6" i="11"/>
  <c r="W6" i="11"/>
  <c r="X6" i="11"/>
  <c r="P7" i="11"/>
  <c r="Q7" i="11"/>
  <c r="R7" i="11"/>
  <c r="S7" i="11"/>
  <c r="T7" i="11"/>
  <c r="U7" i="11"/>
  <c r="V7" i="11"/>
  <c r="W7" i="11"/>
  <c r="X7" i="11"/>
  <c r="P8" i="11"/>
  <c r="Q8" i="11"/>
  <c r="R8" i="11"/>
  <c r="S8" i="11"/>
  <c r="T8" i="11"/>
  <c r="U8" i="11"/>
  <c r="V8" i="11"/>
  <c r="W8" i="11"/>
  <c r="X8" i="11"/>
  <c r="P9" i="11"/>
  <c r="Q9" i="11"/>
  <c r="R9" i="11"/>
  <c r="S9" i="11"/>
  <c r="T9" i="11"/>
  <c r="U9" i="11"/>
  <c r="V9" i="11"/>
  <c r="W9" i="11"/>
  <c r="X9" i="11"/>
  <c r="P10" i="11"/>
  <c r="Q10" i="11"/>
  <c r="R10" i="11"/>
  <c r="S10" i="11"/>
  <c r="T10" i="11"/>
  <c r="U10" i="11"/>
  <c r="V10" i="11"/>
  <c r="W10" i="11"/>
  <c r="X10" i="11"/>
  <c r="O10" i="11"/>
  <c r="O9" i="11"/>
  <c r="O8" i="11"/>
  <c r="O7" i="11"/>
  <c r="O6" i="11"/>
  <c r="O5" i="11"/>
  <c r="O4" i="11"/>
  <c r="O3" i="11"/>
  <c r="O2" i="11"/>
  <c r="D31" i="4"/>
  <c r="E31" i="4"/>
  <c r="F31" i="4"/>
  <c r="G31" i="4"/>
  <c r="H31" i="4"/>
  <c r="I31" i="4"/>
  <c r="J31" i="4"/>
  <c r="K31" i="4"/>
  <c r="L31" i="4"/>
  <c r="M31" i="4"/>
  <c r="N31" i="4"/>
  <c r="D32" i="4"/>
  <c r="E32" i="4"/>
  <c r="F32" i="4"/>
  <c r="G32" i="4"/>
  <c r="H32" i="4"/>
  <c r="I32" i="4"/>
  <c r="J32" i="4"/>
  <c r="K32" i="4"/>
  <c r="K34" i="4" s="1"/>
  <c r="L32" i="4"/>
  <c r="M32" i="4"/>
  <c r="N32" i="4"/>
  <c r="D33" i="4"/>
  <c r="E33" i="4"/>
  <c r="F33" i="4"/>
  <c r="G33" i="4"/>
  <c r="H33" i="4"/>
  <c r="I33" i="4"/>
  <c r="J33" i="4"/>
  <c r="K33" i="4"/>
  <c r="L33" i="4"/>
  <c r="M33" i="4"/>
  <c r="N33" i="4"/>
  <c r="C33" i="4"/>
  <c r="C32" i="4"/>
  <c r="C31" i="4"/>
  <c r="C34" i="4" s="1"/>
  <c r="D33" i="6"/>
  <c r="E33" i="6"/>
  <c r="F33" i="6"/>
  <c r="G33" i="6"/>
  <c r="H33" i="6"/>
  <c r="I33" i="6"/>
  <c r="J33" i="6"/>
  <c r="K33" i="6"/>
  <c r="L33" i="6"/>
  <c r="D34" i="6"/>
  <c r="E34" i="6"/>
  <c r="F34" i="6"/>
  <c r="G34" i="6"/>
  <c r="H34" i="6"/>
  <c r="I34" i="6"/>
  <c r="J34" i="6"/>
  <c r="K34" i="6"/>
  <c r="L34" i="6"/>
  <c r="C34" i="6"/>
  <c r="C33" i="6"/>
  <c r="AE2" i="9"/>
  <c r="AF2" i="9"/>
  <c r="AG2" i="9"/>
  <c r="AH2" i="9"/>
  <c r="AI2" i="9"/>
  <c r="AJ2" i="9"/>
  <c r="AK2" i="9"/>
  <c r="AL2" i="9"/>
  <c r="AM2" i="9"/>
  <c r="AE3" i="9"/>
  <c r="AF3" i="9"/>
  <c r="AG3" i="9"/>
  <c r="AH3" i="9"/>
  <c r="AI3" i="9"/>
  <c r="AJ3" i="9"/>
  <c r="AK3" i="9"/>
  <c r="AL3" i="9"/>
  <c r="AM3" i="9"/>
  <c r="AE4" i="9"/>
  <c r="AF4" i="9"/>
  <c r="AG4" i="9"/>
  <c r="AH4" i="9"/>
  <c r="AI4" i="9"/>
  <c r="AJ4" i="9"/>
  <c r="AK4" i="9"/>
  <c r="AL4" i="9"/>
  <c r="AM4" i="9"/>
  <c r="AE5" i="9"/>
  <c r="AF5" i="9"/>
  <c r="AG5" i="9"/>
  <c r="AH5" i="9"/>
  <c r="AI5" i="9"/>
  <c r="AJ5" i="9"/>
  <c r="AK5" i="9"/>
  <c r="AL5" i="9"/>
  <c r="AM5" i="9"/>
  <c r="AE6" i="9"/>
  <c r="AF6" i="9"/>
  <c r="AG6" i="9"/>
  <c r="AH6" i="9"/>
  <c r="AI6" i="9"/>
  <c r="AJ6" i="9"/>
  <c r="AK6" i="9"/>
  <c r="AL6" i="9"/>
  <c r="AM6" i="9"/>
  <c r="AE7" i="9"/>
  <c r="AF7" i="9"/>
  <c r="AG7" i="9"/>
  <c r="AH7" i="9"/>
  <c r="AI7" i="9"/>
  <c r="AJ7" i="9"/>
  <c r="AK7" i="9"/>
  <c r="AL7" i="9"/>
  <c r="AM7" i="9"/>
  <c r="AE8" i="9"/>
  <c r="AF8" i="9"/>
  <c r="AG8" i="9"/>
  <c r="AH8" i="9"/>
  <c r="AI8" i="9"/>
  <c r="AJ8" i="9"/>
  <c r="AK8" i="9"/>
  <c r="AL8" i="9"/>
  <c r="AM8" i="9"/>
  <c r="AE9" i="9"/>
  <c r="AF9" i="9"/>
  <c r="AG9" i="9"/>
  <c r="AH9" i="9"/>
  <c r="AI9" i="9"/>
  <c r="AJ9" i="9"/>
  <c r="AK9" i="9"/>
  <c r="AL9" i="9"/>
  <c r="AM9" i="9"/>
  <c r="AE10" i="9"/>
  <c r="AF10" i="9"/>
  <c r="AG10" i="9"/>
  <c r="AH10" i="9"/>
  <c r="AI10" i="9"/>
  <c r="AJ10" i="9"/>
  <c r="AK10" i="9"/>
  <c r="AL10" i="9"/>
  <c r="AM10" i="9"/>
  <c r="AE11" i="9"/>
  <c r="AF11" i="9"/>
  <c r="AG11" i="9"/>
  <c r="AH11" i="9"/>
  <c r="AI11" i="9"/>
  <c r="AJ11" i="9"/>
  <c r="AK11" i="9"/>
  <c r="AL11" i="9"/>
  <c r="AM11" i="9"/>
  <c r="AE12" i="9"/>
  <c r="AF12" i="9"/>
  <c r="AG12" i="9"/>
  <c r="AH12" i="9"/>
  <c r="AI12" i="9"/>
  <c r="AJ12" i="9"/>
  <c r="AK12" i="9"/>
  <c r="AL12" i="9"/>
  <c r="AM12" i="9"/>
  <c r="AE13" i="9"/>
  <c r="AF13" i="9"/>
  <c r="AG13" i="9"/>
  <c r="AH13" i="9"/>
  <c r="AI13" i="9"/>
  <c r="AJ13" i="9"/>
  <c r="AK13" i="9"/>
  <c r="AL13" i="9"/>
  <c r="AM13" i="9"/>
  <c r="AE14" i="9"/>
  <c r="AF14" i="9"/>
  <c r="AG14" i="9"/>
  <c r="AH14" i="9"/>
  <c r="AI14" i="9"/>
  <c r="AJ14" i="9"/>
  <c r="AK14" i="9"/>
  <c r="AL14" i="9"/>
  <c r="AM14" i="9"/>
  <c r="AE15" i="9"/>
  <c r="AF15" i="9"/>
  <c r="AG15" i="9"/>
  <c r="AH15" i="9"/>
  <c r="AI15" i="9"/>
  <c r="AJ15" i="9"/>
  <c r="AK15" i="9"/>
  <c r="AL15" i="9"/>
  <c r="AM15" i="9"/>
  <c r="AD15" i="9"/>
  <c r="AD14" i="9"/>
  <c r="AD13" i="9"/>
  <c r="AD12" i="9"/>
  <c r="AD11" i="9"/>
  <c r="AD10" i="9"/>
  <c r="AD9" i="9"/>
  <c r="AD8" i="9"/>
  <c r="AD7" i="9"/>
  <c r="AD6" i="9"/>
  <c r="AD5" i="9"/>
  <c r="AD3" i="9"/>
  <c r="AD4" i="9"/>
  <c r="AD2" i="9"/>
  <c r="L43" i="6"/>
  <c r="K43" i="6"/>
  <c r="J43" i="6"/>
  <c r="I43" i="6"/>
  <c r="H43" i="6"/>
  <c r="G43" i="6"/>
  <c r="F43" i="6"/>
  <c r="E43" i="6"/>
  <c r="D43" i="6"/>
  <c r="C43" i="6"/>
  <c r="L42" i="6"/>
  <c r="K42" i="6"/>
  <c r="J42" i="6"/>
  <c r="I42" i="6"/>
  <c r="H42" i="6"/>
  <c r="G42" i="6"/>
  <c r="F42" i="6"/>
  <c r="E42" i="6"/>
  <c r="D42" i="6"/>
  <c r="C42" i="6"/>
  <c r="N35" i="6"/>
  <c r="M35" i="6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80" i="1"/>
  <c r="A81" i="1"/>
  <c r="A82" i="1"/>
  <c r="A83" i="1"/>
  <c r="N41" i="4"/>
  <c r="M41" i="4"/>
  <c r="L41" i="4"/>
  <c r="K41" i="4"/>
  <c r="J41" i="4"/>
  <c r="I41" i="4"/>
  <c r="H41" i="4"/>
  <c r="G41" i="4"/>
  <c r="F41" i="4"/>
  <c r="E41" i="4"/>
  <c r="D41" i="4"/>
  <c r="C41" i="4"/>
  <c r="N40" i="4"/>
  <c r="M40" i="4"/>
  <c r="L40" i="4"/>
  <c r="K40" i="4"/>
  <c r="J40" i="4"/>
  <c r="I40" i="4"/>
  <c r="H40" i="4"/>
  <c r="G40" i="4"/>
  <c r="F40" i="4"/>
  <c r="E40" i="4"/>
  <c r="D40" i="4"/>
  <c r="C40" i="4"/>
  <c r="M98" i="1"/>
  <c r="L98" i="1"/>
  <c r="K98" i="1"/>
  <c r="J98" i="1"/>
  <c r="I98" i="1"/>
  <c r="H98" i="1"/>
  <c r="G98" i="1"/>
  <c r="F98" i="1"/>
  <c r="E98" i="1"/>
  <c r="D98" i="1"/>
  <c r="C98" i="1"/>
  <c r="B98" i="1"/>
  <c r="M25" i="13" l="1"/>
  <c r="M29" i="13" s="1"/>
  <c r="P26" i="13" s="1"/>
  <c r="D28" i="13"/>
  <c r="K28" i="13"/>
  <c r="J28" i="13"/>
  <c r="L28" i="13"/>
  <c r="N26" i="13"/>
  <c r="N29" i="13" s="1"/>
  <c r="Q25" i="13" s="1"/>
  <c r="C28" i="13"/>
  <c r="H28" i="13"/>
  <c r="M26" i="13"/>
  <c r="C44" i="13"/>
  <c r="C37" i="13"/>
  <c r="C43" i="13"/>
  <c r="D43" i="13"/>
  <c r="D47" i="12"/>
  <c r="C36" i="6"/>
  <c r="G31" i="12"/>
  <c r="I36" i="6"/>
  <c r="J36" i="6"/>
  <c r="N34" i="6"/>
  <c r="F36" i="6"/>
  <c r="G36" i="6"/>
  <c r="L36" i="6"/>
  <c r="M34" i="4"/>
  <c r="H34" i="4"/>
  <c r="J34" i="4"/>
  <c r="L34" i="4"/>
  <c r="P31" i="4"/>
  <c r="P32" i="4"/>
  <c r="F34" i="4"/>
  <c r="E34" i="4"/>
  <c r="D34" i="4"/>
  <c r="L31" i="12"/>
  <c r="N29" i="12"/>
  <c r="N32" i="12" s="1"/>
  <c r="Q28" i="12" s="1"/>
  <c r="C47" i="12"/>
  <c r="M28" i="12"/>
  <c r="C31" i="12"/>
  <c r="D31" i="12"/>
  <c r="E31" i="12"/>
  <c r="F31" i="12"/>
  <c r="J31" i="12"/>
  <c r="D46" i="12"/>
  <c r="N28" i="12"/>
  <c r="I31" i="12"/>
  <c r="C40" i="12"/>
  <c r="K31" i="12"/>
  <c r="C46" i="12"/>
  <c r="H31" i="12"/>
  <c r="M29" i="12"/>
  <c r="D36" i="6"/>
  <c r="N33" i="6"/>
  <c r="E36" i="6"/>
  <c r="I34" i="4"/>
  <c r="O32" i="4"/>
  <c r="H36" i="6"/>
  <c r="K36" i="6"/>
  <c r="M34" i="6"/>
  <c r="M33" i="6"/>
  <c r="C52" i="6"/>
  <c r="N34" i="4"/>
  <c r="O33" i="4"/>
  <c r="O31" i="4"/>
  <c r="D52" i="6"/>
  <c r="C45" i="6"/>
  <c r="C51" i="6"/>
  <c r="D51" i="6"/>
  <c r="C43" i="4"/>
  <c r="D50" i="4"/>
  <c r="C50" i="4"/>
  <c r="C49" i="4"/>
  <c r="D49" i="4"/>
  <c r="P27" i="13" l="1"/>
  <c r="Q27" i="13"/>
  <c r="P25" i="13"/>
  <c r="P28" i="13" s="1"/>
  <c r="Q26" i="13"/>
  <c r="Q28" i="13" s="1"/>
  <c r="N37" i="6"/>
  <c r="Q33" i="6" s="1"/>
  <c r="M32" i="12"/>
  <c r="O35" i="4"/>
  <c r="M37" i="6"/>
  <c r="P33" i="6" s="1"/>
  <c r="G34" i="4"/>
  <c r="P33" i="4"/>
  <c r="P35" i="4" s="1"/>
  <c r="M92" i="1"/>
  <c r="L92" i="1"/>
  <c r="K92" i="1"/>
  <c r="J92" i="1"/>
  <c r="I92" i="1"/>
  <c r="H92" i="1"/>
  <c r="G92" i="1"/>
  <c r="F92" i="1"/>
  <c r="E92" i="1"/>
  <c r="D92" i="1"/>
  <c r="C92" i="1"/>
  <c r="B92" i="1"/>
  <c r="O91" i="1"/>
  <c r="N91" i="1"/>
  <c r="O90" i="1"/>
  <c r="N90" i="1"/>
  <c r="O89" i="1"/>
  <c r="N89" i="1"/>
  <c r="S31" i="4" l="1"/>
  <c r="S32" i="4"/>
  <c r="P28" i="12"/>
  <c r="P30" i="12"/>
  <c r="Q30" i="12"/>
  <c r="Q29" i="12"/>
  <c r="Q31" i="12" s="1"/>
  <c r="P29" i="12"/>
  <c r="R31" i="4"/>
  <c r="R32" i="4"/>
  <c r="S33" i="4"/>
  <c r="R33" i="4"/>
  <c r="P34" i="6"/>
  <c r="P36" i="6" s="1"/>
  <c r="P35" i="6"/>
  <c r="Q35" i="6"/>
  <c r="Q34" i="6"/>
  <c r="O93" i="1"/>
  <c r="N93" i="1"/>
  <c r="R89" i="1" s="1"/>
  <c r="M99" i="1"/>
  <c r="L99" i="1"/>
  <c r="K99" i="1"/>
  <c r="J99" i="1"/>
  <c r="I99" i="1"/>
  <c r="H99" i="1"/>
  <c r="G99" i="1"/>
  <c r="F99" i="1"/>
  <c r="E99" i="1"/>
  <c r="D99" i="1"/>
  <c r="C99" i="1"/>
  <c r="B99" i="1"/>
  <c r="R34" i="4" l="1"/>
  <c r="S34" i="4"/>
  <c r="P31" i="12"/>
  <c r="Q36" i="6"/>
  <c r="R91" i="1"/>
  <c r="Q90" i="1"/>
  <c r="R90" i="1"/>
  <c r="R92" i="1" s="1"/>
  <c r="Q91" i="1"/>
  <c r="Q89" i="1"/>
  <c r="C107" i="1"/>
  <c r="C108" i="1"/>
  <c r="Q92" i="1" l="1"/>
  <c r="B101" i="1"/>
  <c r="B107" i="1"/>
  <c r="B108" i="1"/>
</calcChain>
</file>

<file path=xl/sharedStrings.xml><?xml version="1.0" encoding="utf-8"?>
<sst xmlns="http://schemas.openxmlformats.org/spreadsheetml/2006/main" count="646" uniqueCount="165">
  <si>
    <t>Unsatisfactory</t>
  </si>
  <si>
    <t>Developing</t>
  </si>
  <si>
    <t>Satisfactory</t>
  </si>
  <si>
    <t>Average</t>
  </si>
  <si>
    <t>Std Dev</t>
  </si>
  <si>
    <t>Average Score</t>
  </si>
  <si>
    <t>Standard dev.</t>
  </si>
  <si>
    <t>Rubric Item (PI)</t>
  </si>
  <si>
    <t>RATINGS</t>
  </si>
  <si>
    <t>Mapped SLO</t>
  </si>
  <si>
    <t>RESULTS BY STUDENT OUTCOME ALL ASSESSMENTS</t>
  </si>
  <si>
    <t>Rubric item (PI)</t>
  </si>
  <si>
    <t>Assessment rubric for Design Project Technical Quality and Presentation Quality</t>
  </si>
  <si>
    <t>Prepared by</t>
  </si>
  <si>
    <t>1. Identification of project objective(s)</t>
  </si>
  <si>
    <t>2. Evaluation of design alternatives with realistic constraints</t>
  </si>
  <si>
    <t>(economic, environmental, social, ethical)</t>
  </si>
  <si>
    <t>3. Consideration of factors influencing the design</t>
  </si>
  <si>
    <t>(cost, manufacturability, sustainability, maintainability)</t>
  </si>
  <si>
    <t>4. Overall fulfillment of project objectives</t>
  </si>
  <si>
    <t>5. Project innovation</t>
  </si>
  <si>
    <t>6. Project practicality in view of contemporary engineering</t>
  </si>
  <si>
    <t>standards/practice</t>
  </si>
  <si>
    <t>7. General professionalism and oral communication</t>
  </si>
  <si>
    <t>8. Knowledge of the background material</t>
  </si>
  <si>
    <t>9. Organization &amp; quality of presentation material</t>
  </si>
  <si>
    <t>10. Project description (see Program Book)</t>
  </si>
  <si>
    <t>11. Group dynamics/member participation</t>
  </si>
  <si>
    <t>12. Quality, effectiveness, &amp; use of visual aids</t>
  </si>
  <si>
    <t>Performance Indicators</t>
  </si>
  <si>
    <t>Technical Quality</t>
  </si>
  <si>
    <t>Presentation Quality</t>
  </si>
  <si>
    <t>BS CHE Engineering Expo Judges Score Assessment</t>
  </si>
  <si>
    <t>S</t>
  </si>
  <si>
    <t>%=3</t>
  </si>
  <si>
    <t>D</t>
  </si>
  <si>
    <t>%=2</t>
  </si>
  <si>
    <t>U</t>
  </si>
  <si>
    <t>%=1</t>
  </si>
  <si>
    <t>Total</t>
  </si>
  <si>
    <t>% &gt; 2</t>
  </si>
  <si>
    <t>SO2</t>
  </si>
  <si>
    <t>SO3</t>
  </si>
  <si>
    <t>SO2 %</t>
  </si>
  <si>
    <t>SO3%</t>
  </si>
  <si>
    <t>1 in Expo Rubric</t>
  </si>
  <si>
    <t xml:space="preserve">4 or 5 in Expo rubric </t>
  </si>
  <si>
    <t>2 or 3 in Expo Rubric</t>
  </si>
  <si>
    <t>Design Teams</t>
  </si>
  <si>
    <t>Engineering Expo Spring 2021</t>
  </si>
  <si>
    <t>Engineering Expo Spring 2022</t>
  </si>
  <si>
    <t>CHE.01</t>
  </si>
  <si>
    <t>CHE.02</t>
  </si>
  <si>
    <t>CHE.03</t>
  </si>
  <si>
    <t>CHE.04</t>
  </si>
  <si>
    <t>CHE.05</t>
  </si>
  <si>
    <t>CHE.06</t>
  </si>
  <si>
    <t>CHE.07</t>
  </si>
  <si>
    <t>CHE.08</t>
  </si>
  <si>
    <t>CHE.09</t>
  </si>
  <si>
    <t>CHE.10</t>
  </si>
  <si>
    <t>CHE.11</t>
  </si>
  <si>
    <t>RESULTS BY PERFORMANCE INDICATOR: Technical and Presentation Quality</t>
  </si>
  <si>
    <t>Trash to Gas</t>
  </si>
  <si>
    <t>Decreasing the (Bio)Massive Dependence on Fossil Fuels</t>
  </si>
  <si>
    <t>Real Deal Diesel</t>
  </si>
  <si>
    <t>Enhancing Plastic Recycling Layer by Layer</t>
  </si>
  <si>
    <t>Green Ammonia</t>
  </si>
  <si>
    <t>Ethane to Ethylene: Cracking the Emissions Problem</t>
  </si>
  <si>
    <t>Production of D,L Methionine</t>
  </si>
  <si>
    <t>From Fries to Fuel: A Sustainable Production of Aviation Fuel</t>
  </si>
  <si>
    <t>HDPE Waste In = Diesel Fuel Out</t>
  </si>
  <si>
    <t>Turning Manure into Money: Converting Cow Manure into Compressed Natural Gas</t>
  </si>
  <si>
    <t>Plastic to Petrol: Pyrolysis of Plastic Waste</t>
  </si>
  <si>
    <t>Number of teams with S (3) score</t>
  </si>
  <si>
    <t>Number of teams with D (2) score</t>
  </si>
  <si>
    <t>Number of teams with U (1) score</t>
  </si>
  <si>
    <t>Engineering Expo Spring 2024</t>
  </si>
  <si>
    <t>Blue Ammonia</t>
  </si>
  <si>
    <t>PrintRX Solutions: The Future of Medicine</t>
  </si>
  <si>
    <t>Manure to Methanol</t>
  </si>
  <si>
    <t>Leftovers to Lift-off: Wood Waste to Jet Fuel</t>
  </si>
  <si>
    <t>Green Methanol: A New Hope</t>
  </si>
  <si>
    <t>Revolutionizing Pharma: Continuous Production of Acetaminophen</t>
  </si>
  <si>
    <t>Tires to Fuel &amp; Flavors</t>
  </si>
  <si>
    <t>CHE.12</t>
  </si>
  <si>
    <t>CHE.13</t>
  </si>
  <si>
    <t>Pine-to-Pump: Advancing Lignocellulosic Ethanol for a Sustainable Future</t>
  </si>
  <si>
    <t>BioNitro: Bacteria Driven Ammonia</t>
  </si>
  <si>
    <t>Fats Forward: Fueling the Renewable Diesel Future</t>
  </si>
  <si>
    <t>Catalytic Pyrolysis of Polyethylene</t>
  </si>
  <si>
    <t>Green ammonia synthesis</t>
  </si>
  <si>
    <t>Fork2Fuel</t>
  </si>
  <si>
    <t>Emissions to Fuel: Production of Methanol via Carbon Capture (CCU)</t>
  </si>
  <si>
    <t>Soy to the World: An Economic Path to a Greener Planet</t>
  </si>
  <si>
    <t>MSWS-RNG: Renewable Natural Gas Production from Municipal Water Waste</t>
  </si>
  <si>
    <t>Waste Plastic to Kerosene</t>
  </si>
  <si>
    <t>The Chemistry of Clean: Linear AlkylBenzene Production</t>
  </si>
  <si>
    <t>Methane Pyrolysis</t>
  </si>
  <si>
    <t>From Grit to Gigabytes: Production of 6N-Purity Silane Gas</t>
  </si>
  <si>
    <t>BioDiesel-icious</t>
  </si>
  <si>
    <t>Sweetening the Deal: Glucose's Transformation into Adipic Acid</t>
  </si>
  <si>
    <t>CHE.14</t>
  </si>
  <si>
    <t>Judge Name</t>
  </si>
  <si>
    <t>Team Number</t>
  </si>
  <si>
    <t>Identification of project objective(s)</t>
  </si>
  <si>
    <t>Evaluation of design alternatives</t>
  </si>
  <si>
    <t>Consideration of design factors</t>
  </si>
  <si>
    <t>Overall fulfillment of project objectives</t>
  </si>
  <si>
    <t>Project practicality</t>
  </si>
  <si>
    <t>Technical Total</t>
  </si>
  <si>
    <t>General professionalism and oral communication</t>
  </si>
  <si>
    <t>Knowledge of background material</t>
  </si>
  <si>
    <t>Organization and quality of presentation material</t>
  </si>
  <si>
    <t>Group dynamics/member participation</t>
  </si>
  <si>
    <t>Quality/effectiveness/use of visual aids</t>
  </si>
  <si>
    <t>Presentation Total</t>
  </si>
  <si>
    <t>Paul Diaz</t>
  </si>
  <si>
    <t>Arwa Hasan</t>
  </si>
  <si>
    <t>Basit Owoseni</t>
  </si>
  <si>
    <t>Dave Modeste</t>
  </si>
  <si>
    <t>Robert Orent</t>
  </si>
  <si>
    <t>Sedra Khan</t>
  </si>
  <si>
    <t>Julieta Rodriguez</t>
  </si>
  <si>
    <t>Tim Politano</t>
  </si>
  <si>
    <t>Renata Swarbrick</t>
  </si>
  <si>
    <t>Joseph Tijerina</t>
  </si>
  <si>
    <t>Adam Kanyuh</t>
  </si>
  <si>
    <t>Danielle Flagg</t>
  </si>
  <si>
    <t>Jesse Anderson</t>
  </si>
  <si>
    <t>Caleb Tristano</t>
  </si>
  <si>
    <t>Jeffrey Lullo</t>
  </si>
  <si>
    <t>Patricia Gillenwater</t>
  </si>
  <si>
    <t>Identification of project objectives</t>
  </si>
  <si>
    <t>2 - 3.99 in Expo Rubric</t>
  </si>
  <si>
    <t>1 - 1.99 in Expo Rubric</t>
  </si>
  <si>
    <t xml:space="preserve">4 - 5.00 in Expo rubric </t>
  </si>
  <si>
    <t>Organization &amp; quality of presentation</t>
  </si>
  <si>
    <t>Quality, effectiveness &amp; use of visual aids</t>
  </si>
  <si>
    <t>Maxum Caesar</t>
  </si>
  <si>
    <t>Ken Bicknell</t>
  </si>
  <si>
    <t>Megan Young</t>
  </si>
  <si>
    <t>Victor Nieto</t>
  </si>
  <si>
    <t>Wayshalee Patel</t>
  </si>
  <si>
    <t>Iris Alvarado Santiago</t>
  </si>
  <si>
    <t>Jeffrey Zalc</t>
  </si>
  <si>
    <t>Peter Herena</t>
  </si>
  <si>
    <t>Suzane Carneiro</t>
  </si>
  <si>
    <t>Alex Chen</t>
  </si>
  <si>
    <t>Deo</t>
  </si>
  <si>
    <t>Dennis O'Brien</t>
  </si>
  <si>
    <t>PHS</t>
  </si>
  <si>
    <t>Lance</t>
  </si>
  <si>
    <t>Matt</t>
  </si>
  <si>
    <t>Organization &amp; quality of presentation material</t>
  </si>
  <si>
    <t>Group dynamics / member participation</t>
  </si>
  <si>
    <t>Nina Jasmin Malapit</t>
  </si>
  <si>
    <t>Steven Metzgar</t>
  </si>
  <si>
    <t>Izz Elmaazawi</t>
  </si>
  <si>
    <t>Jen Nacht</t>
  </si>
  <si>
    <t>Muhammad Abdelqader</t>
  </si>
  <si>
    <t>Earl Washington</t>
  </si>
  <si>
    <t>Jeff Lullo</t>
  </si>
  <si>
    <t>Anthony Taphanand</t>
  </si>
  <si>
    <t>Gabriela Bosak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</si>
</sst>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4" xfId="0" applyBorder="1"/>
    <xf numFmtId="0" fontId="0" fillId="5" borderId="0" xfId="0" applyFill="1"/>
    <xf numFmtId="0" fontId="4" fillId="0" borderId="0" xfId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7" borderId="0" xfId="0" applyFill="1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2" fontId="0" fillId="0" borderId="5" xfId="0" applyNumberFormat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wrapText="1"/>
    </xf>
    <xf numFmtId="0" fontId="0" fillId="8" borderId="0" xfId="0" applyFill="1"/>
  </cellXfs>
  <cellStyles count="2">
    <cellStyle name="Normal" xfId="0" builtinId="0"/>
    <cellStyle name="Normal 2" xfId="1" xr:uid="{D99761B2-2721-4DD7-BC75-CC7EA529F3E9}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0B1838-3D85-406E-88BB-A3EA35F2D0D5}" name="Table3" displayName="Table3" ref="A1:L57" totalsRowShown="0" headerRowDxfId="1">
  <autoFilter ref="A1:L57" xr:uid="{320B1838-3D85-406E-88BB-A3EA35F2D0D5}"/>
  <sortState xmlns:xlrd2="http://schemas.microsoft.com/office/spreadsheetml/2017/richdata2" ref="A2:L57">
    <sortCondition ref="B1:B57"/>
  </sortState>
  <tableColumns count="12">
    <tableColumn id="1" xr3:uid="{6FAA97E6-FD60-4919-B36B-A81F59A5EF07}" name="Judge Name"/>
    <tableColumn id="2" xr3:uid="{8C7094DF-4F19-4A8B-B84E-B028E3C6207F}" name="Team Number"/>
    <tableColumn id="3" xr3:uid="{4A162EA1-B783-422A-B3DD-425183466585}" name="Identification of project objective(s)"/>
    <tableColumn id="4" xr3:uid="{9880CB7B-86DE-4F7B-9D8F-E1949DC9EEAC}" name="Evaluation of design alternatives"/>
    <tableColumn id="5" xr3:uid="{A71E97DE-96C7-4AFC-8F64-36F41D97F529}" name="Consideration of design factors"/>
    <tableColumn id="6" xr3:uid="{40B46AE3-B32B-4E0A-A549-371E7D788FDD}" name="Overall fulfillment of project objectives"/>
    <tableColumn id="7" xr3:uid="{D3BEAB6F-6BEC-4E2D-9E3F-35CE6046F9D2}" name="Project practicality"/>
    <tableColumn id="8" xr3:uid="{7637B549-66B3-4485-8744-04D616F4F0D0}" name="General professionalism and oral communication"/>
    <tableColumn id="9" xr3:uid="{CDF24448-ADF5-4503-8FC9-47ECC2CB87D8}" name="Knowledge of background material"/>
    <tableColumn id="10" xr3:uid="{4FED29A5-2C83-4DF6-890C-F79CC52B1DE3}" name="Organization &amp; quality of presentation material"/>
    <tableColumn id="11" xr3:uid="{CE27F3C8-637E-4BF9-9D1B-3CBF6E93C800}" name="Group dynamics / member participation"/>
    <tableColumn id="12" xr3:uid="{D7316C23-90E7-41A6-8F3C-D4526AB98C14}" name="Quality, effectiveness &amp; use of visual aid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DA529A-506B-42D9-B31F-AF6FE3106148}" name="Table2" displayName="Table2" ref="A1:L71" totalsRowShown="0" headerRowDxfId="2">
  <autoFilter ref="A1:L71" xr:uid="{AADA529A-506B-42D9-B31F-AF6FE3106148}"/>
  <sortState xmlns:xlrd2="http://schemas.microsoft.com/office/spreadsheetml/2017/richdata2" ref="A2:L71">
    <sortCondition ref="B1:B71"/>
  </sortState>
  <tableColumns count="12">
    <tableColumn id="1" xr3:uid="{1A466B55-E8E8-4545-BA9B-B99335603604}" name="Judge Name"/>
    <tableColumn id="2" xr3:uid="{9AE964B2-56EE-4EBC-89F0-F8880EE68480}" name="Team Number"/>
    <tableColumn id="3" xr3:uid="{65C3F755-D7C9-4AA6-9693-4D35201F9460}" name="Identification of project objective(s)"/>
    <tableColumn id="4" xr3:uid="{F1FC731A-B6AD-4751-960A-DEC71E2F58FC}" name="Evaluation of design alternatives"/>
    <tableColumn id="5" xr3:uid="{6A1D55EE-EE2A-4A71-8094-2D7B1A0A1B4F}" name="Consideration of design factors"/>
    <tableColumn id="6" xr3:uid="{4DB09B23-9FB9-4F7C-8D31-FB23939FD591}" name="Overall fulfillment of project objectives"/>
    <tableColumn id="7" xr3:uid="{4ADA4FB3-3CBC-4FA5-89BA-57C7B1773274}" name="Project practicality"/>
    <tableColumn id="8" xr3:uid="{4500CC2A-E2EF-4B12-A656-740CA4BF5494}" name="General professionalism and oral communication"/>
    <tableColumn id="9" xr3:uid="{981CCAB3-7A2C-475B-997B-C0CEAAA51ADE}" name="Knowledge of background material"/>
    <tableColumn id="10" xr3:uid="{9F7D2BE6-168F-4566-9D40-88C952A50A17}" name="Organization &amp; quality of presentation"/>
    <tableColumn id="11" xr3:uid="{BA051A93-3244-4CDF-B0AB-DD1E244BBDD9}" name="Group dynamics/member participation"/>
    <tableColumn id="12" xr3:uid="{31E01016-083E-4848-BECF-397CB9FE5233}" name="Quality, effectiveness &amp; use of visual aid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415A9-45AA-4C24-B3B6-8E7B11CCF5FC}" name="Table4" displayName="Table4" ref="P1:AA65" totalsRowShown="0" headerRowDxfId="0">
  <autoFilter ref="P1:AA65" xr:uid="{231415A9-45AA-4C24-B3B6-8E7B11CCF5FC}"/>
  <tableColumns count="12">
    <tableColumn id="1" xr3:uid="{4CB4337C-346E-416F-AB32-BA73D75B8CFE}" name="Team Number"/>
    <tableColumn id="2" xr3:uid="{917FD24C-E8D5-4599-B131-A305F0212F9C}" name="Judge Name"/>
    <tableColumn id="3" xr3:uid="{F52B3EE7-C742-4841-A726-19B72C593D6D}" name="Identification of project objective(s)"/>
    <tableColumn id="4" xr3:uid="{0A7BEB8A-9391-419B-B840-3CC007964C6E}" name="Evaluation of design alternatives"/>
    <tableColumn id="5" xr3:uid="{FEDF1521-DBA5-478F-8CC9-270FE6FB98BE}" name="Consideration of design factors"/>
    <tableColumn id="6" xr3:uid="{C68E021A-0416-410A-A693-C44B999896BD}" name="Overall fulfillment of project objectives"/>
    <tableColumn id="7" xr3:uid="{0FBD1514-A919-47E3-8F43-14A01E74D732}" name="Project practicality"/>
    <tableColumn id="8" xr3:uid="{15CB401C-5BC4-4782-8EDF-A05777A83B32}" name="General professionalism and oral communication"/>
    <tableColumn id="9" xr3:uid="{CFB4BF81-3B7F-47C9-9278-CB6B78B394FE}" name="Knowledge of background material"/>
    <tableColumn id="10" xr3:uid="{32D6966B-FC90-447B-AAEF-BE5EB0E4C9F4}" name="Organization and quality of presentation material"/>
    <tableColumn id="11" xr3:uid="{2E15FF45-7CFA-4A35-A9C0-E5ED41F2B41E}" name="Group dynamics/member participation"/>
    <tableColumn id="12" xr3:uid="{455B44E6-FECD-455D-B160-9206F8C4FEFE}" name="Quality/effectiveness/use of visual ai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9316-7EA1-4A91-9183-3C740DA96B89}">
  <dimension ref="A1:S127"/>
  <sheetViews>
    <sheetView tabSelected="1" zoomScale="110" zoomScaleNormal="110" workbookViewId="0">
      <selection activeCell="C19" sqref="C19"/>
    </sheetView>
  </sheetViews>
  <sheetFormatPr defaultRowHeight="15" x14ac:dyDescent="0.25"/>
  <cols>
    <col min="2" max="2" width="71.7109375" customWidth="1"/>
    <col min="3" max="3" width="11.5703125" customWidth="1"/>
    <col min="8" max="8" width="9.5703125" bestFit="1" customWidth="1"/>
    <col min="14" max="14" width="10.42578125" customWidth="1"/>
  </cols>
  <sheetData>
    <row r="1" spans="1:17" x14ac:dyDescent="0.25">
      <c r="B1" s="1" t="s">
        <v>32</v>
      </c>
      <c r="J1" t="s">
        <v>29</v>
      </c>
    </row>
    <row r="2" spans="1:17" x14ac:dyDescent="0.25">
      <c r="B2" s="1" t="s">
        <v>77</v>
      </c>
      <c r="J2" t="s">
        <v>30</v>
      </c>
      <c r="Q2" t="s">
        <v>31</v>
      </c>
    </row>
    <row r="3" spans="1:17" x14ac:dyDescent="0.25">
      <c r="B3" s="1"/>
      <c r="J3" s="38" t="s">
        <v>14</v>
      </c>
      <c r="Q3" s="38" t="s">
        <v>23</v>
      </c>
    </row>
    <row r="4" spans="1:17" x14ac:dyDescent="0.25">
      <c r="B4" s="1"/>
      <c r="J4" s="38" t="s">
        <v>15</v>
      </c>
      <c r="Q4" s="38" t="s">
        <v>24</v>
      </c>
    </row>
    <row r="5" spans="1:17" x14ac:dyDescent="0.25">
      <c r="B5" t="s">
        <v>12</v>
      </c>
      <c r="J5" t="s">
        <v>16</v>
      </c>
      <c r="Q5" s="38" t="s">
        <v>25</v>
      </c>
    </row>
    <row r="6" spans="1:17" x14ac:dyDescent="0.25">
      <c r="B6" t="s">
        <v>13</v>
      </c>
      <c r="J6" s="38" t="s">
        <v>17</v>
      </c>
      <c r="Q6" t="s">
        <v>26</v>
      </c>
    </row>
    <row r="7" spans="1:17" x14ac:dyDescent="0.25">
      <c r="J7" t="s">
        <v>18</v>
      </c>
      <c r="Q7" s="38" t="s">
        <v>27</v>
      </c>
    </row>
    <row r="8" spans="1:17" x14ac:dyDescent="0.25">
      <c r="J8" s="38" t="s">
        <v>19</v>
      </c>
      <c r="Q8" s="38" t="s">
        <v>28</v>
      </c>
    </row>
    <row r="9" spans="1:17" x14ac:dyDescent="0.25">
      <c r="J9" t="s">
        <v>20</v>
      </c>
    </row>
    <row r="10" spans="1:17" x14ac:dyDescent="0.25">
      <c r="B10" s="3" t="s">
        <v>8</v>
      </c>
      <c r="C10" s="3"/>
      <c r="D10" s="3"/>
      <c r="J10" s="38" t="s">
        <v>21</v>
      </c>
    </row>
    <row r="11" spans="1:17" x14ac:dyDescent="0.25">
      <c r="B11" s="3">
        <v>1</v>
      </c>
      <c r="C11" s="3" t="s">
        <v>0</v>
      </c>
      <c r="D11" s="3"/>
      <c r="E11" t="s">
        <v>135</v>
      </c>
      <c r="J11" t="s">
        <v>22</v>
      </c>
    </row>
    <row r="12" spans="1:17" x14ac:dyDescent="0.25">
      <c r="B12" s="3">
        <v>2</v>
      </c>
      <c r="C12" s="3" t="s">
        <v>1</v>
      </c>
      <c r="D12" s="3"/>
      <c r="E12" t="s">
        <v>134</v>
      </c>
    </row>
    <row r="13" spans="1:17" x14ac:dyDescent="0.25">
      <c r="B13" s="3">
        <v>3</v>
      </c>
      <c r="C13" s="3" t="s">
        <v>2</v>
      </c>
      <c r="D13" s="3"/>
      <c r="E13" t="s">
        <v>136</v>
      </c>
    </row>
    <row r="14" spans="1:17" x14ac:dyDescent="0.25">
      <c r="B14" s="3"/>
      <c r="C14" s="3"/>
      <c r="D14" s="3"/>
    </row>
    <row r="15" spans="1:17" x14ac:dyDescent="0.25">
      <c r="C15" t="s">
        <v>30</v>
      </c>
      <c r="H15" t="s">
        <v>31</v>
      </c>
    </row>
    <row r="16" spans="1:17" x14ac:dyDescent="0.25">
      <c r="A16" s="33"/>
      <c r="B16" s="18" t="s">
        <v>7</v>
      </c>
      <c r="C16" s="18">
        <v>1</v>
      </c>
      <c r="D16" s="18">
        <v>2</v>
      </c>
      <c r="E16" s="18">
        <v>3</v>
      </c>
      <c r="F16" s="18">
        <v>4</v>
      </c>
      <c r="G16" s="30">
        <v>6</v>
      </c>
      <c r="H16" s="18">
        <v>7</v>
      </c>
      <c r="I16" s="18">
        <v>8</v>
      </c>
      <c r="J16" s="18">
        <v>9</v>
      </c>
      <c r="K16" s="18">
        <v>11</v>
      </c>
      <c r="L16" s="18">
        <v>12</v>
      </c>
    </row>
    <row r="17" spans="1:19" x14ac:dyDescent="0.25">
      <c r="A17" s="33"/>
      <c r="B17" s="18" t="s">
        <v>9</v>
      </c>
      <c r="C17" s="18">
        <v>2</v>
      </c>
      <c r="D17" s="18">
        <v>2</v>
      </c>
      <c r="E17" s="18">
        <v>2</v>
      </c>
      <c r="F17" s="18">
        <v>2</v>
      </c>
      <c r="G17" s="31">
        <v>2</v>
      </c>
      <c r="H17" s="19">
        <v>3</v>
      </c>
      <c r="I17" s="19">
        <v>3</v>
      </c>
      <c r="J17" s="19">
        <v>3</v>
      </c>
      <c r="K17" s="19">
        <v>3</v>
      </c>
      <c r="L17" s="19">
        <v>3</v>
      </c>
    </row>
    <row r="18" spans="1:19" x14ac:dyDescent="0.25">
      <c r="B18" t="s">
        <v>48</v>
      </c>
      <c r="C18" s="2"/>
      <c r="G18" s="32"/>
    </row>
    <row r="19" spans="1:19" x14ac:dyDescent="0.25">
      <c r="A19" s="34" t="s">
        <v>51</v>
      </c>
      <c r="B19" s="34"/>
      <c r="C19" s="37">
        <v>3</v>
      </c>
      <c r="D19" s="37">
        <v>2</v>
      </c>
      <c r="E19" s="37">
        <v>2</v>
      </c>
      <c r="F19" s="37">
        <v>3</v>
      </c>
      <c r="G19" s="37">
        <v>3</v>
      </c>
      <c r="H19" s="37">
        <v>3</v>
      </c>
      <c r="I19" s="37">
        <v>2</v>
      </c>
      <c r="J19" s="37">
        <v>2</v>
      </c>
      <c r="K19" s="37">
        <v>3</v>
      </c>
      <c r="L19" s="37">
        <v>2</v>
      </c>
    </row>
    <row r="20" spans="1:19" x14ac:dyDescent="0.25">
      <c r="A20" s="34" t="s">
        <v>52</v>
      </c>
      <c r="B20" s="34"/>
      <c r="C20" s="37">
        <v>3</v>
      </c>
      <c r="D20" s="37">
        <v>3</v>
      </c>
      <c r="E20" s="37">
        <v>3</v>
      </c>
      <c r="F20" s="37">
        <v>3</v>
      </c>
      <c r="G20" s="37">
        <v>3</v>
      </c>
      <c r="H20" s="37">
        <v>3</v>
      </c>
      <c r="I20" s="37">
        <v>3</v>
      </c>
      <c r="J20" s="37">
        <v>3</v>
      </c>
      <c r="K20" s="37">
        <v>3</v>
      </c>
      <c r="L20" s="37">
        <v>3</v>
      </c>
    </row>
    <row r="21" spans="1:19" x14ac:dyDescent="0.25">
      <c r="A21" s="34" t="s">
        <v>53</v>
      </c>
      <c r="B21" s="34"/>
      <c r="C21" s="37">
        <v>3</v>
      </c>
      <c r="D21" s="37">
        <v>2</v>
      </c>
      <c r="E21" s="37">
        <v>3</v>
      </c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</row>
    <row r="22" spans="1:19" x14ac:dyDescent="0.25">
      <c r="A22" s="34" t="s">
        <v>54</v>
      </c>
      <c r="B22" s="34"/>
      <c r="C22" s="37">
        <v>3</v>
      </c>
      <c r="D22" s="37">
        <v>3</v>
      </c>
      <c r="E22" s="37">
        <v>3</v>
      </c>
      <c r="F22" s="37">
        <v>3</v>
      </c>
      <c r="G22" s="37">
        <v>3</v>
      </c>
      <c r="H22" s="37">
        <v>3</v>
      </c>
      <c r="I22" s="37">
        <v>3</v>
      </c>
      <c r="J22" s="37">
        <v>3</v>
      </c>
      <c r="K22" s="37">
        <v>2</v>
      </c>
      <c r="L22" s="37">
        <v>2</v>
      </c>
    </row>
    <row r="23" spans="1:19" x14ac:dyDescent="0.25">
      <c r="A23" s="34" t="s">
        <v>55</v>
      </c>
      <c r="B23" s="34"/>
      <c r="C23" s="37">
        <v>3</v>
      </c>
      <c r="D23" s="37">
        <v>3</v>
      </c>
      <c r="E23" s="37">
        <v>2</v>
      </c>
      <c r="F23" s="37">
        <v>3</v>
      </c>
      <c r="G23" s="37">
        <v>3</v>
      </c>
      <c r="H23" s="37">
        <v>3</v>
      </c>
      <c r="I23" s="37">
        <v>3</v>
      </c>
      <c r="J23" s="37">
        <v>3</v>
      </c>
      <c r="K23" s="37">
        <v>3</v>
      </c>
      <c r="L23" s="37">
        <v>3</v>
      </c>
    </row>
    <row r="24" spans="1:19" x14ac:dyDescent="0.25">
      <c r="A24" s="34" t="s">
        <v>56</v>
      </c>
      <c r="B24" s="34"/>
      <c r="C24" s="37">
        <v>3</v>
      </c>
      <c r="D24" s="37">
        <v>2</v>
      </c>
      <c r="E24" s="37">
        <v>2</v>
      </c>
      <c r="F24" s="37">
        <v>3</v>
      </c>
      <c r="G24" s="37">
        <v>3</v>
      </c>
      <c r="H24" s="37">
        <v>3</v>
      </c>
      <c r="I24" s="37">
        <v>3</v>
      </c>
      <c r="J24" s="37">
        <v>2</v>
      </c>
      <c r="K24" s="37">
        <v>2</v>
      </c>
      <c r="L24" s="37">
        <v>2</v>
      </c>
    </row>
    <row r="25" spans="1:19" x14ac:dyDescent="0.25">
      <c r="B25" s="2" t="s">
        <v>74</v>
      </c>
      <c r="C25" s="27">
        <f>COUNTIF(C$19:C$24,3)</f>
        <v>6</v>
      </c>
      <c r="D25" s="27">
        <f>COUNTIF(D$19:D$24,3)</f>
        <v>3</v>
      </c>
      <c r="E25" s="27">
        <f>COUNTIF(E$19:E$24,3)</f>
        <v>3</v>
      </c>
      <c r="F25" s="27">
        <f>COUNTIF(F$19:F$24,3)</f>
        <v>6</v>
      </c>
      <c r="G25" s="27">
        <f>COUNTIF(G$19:G$24,3)</f>
        <v>6</v>
      </c>
      <c r="H25" s="27">
        <f>COUNTIF(H$19:H$24,3)</f>
        <v>6</v>
      </c>
      <c r="I25" s="27">
        <f>COUNTIF(I$19:I$24,3)</f>
        <v>5</v>
      </c>
      <c r="J25" s="27">
        <f>COUNTIF(J$19:J$24,3)</f>
        <v>4</v>
      </c>
      <c r="K25" s="27">
        <f>COUNTIF(K$19:K$24,3)</f>
        <v>4</v>
      </c>
      <c r="L25" s="27">
        <f>COUNTIF(L$19:L$24,3)</f>
        <v>3</v>
      </c>
      <c r="M25" s="23">
        <f>AVERAGE(C25:G25)</f>
        <v>4.8</v>
      </c>
      <c r="N25" s="23">
        <f>AVERAGE(H25:L25)</f>
        <v>4.4000000000000004</v>
      </c>
      <c r="O25" s="28"/>
      <c r="P25" s="28">
        <f>M25/$M$29*100</f>
        <v>80</v>
      </c>
      <c r="Q25" s="28">
        <f>N25/N29*100</f>
        <v>73.333333333333343</v>
      </c>
      <c r="R25" s="28"/>
      <c r="S25" t="s">
        <v>34</v>
      </c>
    </row>
    <row r="26" spans="1:19" x14ac:dyDescent="0.25">
      <c r="B26" s="2" t="s">
        <v>75</v>
      </c>
      <c r="C26" s="27">
        <f>COUNTIF(C$19:C$24,2)</f>
        <v>0</v>
      </c>
      <c r="D26" s="27">
        <f>COUNTIF(D$19:D$24,2)</f>
        <v>3</v>
      </c>
      <c r="E26" s="27">
        <f>COUNTIF(E$19:E$24,2)</f>
        <v>3</v>
      </c>
      <c r="F26" s="27">
        <f>COUNTIF(F$19:F$24,2)</f>
        <v>0</v>
      </c>
      <c r="G26" s="27">
        <f>COUNTIF(G$19:G$24,2)</f>
        <v>0</v>
      </c>
      <c r="H26" s="27">
        <f>COUNTIF(H$19:H$24,2)</f>
        <v>0</v>
      </c>
      <c r="I26" s="27">
        <f>COUNTIF(I$19:I$24,2)</f>
        <v>1</v>
      </c>
      <c r="J26" s="27">
        <f>COUNTIF(J$19:J$24,2)</f>
        <v>2</v>
      </c>
      <c r="K26" s="27">
        <f>COUNTIF(K$19:K$24,2)</f>
        <v>2</v>
      </c>
      <c r="L26" s="27">
        <f>COUNTIF(L$19:L$24,2)</f>
        <v>3</v>
      </c>
      <c r="M26" s="23">
        <f>AVERAGE(C26:G26)</f>
        <v>1.2</v>
      </c>
      <c r="N26" s="23">
        <f>AVERAGE(H26:L26)</f>
        <v>1.6</v>
      </c>
      <c r="O26" s="28"/>
      <c r="P26" s="28">
        <f t="shared" ref="P26:Q27" si="0">M26/$M$29*100</f>
        <v>20</v>
      </c>
      <c r="Q26" s="28">
        <f t="shared" si="0"/>
        <v>26.666666666666668</v>
      </c>
      <c r="R26" s="28"/>
      <c r="S26" t="s">
        <v>36</v>
      </c>
    </row>
    <row r="27" spans="1:19" x14ac:dyDescent="0.25">
      <c r="B27" s="2" t="s">
        <v>76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3">
        <f>AVERAGE(C27:G27)</f>
        <v>0</v>
      </c>
      <c r="N27">
        <f>AVERAGE(H27:L27)</f>
        <v>0</v>
      </c>
      <c r="O27" s="28"/>
      <c r="P27" s="28">
        <f t="shared" si="0"/>
        <v>0</v>
      </c>
      <c r="Q27" s="28">
        <f t="shared" si="0"/>
        <v>0</v>
      </c>
      <c r="R27" s="28"/>
      <c r="S27" t="s">
        <v>38</v>
      </c>
    </row>
    <row r="28" spans="1:19" x14ac:dyDescent="0.25">
      <c r="B28" s="2" t="s">
        <v>39</v>
      </c>
      <c r="C28" s="43">
        <f>SUM(C25:C27)</f>
        <v>6</v>
      </c>
      <c r="D28" s="43">
        <f t="shared" ref="D28:L28" si="1">SUM(D25:D27)</f>
        <v>6</v>
      </c>
      <c r="E28" s="43">
        <f t="shared" si="1"/>
        <v>6</v>
      </c>
      <c r="F28" s="43">
        <f t="shared" si="1"/>
        <v>6</v>
      </c>
      <c r="G28" s="43">
        <f t="shared" si="1"/>
        <v>6</v>
      </c>
      <c r="H28" s="43">
        <f t="shared" si="1"/>
        <v>6</v>
      </c>
      <c r="I28" s="43">
        <f t="shared" si="1"/>
        <v>6</v>
      </c>
      <c r="J28" s="43">
        <f t="shared" si="1"/>
        <v>6</v>
      </c>
      <c r="K28" s="43">
        <f t="shared" si="1"/>
        <v>6</v>
      </c>
      <c r="L28" s="43">
        <f t="shared" si="1"/>
        <v>6</v>
      </c>
      <c r="P28" s="28">
        <f>P25+P26</f>
        <v>100</v>
      </c>
      <c r="Q28" s="28">
        <f>Q25+Q26</f>
        <v>100.00000000000001</v>
      </c>
      <c r="R28" s="28"/>
      <c r="S28" t="s">
        <v>40</v>
      </c>
    </row>
    <row r="29" spans="1:19" x14ac:dyDescent="0.25">
      <c r="B29" s="17"/>
      <c r="M29">
        <f t="shared" ref="M29:N29" si="2">SUM(M25:M27)</f>
        <v>6</v>
      </c>
      <c r="N29">
        <f t="shared" si="2"/>
        <v>6</v>
      </c>
      <c r="O29" s="28"/>
    </row>
    <row r="31" spans="1:19" x14ac:dyDescent="0.25">
      <c r="B31" s="13" t="s">
        <v>62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9" x14ac:dyDescent="0.25">
      <c r="B32" s="14" t="s">
        <v>11</v>
      </c>
      <c r="C32" s="20">
        <v>1</v>
      </c>
      <c r="D32" s="20">
        <v>2</v>
      </c>
      <c r="E32" s="20">
        <v>3</v>
      </c>
      <c r="F32" s="20">
        <v>4</v>
      </c>
      <c r="G32" s="20">
        <v>6</v>
      </c>
      <c r="H32" s="20">
        <v>7</v>
      </c>
      <c r="I32" s="20">
        <v>8</v>
      </c>
      <c r="J32" s="20">
        <v>9</v>
      </c>
      <c r="K32" s="20">
        <v>11</v>
      </c>
      <c r="L32" s="20">
        <v>12</v>
      </c>
    </row>
    <row r="33" spans="2:12" x14ac:dyDescent="0.25">
      <c r="B33" s="15" t="s">
        <v>9</v>
      </c>
      <c r="C33" s="20">
        <v>2</v>
      </c>
      <c r="D33" s="20">
        <v>2</v>
      </c>
      <c r="E33" s="20">
        <v>2</v>
      </c>
      <c r="F33" s="20">
        <v>2</v>
      </c>
      <c r="G33" s="20">
        <v>2</v>
      </c>
      <c r="H33" s="20">
        <v>3</v>
      </c>
      <c r="I33" s="20">
        <v>3</v>
      </c>
      <c r="J33" s="20">
        <v>3</v>
      </c>
      <c r="K33" s="20">
        <v>3</v>
      </c>
      <c r="L33" s="20">
        <v>3</v>
      </c>
    </row>
    <row r="34" spans="2:12" x14ac:dyDescent="0.25">
      <c r="B34" s="16" t="s">
        <v>3</v>
      </c>
      <c r="C34" s="21">
        <f>AVERAGE(C19:C24)</f>
        <v>3</v>
      </c>
      <c r="D34" s="21">
        <f>AVERAGE(D19:D24)</f>
        <v>2.5</v>
      </c>
      <c r="E34" s="21">
        <f>AVERAGE(E19:E24)</f>
        <v>2.5</v>
      </c>
      <c r="F34" s="21">
        <f>AVERAGE(F19:F24)</f>
        <v>3</v>
      </c>
      <c r="G34" s="21">
        <f>AVERAGE(G19:G24)</f>
        <v>3</v>
      </c>
      <c r="H34" s="21">
        <f>AVERAGE(H19:H24)</f>
        <v>3</v>
      </c>
      <c r="I34" s="21">
        <f>AVERAGE(I19:I24)</f>
        <v>2.8333333333333335</v>
      </c>
      <c r="J34" s="21">
        <f>AVERAGE(J19:J24)</f>
        <v>2.6666666666666665</v>
      </c>
      <c r="K34" s="21">
        <f>AVERAGE(K19:K24)</f>
        <v>2.6666666666666665</v>
      </c>
      <c r="L34" s="21">
        <f>AVERAGE(L19:L24)</f>
        <v>2.5</v>
      </c>
    </row>
    <row r="35" spans="2:12" x14ac:dyDescent="0.25">
      <c r="B35" s="15" t="s">
        <v>4</v>
      </c>
      <c r="C35" s="22">
        <f>STDEV(C19:C24)</f>
        <v>0</v>
      </c>
      <c r="D35" s="22">
        <f>STDEV(D19:D24)</f>
        <v>0.54772255750516607</v>
      </c>
      <c r="E35" s="22">
        <f>STDEV(E19:E24)</f>
        <v>0.54772255750516607</v>
      </c>
      <c r="F35" s="22">
        <f>STDEV(F19:F24)</f>
        <v>0</v>
      </c>
      <c r="G35" s="22">
        <f>STDEV(G19:G24)</f>
        <v>0</v>
      </c>
      <c r="H35" s="22">
        <f>STDEV(H19:H24)</f>
        <v>0</v>
      </c>
      <c r="I35" s="22">
        <f>STDEV(I19:I24)</f>
        <v>0.40824829046386357</v>
      </c>
      <c r="J35" s="22">
        <f>STDEV(J19:J24)</f>
        <v>0.51639777949432275</v>
      </c>
      <c r="K35" s="22">
        <f>STDEV(K19:K24)</f>
        <v>0.51639777949432275</v>
      </c>
      <c r="L35" s="22">
        <f>STDEV(L19:L24)</f>
        <v>0.54772255750516607</v>
      </c>
    </row>
    <row r="36" spans="2:12" x14ac:dyDescent="0.25">
      <c r="B36" s="16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2:12" x14ac:dyDescent="0.25">
      <c r="B37" s="16" t="s">
        <v>3</v>
      </c>
      <c r="C37" s="7">
        <f>AVERAGE(C34:L34)</f>
        <v>2.7666666666666666</v>
      </c>
      <c r="D37" s="4"/>
      <c r="E37" s="4"/>
      <c r="F37" s="4"/>
      <c r="G37" s="4"/>
      <c r="H37" s="4"/>
      <c r="I37" s="4"/>
      <c r="J37" s="4"/>
      <c r="K37" s="4"/>
      <c r="L37" s="4"/>
    </row>
    <row r="38" spans="2:12" x14ac:dyDescent="0.25">
      <c r="B38" s="15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2:12" x14ac:dyDescent="0.25">
      <c r="B39" s="16"/>
      <c r="C39" s="4"/>
      <c r="D39" s="4"/>
      <c r="E39" s="4"/>
      <c r="F39" s="4"/>
      <c r="G39" s="4"/>
      <c r="H39" s="4"/>
      <c r="I39" s="4"/>
      <c r="J39" s="4"/>
      <c r="K39" s="4"/>
      <c r="L39" s="4"/>
    </row>
    <row r="41" spans="2:12" x14ac:dyDescent="0.25">
      <c r="C41" s="5"/>
      <c r="D41" s="5"/>
      <c r="E41" s="5"/>
      <c r="F41" s="5"/>
      <c r="G41" s="5"/>
      <c r="H41" s="10"/>
      <c r="I41" s="10"/>
      <c r="J41" s="10"/>
    </row>
    <row r="42" spans="2:12" x14ac:dyDescent="0.25">
      <c r="B42" s="8" t="s">
        <v>10</v>
      </c>
      <c r="C42" s="24">
        <v>2</v>
      </c>
      <c r="D42" s="24">
        <v>3</v>
      </c>
      <c r="E42" s="24"/>
      <c r="F42" s="24"/>
      <c r="G42" s="24"/>
      <c r="H42" s="19"/>
      <c r="I42" s="19"/>
      <c r="J42" s="10"/>
    </row>
    <row r="43" spans="2:12" x14ac:dyDescent="0.25">
      <c r="B43" s="5" t="s">
        <v>5</v>
      </c>
      <c r="C43" s="25">
        <f>AVERAGE(C34:G34)</f>
        <v>2.8</v>
      </c>
      <c r="D43" s="25">
        <f>AVERAGE(H34:L34)</f>
        <v>2.7333333333333334</v>
      </c>
      <c r="E43" s="25"/>
      <c r="F43" s="25"/>
      <c r="G43" s="25"/>
      <c r="H43" s="25"/>
      <c r="I43" s="25"/>
      <c r="J43" s="6"/>
    </row>
    <row r="44" spans="2:12" x14ac:dyDescent="0.25">
      <c r="B44" s="5" t="s">
        <v>6</v>
      </c>
      <c r="C44" s="25">
        <f>STDEV(C34:G34)</f>
        <v>0.27386127875258309</v>
      </c>
      <c r="D44" s="25">
        <f>STDEV(H34:L34)</f>
        <v>0.19002923751652304</v>
      </c>
      <c r="E44" s="25"/>
      <c r="F44" s="25"/>
      <c r="G44" s="25"/>
      <c r="H44" s="26"/>
      <c r="I44" s="26"/>
      <c r="J44" s="11"/>
    </row>
    <row r="46" spans="2:12" x14ac:dyDescent="0.25">
      <c r="C46" s="23"/>
    </row>
    <row r="100" spans="9:13" x14ac:dyDescent="0.25">
      <c r="I100" s="2"/>
      <c r="J100" s="2"/>
      <c r="K100" s="2"/>
      <c r="L100" s="2"/>
      <c r="M100" s="2"/>
    </row>
    <row r="122" spans="2:3" x14ac:dyDescent="0.25">
      <c r="C122" s="9"/>
    </row>
    <row r="123" spans="2:3" x14ac:dyDescent="0.25">
      <c r="C123" s="9"/>
    </row>
    <row r="124" spans="2:3" x14ac:dyDescent="0.25">
      <c r="C124" s="9"/>
    </row>
    <row r="125" spans="2:3" x14ac:dyDescent="0.25">
      <c r="C125" s="9"/>
    </row>
    <row r="127" spans="2:3" x14ac:dyDescent="0.25">
      <c r="B127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B208-C5FB-4BFF-AA50-F049B5080A1A}">
  <dimension ref="A1:AK57"/>
  <sheetViews>
    <sheetView zoomScale="110" zoomScaleNormal="110" workbookViewId="0">
      <selection activeCell="H50" sqref="H50"/>
    </sheetView>
  </sheetViews>
  <sheetFormatPr defaultRowHeight="15" x14ac:dyDescent="0.25"/>
  <cols>
    <col min="1" max="1" width="20.5703125" customWidth="1"/>
    <col min="2" max="2" width="15.7109375" customWidth="1"/>
    <col min="3" max="3" width="15.28515625" customWidth="1"/>
    <col min="4" max="4" width="12.5703125" customWidth="1"/>
    <col min="5" max="5" width="17.28515625" customWidth="1"/>
    <col min="6" max="6" width="18" customWidth="1"/>
    <col min="7" max="7" width="14.28515625" customWidth="1"/>
    <col min="8" max="8" width="20.7109375" customWidth="1"/>
    <col min="9" max="9" width="13.7109375" customWidth="1"/>
    <col min="10" max="10" width="21.7109375" customWidth="1"/>
    <col min="11" max="11" width="16.42578125" customWidth="1"/>
    <col min="12" max="12" width="17.28515625" customWidth="1"/>
    <col min="16" max="16" width="15.140625" customWidth="1"/>
    <col min="17" max="17" width="15.85546875" customWidth="1"/>
    <col min="18" max="18" width="13" customWidth="1"/>
    <col min="19" max="19" width="13.42578125" customWidth="1"/>
    <col min="21" max="21" width="14.7109375" customWidth="1"/>
    <col min="22" max="22" width="13.42578125" customWidth="1"/>
    <col min="23" max="23" width="13.5703125" customWidth="1"/>
    <col min="24" max="24" width="13.140625" customWidth="1"/>
    <col min="25" max="25" width="11.42578125" customWidth="1"/>
    <col min="28" max="28" width="11.7109375" customWidth="1"/>
  </cols>
  <sheetData>
    <row r="1" spans="1:37" s="39" customFormat="1" ht="71.25" customHeight="1" x14ac:dyDescent="0.25">
      <c r="A1" s="39" t="s">
        <v>103</v>
      </c>
      <c r="B1" s="39" t="s">
        <v>104</v>
      </c>
      <c r="C1" s="39" t="s">
        <v>105</v>
      </c>
      <c r="D1" s="39" t="s">
        <v>106</v>
      </c>
      <c r="E1" s="39" t="s">
        <v>107</v>
      </c>
      <c r="F1" s="39" t="s">
        <v>108</v>
      </c>
      <c r="G1" s="39" t="s">
        <v>109</v>
      </c>
      <c r="H1" s="39" t="s">
        <v>111</v>
      </c>
      <c r="I1" s="39" t="s">
        <v>112</v>
      </c>
      <c r="J1" s="39" t="s">
        <v>154</v>
      </c>
      <c r="K1" s="39" t="s">
        <v>155</v>
      </c>
      <c r="L1" s="39" t="s">
        <v>138</v>
      </c>
      <c r="O1" s="45" t="s">
        <v>104</v>
      </c>
      <c r="P1" s="45" t="s">
        <v>105</v>
      </c>
      <c r="Q1" s="45" t="s">
        <v>106</v>
      </c>
      <c r="R1" s="45" t="s">
        <v>107</v>
      </c>
      <c r="S1" s="45" t="s">
        <v>108</v>
      </c>
      <c r="T1" s="45" t="s">
        <v>109</v>
      </c>
      <c r="U1" s="45" t="s">
        <v>111</v>
      </c>
      <c r="V1" s="45" t="s">
        <v>112</v>
      </c>
      <c r="W1" s="45" t="s">
        <v>154</v>
      </c>
      <c r="X1" s="45" t="s">
        <v>155</v>
      </c>
      <c r="Y1" s="45" t="s">
        <v>138</v>
      </c>
      <c r="AA1" s="36" t="s">
        <v>104</v>
      </c>
      <c r="AB1" s="36" t="s">
        <v>105</v>
      </c>
      <c r="AC1" s="36" t="s">
        <v>106</v>
      </c>
      <c r="AD1" s="36" t="s">
        <v>107</v>
      </c>
      <c r="AE1" s="36" t="s">
        <v>108</v>
      </c>
      <c r="AF1" s="36" t="s">
        <v>109</v>
      </c>
      <c r="AG1" s="36" t="s">
        <v>111</v>
      </c>
      <c r="AH1" s="36" t="s">
        <v>112</v>
      </c>
      <c r="AI1" s="36" t="s">
        <v>137</v>
      </c>
      <c r="AJ1" s="36" t="s">
        <v>114</v>
      </c>
      <c r="AK1" s="36" t="s">
        <v>138</v>
      </c>
    </row>
    <row r="2" spans="1:37" x14ac:dyDescent="0.25">
      <c r="A2" t="s">
        <v>156</v>
      </c>
      <c r="B2">
        <v>1</v>
      </c>
      <c r="C2">
        <v>5</v>
      </c>
      <c r="D2">
        <v>4</v>
      </c>
      <c r="E2">
        <v>4</v>
      </c>
      <c r="F2">
        <v>5</v>
      </c>
      <c r="G2">
        <v>4</v>
      </c>
      <c r="H2">
        <v>5</v>
      </c>
      <c r="I2">
        <v>4</v>
      </c>
      <c r="J2">
        <v>4</v>
      </c>
      <c r="K2">
        <v>4</v>
      </c>
      <c r="L2">
        <v>3</v>
      </c>
      <c r="O2">
        <v>1</v>
      </c>
      <c r="P2" s="23">
        <f>AVERAGE(C2:C10)</f>
        <v>4.5555555555555554</v>
      </c>
      <c r="Q2" s="23">
        <f t="shared" ref="Q2:Y2" si="0">AVERAGE(D2:D10)</f>
        <v>3.5555555555555554</v>
      </c>
      <c r="R2" s="23">
        <f t="shared" si="0"/>
        <v>3.3333333333333335</v>
      </c>
      <c r="S2" s="23">
        <f t="shared" si="0"/>
        <v>4.2222222222222223</v>
      </c>
      <c r="T2" s="23">
        <f t="shared" si="0"/>
        <v>4.1111111111111107</v>
      </c>
      <c r="U2" s="23">
        <f t="shared" si="0"/>
        <v>4.333333333333333</v>
      </c>
      <c r="V2" s="23">
        <f t="shared" si="0"/>
        <v>3.7222222222222223</v>
      </c>
      <c r="W2" s="23">
        <f t="shared" si="0"/>
        <v>3.8888888888888888</v>
      </c>
      <c r="X2" s="23">
        <f t="shared" si="0"/>
        <v>4</v>
      </c>
      <c r="Y2" s="23">
        <f t="shared" si="0"/>
        <v>3.6666666666666665</v>
      </c>
      <c r="AA2" s="37">
        <v>1</v>
      </c>
      <c r="AB2" s="37">
        <v>3</v>
      </c>
      <c r="AC2" s="37">
        <v>2</v>
      </c>
      <c r="AD2" s="37">
        <v>2</v>
      </c>
      <c r="AE2" s="37">
        <v>3</v>
      </c>
      <c r="AF2" s="37">
        <v>3</v>
      </c>
      <c r="AG2" s="37">
        <v>3</v>
      </c>
      <c r="AH2" s="37">
        <v>2</v>
      </c>
      <c r="AI2" s="37">
        <v>2</v>
      </c>
      <c r="AJ2" s="37">
        <v>3</v>
      </c>
      <c r="AK2" s="37">
        <v>2</v>
      </c>
    </row>
    <row r="3" spans="1:37" x14ac:dyDescent="0.25">
      <c r="A3" t="s">
        <v>157</v>
      </c>
      <c r="B3">
        <v>1</v>
      </c>
      <c r="C3">
        <v>5</v>
      </c>
      <c r="D3">
        <v>4</v>
      </c>
      <c r="E3">
        <v>3</v>
      </c>
      <c r="F3">
        <v>4</v>
      </c>
      <c r="G3">
        <v>3</v>
      </c>
      <c r="H3">
        <v>4</v>
      </c>
      <c r="I3">
        <v>3</v>
      </c>
      <c r="J3">
        <v>4</v>
      </c>
      <c r="K3">
        <v>3</v>
      </c>
      <c r="L3">
        <v>4</v>
      </c>
      <c r="O3">
        <v>2</v>
      </c>
      <c r="P3" s="23">
        <f>AVERAGE(C11:C20)</f>
        <v>5</v>
      </c>
      <c r="Q3" s="23">
        <f t="shared" ref="Q3:Y3" si="1">AVERAGE(D11:D20)</f>
        <v>4.2</v>
      </c>
      <c r="R3" s="23">
        <f t="shared" si="1"/>
        <v>4.25</v>
      </c>
      <c r="S3" s="23">
        <f t="shared" si="1"/>
        <v>4.8</v>
      </c>
      <c r="T3" s="23">
        <f t="shared" si="1"/>
        <v>4.5</v>
      </c>
      <c r="U3" s="23">
        <f t="shared" si="1"/>
        <v>4.9000000000000004</v>
      </c>
      <c r="V3" s="23">
        <f t="shared" si="1"/>
        <v>4.7</v>
      </c>
      <c r="W3" s="23">
        <f t="shared" si="1"/>
        <v>4.8499999999999996</v>
      </c>
      <c r="X3" s="23">
        <f t="shared" si="1"/>
        <v>5</v>
      </c>
      <c r="Y3" s="23">
        <f t="shared" si="1"/>
        <v>4.8</v>
      </c>
      <c r="AA3" s="37">
        <v>2</v>
      </c>
      <c r="AB3" s="37">
        <v>3</v>
      </c>
      <c r="AC3" s="37">
        <v>3</v>
      </c>
      <c r="AD3" s="37">
        <v>3</v>
      </c>
      <c r="AE3" s="37">
        <v>3</v>
      </c>
      <c r="AF3" s="37">
        <v>3</v>
      </c>
      <c r="AG3" s="37">
        <v>3</v>
      </c>
      <c r="AH3" s="37">
        <v>3</v>
      </c>
      <c r="AI3" s="37">
        <v>3</v>
      </c>
      <c r="AJ3" s="37">
        <v>3</v>
      </c>
      <c r="AK3" s="37">
        <v>3</v>
      </c>
    </row>
    <row r="4" spans="1:37" x14ac:dyDescent="0.25">
      <c r="A4" t="s">
        <v>140</v>
      </c>
      <c r="B4">
        <v>1</v>
      </c>
      <c r="C4">
        <v>5</v>
      </c>
      <c r="D4">
        <v>4</v>
      </c>
      <c r="E4">
        <v>3</v>
      </c>
      <c r="F4">
        <v>4</v>
      </c>
      <c r="G4">
        <v>4</v>
      </c>
      <c r="H4">
        <v>4</v>
      </c>
      <c r="I4">
        <v>3</v>
      </c>
      <c r="J4">
        <v>3</v>
      </c>
      <c r="K4">
        <v>4</v>
      </c>
      <c r="L4">
        <v>4</v>
      </c>
      <c r="O4">
        <v>3</v>
      </c>
      <c r="P4" s="23">
        <f>AVERAGE(C21:C30)</f>
        <v>4.7</v>
      </c>
      <c r="Q4" s="23">
        <f t="shared" ref="Q4:Y4" si="2">AVERAGE(D21:D30)</f>
        <v>3.7</v>
      </c>
      <c r="R4" s="23">
        <f t="shared" si="2"/>
        <v>4</v>
      </c>
      <c r="S4" s="23">
        <f t="shared" si="2"/>
        <v>4.4000000000000004</v>
      </c>
      <c r="T4" s="23">
        <f t="shared" si="2"/>
        <v>4.0999999999999996</v>
      </c>
      <c r="U4" s="23">
        <f t="shared" si="2"/>
        <v>4</v>
      </c>
      <c r="V4" s="23">
        <f t="shared" si="2"/>
        <v>4.2</v>
      </c>
      <c r="W4" s="23">
        <f t="shared" si="2"/>
        <v>4.4000000000000004</v>
      </c>
      <c r="X4" s="23">
        <f t="shared" si="2"/>
        <v>4.2</v>
      </c>
      <c r="Y4" s="23">
        <f t="shared" si="2"/>
        <v>4.2</v>
      </c>
      <c r="AA4" s="37">
        <v>3</v>
      </c>
      <c r="AB4" s="37">
        <v>3</v>
      </c>
      <c r="AC4" s="37">
        <v>2</v>
      </c>
      <c r="AD4" s="37">
        <v>3</v>
      </c>
      <c r="AE4" s="37">
        <v>3</v>
      </c>
      <c r="AF4" s="37">
        <v>3</v>
      </c>
      <c r="AG4" s="37">
        <v>3</v>
      </c>
      <c r="AH4" s="37">
        <v>3</v>
      </c>
      <c r="AI4" s="37">
        <v>3</v>
      </c>
      <c r="AJ4" s="37">
        <v>3</v>
      </c>
      <c r="AK4" s="37">
        <v>3</v>
      </c>
    </row>
    <row r="5" spans="1:37" x14ac:dyDescent="0.25">
      <c r="A5" t="s">
        <v>146</v>
      </c>
      <c r="B5">
        <v>1</v>
      </c>
      <c r="C5">
        <v>4</v>
      </c>
      <c r="D5">
        <v>3</v>
      </c>
      <c r="E5">
        <v>3</v>
      </c>
      <c r="F5">
        <v>4</v>
      </c>
      <c r="G5">
        <v>4</v>
      </c>
      <c r="H5">
        <v>4</v>
      </c>
      <c r="I5">
        <v>3</v>
      </c>
      <c r="J5">
        <v>4</v>
      </c>
      <c r="K5">
        <v>5</v>
      </c>
      <c r="L5">
        <v>4</v>
      </c>
      <c r="O5">
        <v>4</v>
      </c>
      <c r="P5" s="23">
        <f>AVERAGE(C31:C39)</f>
        <v>4.666666666666667</v>
      </c>
      <c r="Q5" s="23">
        <f t="shared" ref="Q5:Y5" si="3">AVERAGE(D31:D39)</f>
        <v>4</v>
      </c>
      <c r="R5" s="23">
        <f t="shared" si="3"/>
        <v>4</v>
      </c>
      <c r="S5" s="23">
        <f t="shared" si="3"/>
        <v>4.7777777777777777</v>
      </c>
      <c r="T5" s="23">
        <f t="shared" si="3"/>
        <v>4.2222222222222223</v>
      </c>
      <c r="U5" s="23">
        <f t="shared" si="3"/>
        <v>4.666666666666667</v>
      </c>
      <c r="V5" s="23">
        <f t="shared" si="3"/>
        <v>4.5555555555555554</v>
      </c>
      <c r="W5" s="23">
        <f t="shared" si="3"/>
        <v>4.333333333333333</v>
      </c>
      <c r="X5" s="23">
        <f t="shared" si="3"/>
        <v>3.7777777777777777</v>
      </c>
      <c r="Y5" s="23">
        <f t="shared" si="3"/>
        <v>3.5555555555555554</v>
      </c>
      <c r="AA5" s="37">
        <v>4</v>
      </c>
      <c r="AB5" s="37">
        <v>3</v>
      </c>
      <c r="AC5" s="37">
        <v>3</v>
      </c>
      <c r="AD5" s="37">
        <v>3</v>
      </c>
      <c r="AE5" s="37">
        <v>3</v>
      </c>
      <c r="AF5" s="37">
        <v>3</v>
      </c>
      <c r="AG5" s="37">
        <v>3</v>
      </c>
      <c r="AH5" s="37">
        <v>3</v>
      </c>
      <c r="AI5" s="37">
        <v>3</v>
      </c>
      <c r="AJ5" s="37">
        <v>2</v>
      </c>
      <c r="AK5" s="37">
        <v>2</v>
      </c>
    </row>
    <row r="6" spans="1:37" x14ac:dyDescent="0.25">
      <c r="A6" t="s">
        <v>159</v>
      </c>
      <c r="B6">
        <v>1</v>
      </c>
      <c r="C6">
        <v>5</v>
      </c>
      <c r="D6">
        <v>1</v>
      </c>
      <c r="E6">
        <v>3</v>
      </c>
      <c r="F6">
        <v>4</v>
      </c>
      <c r="G6">
        <v>5</v>
      </c>
      <c r="H6">
        <v>5</v>
      </c>
      <c r="I6">
        <v>4</v>
      </c>
      <c r="J6">
        <v>3</v>
      </c>
      <c r="K6">
        <v>3</v>
      </c>
      <c r="L6">
        <v>2</v>
      </c>
      <c r="O6">
        <v>5</v>
      </c>
      <c r="P6" s="23">
        <f>AVERAGE(C40:C48)</f>
        <v>4.666666666666667</v>
      </c>
      <c r="Q6" s="23">
        <f t="shared" ref="Q6:Y6" si="4">AVERAGE(D40:D48)</f>
        <v>4.166666666666667</v>
      </c>
      <c r="R6" s="23">
        <f t="shared" si="4"/>
        <v>3.9444444444444446</v>
      </c>
      <c r="S6" s="23">
        <f t="shared" si="4"/>
        <v>4.4444444444444446</v>
      </c>
      <c r="T6" s="23">
        <f t="shared" si="4"/>
        <v>4.2222222222222223</v>
      </c>
      <c r="U6" s="23">
        <f t="shared" si="4"/>
        <v>4.4444444444444446</v>
      </c>
      <c r="V6" s="23">
        <f t="shared" si="4"/>
        <v>4.2222222222222223</v>
      </c>
      <c r="W6" s="23">
        <f t="shared" si="4"/>
        <v>4.2222222222222223</v>
      </c>
      <c r="X6" s="23">
        <f t="shared" si="4"/>
        <v>4.1111111111111107</v>
      </c>
      <c r="Y6" s="23">
        <f t="shared" si="4"/>
        <v>4.2222222222222223</v>
      </c>
      <c r="AA6" s="37">
        <v>5</v>
      </c>
      <c r="AB6" s="37">
        <v>3</v>
      </c>
      <c r="AC6" s="37">
        <v>3</v>
      </c>
      <c r="AD6" s="37">
        <v>2</v>
      </c>
      <c r="AE6" s="37">
        <v>3</v>
      </c>
      <c r="AF6" s="37">
        <v>3</v>
      </c>
      <c r="AG6" s="37">
        <v>3</v>
      </c>
      <c r="AH6" s="37">
        <v>3</v>
      </c>
      <c r="AI6" s="37">
        <v>3</v>
      </c>
      <c r="AJ6" s="37">
        <v>3</v>
      </c>
      <c r="AK6" s="37">
        <v>3</v>
      </c>
    </row>
    <row r="7" spans="1:37" x14ac:dyDescent="0.25">
      <c r="A7" t="s">
        <v>144</v>
      </c>
      <c r="B7">
        <v>1</v>
      </c>
      <c r="C7">
        <v>4</v>
      </c>
      <c r="D7">
        <v>4</v>
      </c>
      <c r="E7">
        <v>4</v>
      </c>
      <c r="F7">
        <v>4</v>
      </c>
      <c r="G7">
        <v>5</v>
      </c>
      <c r="H7">
        <v>5</v>
      </c>
      <c r="I7">
        <v>4</v>
      </c>
      <c r="J7">
        <v>5</v>
      </c>
      <c r="K7">
        <v>5</v>
      </c>
      <c r="L7">
        <v>5</v>
      </c>
      <c r="O7">
        <v>6</v>
      </c>
      <c r="P7" s="23">
        <f>AVERAGE(C49:C57)</f>
        <v>4.4444444444444446</v>
      </c>
      <c r="Q7" s="23">
        <f t="shared" ref="Q7:Y7" si="5">AVERAGE(D49:D57)</f>
        <v>3.6666666666666665</v>
      </c>
      <c r="R7" s="23">
        <f t="shared" si="5"/>
        <v>3.5</v>
      </c>
      <c r="S7" s="23">
        <f t="shared" si="5"/>
        <v>4.2222222222222223</v>
      </c>
      <c r="T7" s="23">
        <f t="shared" si="5"/>
        <v>4.2222222222222223</v>
      </c>
      <c r="U7" s="23">
        <f t="shared" si="5"/>
        <v>4.5555555555555554</v>
      </c>
      <c r="V7" s="23">
        <f t="shared" si="5"/>
        <v>4.1111111111111107</v>
      </c>
      <c r="W7" s="23">
        <f t="shared" si="5"/>
        <v>3.6111111111111112</v>
      </c>
      <c r="X7" s="23">
        <f t="shared" si="5"/>
        <v>3.7777777777777777</v>
      </c>
      <c r="Y7" s="23">
        <f t="shared" si="5"/>
        <v>3.7222222222222223</v>
      </c>
      <c r="AA7" s="37">
        <v>6</v>
      </c>
      <c r="AB7" s="37">
        <v>3</v>
      </c>
      <c r="AC7" s="37">
        <v>2</v>
      </c>
      <c r="AD7" s="37">
        <v>2</v>
      </c>
      <c r="AE7" s="37">
        <v>3</v>
      </c>
      <c r="AF7" s="37">
        <v>3</v>
      </c>
      <c r="AG7" s="37">
        <v>3</v>
      </c>
      <c r="AH7" s="37">
        <v>3</v>
      </c>
      <c r="AI7" s="37">
        <v>2</v>
      </c>
      <c r="AJ7" s="37">
        <v>2</v>
      </c>
      <c r="AK7" s="37">
        <v>2</v>
      </c>
    </row>
    <row r="8" spans="1:37" x14ac:dyDescent="0.25">
      <c r="A8" t="s">
        <v>162</v>
      </c>
      <c r="B8">
        <v>1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5</v>
      </c>
      <c r="J8">
        <v>4</v>
      </c>
      <c r="K8">
        <v>4</v>
      </c>
      <c r="L8">
        <v>4</v>
      </c>
    </row>
    <row r="9" spans="1:37" x14ac:dyDescent="0.25">
      <c r="A9" t="s">
        <v>163</v>
      </c>
      <c r="B9">
        <v>1</v>
      </c>
      <c r="C9">
        <v>4</v>
      </c>
      <c r="D9">
        <v>3</v>
      </c>
      <c r="E9">
        <v>2</v>
      </c>
      <c r="F9">
        <v>4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</row>
    <row r="10" spans="1:37" x14ac:dyDescent="0.25">
      <c r="A10" t="s">
        <v>164</v>
      </c>
      <c r="B10">
        <v>1</v>
      </c>
      <c r="C10">
        <v>5</v>
      </c>
      <c r="D10">
        <v>5</v>
      </c>
      <c r="E10">
        <v>4</v>
      </c>
      <c r="F10">
        <v>5</v>
      </c>
      <c r="G10">
        <v>5</v>
      </c>
      <c r="H10">
        <v>5</v>
      </c>
      <c r="I10">
        <v>4.5</v>
      </c>
      <c r="J10">
        <v>5</v>
      </c>
      <c r="K10">
        <v>5</v>
      </c>
      <c r="L10">
        <v>4</v>
      </c>
    </row>
    <row r="11" spans="1:37" x14ac:dyDescent="0.25">
      <c r="A11" t="s">
        <v>156</v>
      </c>
      <c r="B11">
        <v>2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</row>
    <row r="12" spans="1:37" x14ac:dyDescent="0.25">
      <c r="A12" t="s">
        <v>157</v>
      </c>
      <c r="B12">
        <v>2</v>
      </c>
      <c r="C12">
        <v>5</v>
      </c>
      <c r="D12">
        <v>4</v>
      </c>
      <c r="E12">
        <v>4</v>
      </c>
      <c r="F12">
        <v>5</v>
      </c>
      <c r="G12">
        <v>5</v>
      </c>
      <c r="H12">
        <v>5</v>
      </c>
      <c r="I12">
        <v>4</v>
      </c>
      <c r="J12">
        <v>4</v>
      </c>
      <c r="K12">
        <v>5</v>
      </c>
      <c r="L12">
        <v>5</v>
      </c>
    </row>
    <row r="13" spans="1:37" x14ac:dyDescent="0.25">
      <c r="A13" t="s">
        <v>140</v>
      </c>
      <c r="B13">
        <v>2</v>
      </c>
      <c r="C13">
        <v>5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5</v>
      </c>
      <c r="K13">
        <v>5</v>
      </c>
      <c r="L13">
        <v>4</v>
      </c>
    </row>
    <row r="14" spans="1:37" x14ac:dyDescent="0.25">
      <c r="A14" t="s">
        <v>146</v>
      </c>
      <c r="B14">
        <v>2</v>
      </c>
      <c r="C14">
        <v>5</v>
      </c>
      <c r="D14">
        <v>4</v>
      </c>
      <c r="E14">
        <v>5</v>
      </c>
      <c r="F14">
        <v>5</v>
      </c>
      <c r="G14">
        <v>4</v>
      </c>
      <c r="H14">
        <v>5</v>
      </c>
      <c r="I14">
        <v>5</v>
      </c>
      <c r="J14">
        <v>5</v>
      </c>
      <c r="K14">
        <v>5</v>
      </c>
      <c r="L14">
        <v>5</v>
      </c>
    </row>
    <row r="15" spans="1:37" x14ac:dyDescent="0.25">
      <c r="A15" t="s">
        <v>159</v>
      </c>
      <c r="B15">
        <v>2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</row>
    <row r="16" spans="1:37" x14ac:dyDescent="0.25">
      <c r="A16" t="s">
        <v>144</v>
      </c>
      <c r="B16">
        <v>2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</row>
    <row r="17" spans="1:12" x14ac:dyDescent="0.25">
      <c r="A17" t="s">
        <v>160</v>
      </c>
      <c r="B17">
        <v>2</v>
      </c>
      <c r="C17">
        <v>5</v>
      </c>
      <c r="D17">
        <v>4</v>
      </c>
      <c r="E17">
        <v>4</v>
      </c>
      <c r="F17">
        <v>4</v>
      </c>
      <c r="G17">
        <v>5</v>
      </c>
      <c r="H17">
        <v>5</v>
      </c>
      <c r="I17">
        <v>5</v>
      </c>
      <c r="J17">
        <v>5</v>
      </c>
      <c r="K17">
        <v>5</v>
      </c>
      <c r="L17">
        <v>4</v>
      </c>
    </row>
    <row r="18" spans="1:12" x14ac:dyDescent="0.25">
      <c r="A18" t="s">
        <v>162</v>
      </c>
      <c r="B18">
        <v>2</v>
      </c>
      <c r="C18">
        <v>5</v>
      </c>
      <c r="D18">
        <v>3</v>
      </c>
      <c r="E18">
        <v>3</v>
      </c>
      <c r="F18">
        <v>5</v>
      </c>
      <c r="G18">
        <v>4</v>
      </c>
      <c r="H18">
        <v>5</v>
      </c>
      <c r="I18">
        <v>4</v>
      </c>
      <c r="J18">
        <v>5</v>
      </c>
      <c r="K18">
        <v>5</v>
      </c>
      <c r="L18">
        <v>5</v>
      </c>
    </row>
    <row r="19" spans="1:12" x14ac:dyDescent="0.25">
      <c r="A19" t="s">
        <v>163</v>
      </c>
      <c r="B19">
        <v>2</v>
      </c>
      <c r="C19">
        <v>5</v>
      </c>
      <c r="D19">
        <v>3</v>
      </c>
      <c r="E19">
        <v>3</v>
      </c>
      <c r="F19">
        <v>5</v>
      </c>
      <c r="G19">
        <v>3</v>
      </c>
      <c r="H19">
        <v>5</v>
      </c>
      <c r="I19">
        <v>5</v>
      </c>
      <c r="J19">
        <v>5</v>
      </c>
      <c r="K19">
        <v>5</v>
      </c>
      <c r="L19">
        <v>5</v>
      </c>
    </row>
    <row r="20" spans="1:12" x14ac:dyDescent="0.25">
      <c r="A20" t="s">
        <v>164</v>
      </c>
      <c r="B20">
        <v>2</v>
      </c>
      <c r="C20">
        <v>5</v>
      </c>
      <c r="D20">
        <v>5</v>
      </c>
      <c r="E20">
        <v>4.5</v>
      </c>
      <c r="F20">
        <v>5</v>
      </c>
      <c r="G20">
        <v>5</v>
      </c>
      <c r="H20">
        <v>5</v>
      </c>
      <c r="I20">
        <v>5</v>
      </c>
      <c r="J20">
        <v>4.5</v>
      </c>
      <c r="K20">
        <v>5</v>
      </c>
      <c r="L20">
        <v>5</v>
      </c>
    </row>
    <row r="21" spans="1:12" x14ac:dyDescent="0.25">
      <c r="A21" t="s">
        <v>156</v>
      </c>
      <c r="B21">
        <v>3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4</v>
      </c>
      <c r="L21">
        <v>5</v>
      </c>
    </row>
    <row r="22" spans="1:12" x14ac:dyDescent="0.25">
      <c r="A22" t="s">
        <v>117</v>
      </c>
      <c r="B22">
        <v>3</v>
      </c>
      <c r="C22">
        <v>4</v>
      </c>
      <c r="D22">
        <v>3</v>
      </c>
      <c r="E22">
        <v>3</v>
      </c>
      <c r="F22">
        <v>4</v>
      </c>
      <c r="G22">
        <v>3</v>
      </c>
      <c r="H22">
        <v>4</v>
      </c>
      <c r="I22">
        <v>3</v>
      </c>
      <c r="J22">
        <v>3</v>
      </c>
      <c r="K22">
        <v>5</v>
      </c>
      <c r="L22">
        <v>4</v>
      </c>
    </row>
    <row r="23" spans="1:12" x14ac:dyDescent="0.25">
      <c r="A23" t="s">
        <v>157</v>
      </c>
      <c r="B23">
        <v>3</v>
      </c>
      <c r="C23">
        <v>5</v>
      </c>
      <c r="D23">
        <v>3</v>
      </c>
      <c r="E23">
        <v>4</v>
      </c>
      <c r="F23">
        <v>5</v>
      </c>
      <c r="G23">
        <v>5</v>
      </c>
      <c r="H23">
        <v>4</v>
      </c>
      <c r="I23">
        <v>5</v>
      </c>
      <c r="J23">
        <v>5</v>
      </c>
      <c r="K23">
        <v>4</v>
      </c>
      <c r="L23">
        <v>5</v>
      </c>
    </row>
    <row r="24" spans="1:12" x14ac:dyDescent="0.25">
      <c r="A24" t="s">
        <v>146</v>
      </c>
      <c r="B24">
        <v>3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4</v>
      </c>
      <c r="L24">
        <v>3</v>
      </c>
    </row>
    <row r="25" spans="1:12" x14ac:dyDescent="0.25">
      <c r="A25" t="s">
        <v>158</v>
      </c>
      <c r="B25">
        <v>3</v>
      </c>
      <c r="C25">
        <v>5</v>
      </c>
      <c r="D25">
        <v>4</v>
      </c>
      <c r="E25">
        <v>4</v>
      </c>
      <c r="F25">
        <v>5</v>
      </c>
      <c r="G25">
        <v>4</v>
      </c>
      <c r="H25">
        <v>5</v>
      </c>
      <c r="I25">
        <v>5</v>
      </c>
      <c r="J25">
        <v>5</v>
      </c>
      <c r="K25">
        <v>5</v>
      </c>
      <c r="L25">
        <v>5</v>
      </c>
    </row>
    <row r="26" spans="1:12" x14ac:dyDescent="0.25">
      <c r="A26" t="s">
        <v>159</v>
      </c>
      <c r="B26">
        <v>3</v>
      </c>
      <c r="C26">
        <v>5</v>
      </c>
      <c r="D26">
        <v>4</v>
      </c>
      <c r="E26">
        <v>4</v>
      </c>
      <c r="F26">
        <v>5</v>
      </c>
      <c r="G26">
        <v>5</v>
      </c>
      <c r="H26">
        <v>5</v>
      </c>
      <c r="I26">
        <v>5</v>
      </c>
      <c r="J26">
        <v>5</v>
      </c>
      <c r="K26">
        <v>4</v>
      </c>
      <c r="L26">
        <v>5</v>
      </c>
    </row>
    <row r="27" spans="1:12" x14ac:dyDescent="0.25">
      <c r="A27" t="s">
        <v>160</v>
      </c>
      <c r="B27">
        <v>3</v>
      </c>
      <c r="C27">
        <v>5</v>
      </c>
      <c r="D27">
        <v>4</v>
      </c>
      <c r="E27">
        <v>3</v>
      </c>
      <c r="F27">
        <v>4</v>
      </c>
      <c r="G27">
        <v>5</v>
      </c>
      <c r="H27">
        <v>4</v>
      </c>
      <c r="I27">
        <v>4</v>
      </c>
      <c r="J27">
        <v>4</v>
      </c>
      <c r="K27">
        <v>5</v>
      </c>
      <c r="L27">
        <v>5</v>
      </c>
    </row>
    <row r="28" spans="1:12" x14ac:dyDescent="0.25">
      <c r="A28" t="s">
        <v>161</v>
      </c>
      <c r="B28">
        <v>3</v>
      </c>
      <c r="C28">
        <v>4</v>
      </c>
      <c r="D28">
        <v>4</v>
      </c>
      <c r="E28">
        <v>5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</row>
    <row r="29" spans="1:12" x14ac:dyDescent="0.25">
      <c r="A29" t="s">
        <v>162</v>
      </c>
      <c r="B29">
        <v>3</v>
      </c>
      <c r="C29">
        <v>5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</row>
    <row r="30" spans="1:12" x14ac:dyDescent="0.25">
      <c r="A30" t="s">
        <v>139</v>
      </c>
      <c r="B30">
        <v>3</v>
      </c>
      <c r="C30">
        <v>5</v>
      </c>
      <c r="D30">
        <v>3</v>
      </c>
      <c r="E30">
        <v>5</v>
      </c>
      <c r="F30">
        <v>5</v>
      </c>
      <c r="G30">
        <v>3</v>
      </c>
      <c r="H30">
        <v>2</v>
      </c>
      <c r="I30">
        <v>4</v>
      </c>
      <c r="J30">
        <v>5</v>
      </c>
      <c r="K30">
        <v>3</v>
      </c>
      <c r="L30">
        <v>2</v>
      </c>
    </row>
    <row r="31" spans="1:12" x14ac:dyDescent="0.25">
      <c r="A31" t="s">
        <v>156</v>
      </c>
      <c r="B31">
        <v>4</v>
      </c>
      <c r="C31">
        <v>5</v>
      </c>
      <c r="D31">
        <v>4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4</v>
      </c>
      <c r="L31">
        <v>4</v>
      </c>
    </row>
    <row r="32" spans="1:12" x14ac:dyDescent="0.25">
      <c r="A32" t="s">
        <v>117</v>
      </c>
      <c r="B32">
        <v>4</v>
      </c>
      <c r="C32">
        <v>4</v>
      </c>
      <c r="D32">
        <v>3</v>
      </c>
      <c r="E32">
        <v>4</v>
      </c>
      <c r="F32">
        <v>4</v>
      </c>
      <c r="G32">
        <v>4</v>
      </c>
      <c r="H32">
        <v>4</v>
      </c>
      <c r="I32">
        <v>4</v>
      </c>
      <c r="J32">
        <v>3</v>
      </c>
      <c r="K32">
        <v>3</v>
      </c>
      <c r="L32">
        <v>3</v>
      </c>
    </row>
    <row r="33" spans="1:12" x14ac:dyDescent="0.25">
      <c r="A33" t="s">
        <v>157</v>
      </c>
      <c r="B33">
        <v>4</v>
      </c>
      <c r="C33">
        <v>5</v>
      </c>
      <c r="D33">
        <v>4</v>
      </c>
      <c r="E33">
        <v>4</v>
      </c>
      <c r="F33">
        <v>5</v>
      </c>
      <c r="G33">
        <v>5</v>
      </c>
      <c r="H33">
        <v>4</v>
      </c>
      <c r="I33">
        <v>4</v>
      </c>
      <c r="J33">
        <v>4</v>
      </c>
      <c r="K33">
        <v>3</v>
      </c>
      <c r="L33">
        <v>4</v>
      </c>
    </row>
    <row r="34" spans="1:12" x14ac:dyDescent="0.25">
      <c r="A34" t="s">
        <v>146</v>
      </c>
      <c r="B34">
        <v>4</v>
      </c>
      <c r="C34">
        <v>5</v>
      </c>
      <c r="D34">
        <v>4</v>
      </c>
      <c r="E34">
        <v>4</v>
      </c>
      <c r="F34">
        <v>5</v>
      </c>
      <c r="G34">
        <v>4</v>
      </c>
      <c r="H34">
        <v>5</v>
      </c>
      <c r="I34">
        <v>4</v>
      </c>
      <c r="J34">
        <v>4</v>
      </c>
      <c r="K34">
        <v>5</v>
      </c>
      <c r="L34">
        <v>4</v>
      </c>
    </row>
    <row r="35" spans="1:12" x14ac:dyDescent="0.25">
      <c r="A35" t="s">
        <v>158</v>
      </c>
      <c r="B35">
        <v>4</v>
      </c>
      <c r="C35">
        <v>5</v>
      </c>
      <c r="D35">
        <v>4</v>
      </c>
      <c r="E35">
        <v>3</v>
      </c>
      <c r="F35">
        <v>4</v>
      </c>
      <c r="G35">
        <v>4</v>
      </c>
      <c r="H35">
        <v>5</v>
      </c>
      <c r="I35">
        <v>5</v>
      </c>
      <c r="J35">
        <v>4</v>
      </c>
      <c r="K35">
        <v>4</v>
      </c>
      <c r="L35">
        <v>4</v>
      </c>
    </row>
    <row r="36" spans="1:12" x14ac:dyDescent="0.25">
      <c r="A36" t="s">
        <v>159</v>
      </c>
      <c r="B36">
        <v>4</v>
      </c>
      <c r="C36">
        <v>5</v>
      </c>
      <c r="D36">
        <v>4</v>
      </c>
      <c r="E36">
        <v>5</v>
      </c>
      <c r="F36">
        <v>5</v>
      </c>
      <c r="G36">
        <v>3</v>
      </c>
      <c r="H36">
        <v>5</v>
      </c>
      <c r="I36">
        <v>5</v>
      </c>
      <c r="J36">
        <v>4</v>
      </c>
      <c r="K36">
        <v>3</v>
      </c>
      <c r="L36">
        <v>3</v>
      </c>
    </row>
    <row r="37" spans="1:12" x14ac:dyDescent="0.25">
      <c r="A37" t="s">
        <v>161</v>
      </c>
      <c r="B37">
        <v>4</v>
      </c>
      <c r="C37">
        <v>4</v>
      </c>
      <c r="D37">
        <v>5</v>
      </c>
      <c r="E37">
        <v>4</v>
      </c>
      <c r="F37">
        <v>5</v>
      </c>
      <c r="G37">
        <v>5</v>
      </c>
      <c r="H37">
        <v>4</v>
      </c>
      <c r="I37">
        <v>4</v>
      </c>
      <c r="J37">
        <v>5</v>
      </c>
      <c r="K37">
        <v>5</v>
      </c>
      <c r="L37">
        <v>5</v>
      </c>
    </row>
    <row r="38" spans="1:12" x14ac:dyDescent="0.25">
      <c r="A38" t="s">
        <v>162</v>
      </c>
      <c r="B38">
        <v>4</v>
      </c>
      <c r="C38">
        <v>5</v>
      </c>
      <c r="D38">
        <v>4</v>
      </c>
      <c r="E38">
        <v>4</v>
      </c>
      <c r="F38">
        <v>5</v>
      </c>
      <c r="G38">
        <v>4</v>
      </c>
      <c r="H38">
        <v>5</v>
      </c>
      <c r="I38">
        <v>5</v>
      </c>
      <c r="J38">
        <v>5</v>
      </c>
      <c r="K38">
        <v>4</v>
      </c>
      <c r="L38">
        <v>4</v>
      </c>
    </row>
    <row r="39" spans="1:12" x14ac:dyDescent="0.25">
      <c r="A39" t="s">
        <v>139</v>
      </c>
      <c r="B39">
        <v>4</v>
      </c>
      <c r="C39">
        <v>4</v>
      </c>
      <c r="D39">
        <v>4</v>
      </c>
      <c r="E39">
        <v>3</v>
      </c>
      <c r="F39">
        <v>5</v>
      </c>
      <c r="G39">
        <v>4</v>
      </c>
      <c r="H39">
        <v>5</v>
      </c>
      <c r="I39">
        <v>5</v>
      </c>
      <c r="J39">
        <v>5</v>
      </c>
      <c r="K39">
        <v>3</v>
      </c>
      <c r="L39">
        <v>1</v>
      </c>
    </row>
    <row r="40" spans="1:12" x14ac:dyDescent="0.25">
      <c r="A40" t="s">
        <v>117</v>
      </c>
      <c r="B40">
        <v>5</v>
      </c>
      <c r="C40">
        <v>5</v>
      </c>
      <c r="D40">
        <v>4</v>
      </c>
      <c r="E40">
        <v>4</v>
      </c>
      <c r="F40">
        <v>4</v>
      </c>
      <c r="G40">
        <v>3</v>
      </c>
      <c r="H40">
        <v>4</v>
      </c>
      <c r="I40">
        <v>3</v>
      </c>
      <c r="J40">
        <v>3</v>
      </c>
      <c r="K40">
        <v>5</v>
      </c>
      <c r="L40">
        <v>4</v>
      </c>
    </row>
    <row r="41" spans="1:12" x14ac:dyDescent="0.25">
      <c r="A41" t="s">
        <v>140</v>
      </c>
      <c r="B41">
        <v>5</v>
      </c>
      <c r="C41">
        <v>4</v>
      </c>
      <c r="D41">
        <v>3</v>
      </c>
      <c r="E41">
        <v>3</v>
      </c>
      <c r="F41">
        <v>4</v>
      </c>
      <c r="G41">
        <v>3</v>
      </c>
      <c r="H41">
        <v>3</v>
      </c>
      <c r="I41">
        <v>4</v>
      </c>
      <c r="J41">
        <v>4</v>
      </c>
      <c r="K41">
        <v>3</v>
      </c>
      <c r="L41">
        <v>3</v>
      </c>
    </row>
    <row r="42" spans="1:12" x14ac:dyDescent="0.25">
      <c r="A42" t="s">
        <v>158</v>
      </c>
      <c r="B42">
        <v>5</v>
      </c>
      <c r="C42">
        <v>5</v>
      </c>
      <c r="D42">
        <v>5</v>
      </c>
      <c r="E42">
        <v>4</v>
      </c>
      <c r="F42">
        <v>5</v>
      </c>
      <c r="G42">
        <v>5</v>
      </c>
      <c r="H42">
        <v>5</v>
      </c>
      <c r="I42">
        <v>4</v>
      </c>
      <c r="J42">
        <v>5</v>
      </c>
      <c r="K42">
        <v>5</v>
      </c>
      <c r="L42">
        <v>5</v>
      </c>
    </row>
    <row r="43" spans="1:12" x14ac:dyDescent="0.25">
      <c r="A43" t="s">
        <v>144</v>
      </c>
      <c r="B43">
        <v>5</v>
      </c>
      <c r="C43">
        <v>5</v>
      </c>
      <c r="D43">
        <v>4</v>
      </c>
      <c r="E43">
        <v>4</v>
      </c>
      <c r="F43">
        <v>4</v>
      </c>
      <c r="G43">
        <v>5</v>
      </c>
      <c r="H43">
        <v>5</v>
      </c>
      <c r="I43">
        <v>5</v>
      </c>
      <c r="J43">
        <v>5</v>
      </c>
      <c r="K43">
        <v>4</v>
      </c>
      <c r="L43">
        <v>4</v>
      </c>
    </row>
    <row r="44" spans="1:12" x14ac:dyDescent="0.25">
      <c r="A44" t="s">
        <v>160</v>
      </c>
      <c r="B44">
        <v>5</v>
      </c>
      <c r="C44">
        <v>5</v>
      </c>
      <c r="D44">
        <v>4</v>
      </c>
      <c r="E44">
        <v>4</v>
      </c>
      <c r="F44">
        <v>5</v>
      </c>
      <c r="G44">
        <v>4</v>
      </c>
      <c r="H44">
        <v>5</v>
      </c>
      <c r="I44">
        <v>5</v>
      </c>
      <c r="J44">
        <v>4</v>
      </c>
      <c r="K44">
        <v>4</v>
      </c>
      <c r="L44">
        <v>4</v>
      </c>
    </row>
    <row r="45" spans="1:12" x14ac:dyDescent="0.25">
      <c r="A45" t="s">
        <v>161</v>
      </c>
      <c r="B45">
        <v>5</v>
      </c>
      <c r="C45">
        <v>4</v>
      </c>
      <c r="D45">
        <v>4</v>
      </c>
      <c r="E45">
        <v>4</v>
      </c>
      <c r="F45">
        <v>4</v>
      </c>
      <c r="G45">
        <v>5</v>
      </c>
      <c r="H45">
        <v>5</v>
      </c>
      <c r="I45">
        <v>5</v>
      </c>
      <c r="J45">
        <v>4</v>
      </c>
      <c r="K45">
        <v>4</v>
      </c>
      <c r="L45">
        <v>4</v>
      </c>
    </row>
    <row r="46" spans="1:12" x14ac:dyDescent="0.25">
      <c r="A46" t="s">
        <v>163</v>
      </c>
      <c r="B46">
        <v>5</v>
      </c>
      <c r="C46">
        <v>4</v>
      </c>
      <c r="D46">
        <v>4</v>
      </c>
      <c r="E46">
        <v>3</v>
      </c>
      <c r="F46">
        <v>4</v>
      </c>
      <c r="G46">
        <v>4</v>
      </c>
      <c r="H46">
        <v>4</v>
      </c>
      <c r="I46">
        <v>3</v>
      </c>
      <c r="J46">
        <v>4</v>
      </c>
      <c r="K46">
        <v>4</v>
      </c>
      <c r="L46">
        <v>4</v>
      </c>
    </row>
    <row r="47" spans="1:12" x14ac:dyDescent="0.25">
      <c r="A47" t="s">
        <v>164</v>
      </c>
      <c r="B47">
        <v>5</v>
      </c>
      <c r="C47">
        <v>5</v>
      </c>
      <c r="D47">
        <v>4.5</v>
      </c>
      <c r="E47">
        <v>4.5</v>
      </c>
      <c r="F47">
        <v>5</v>
      </c>
      <c r="G47">
        <v>5</v>
      </c>
      <c r="H47">
        <v>5</v>
      </c>
      <c r="I47">
        <v>5</v>
      </c>
      <c r="J47">
        <v>4</v>
      </c>
      <c r="K47">
        <v>5</v>
      </c>
      <c r="L47">
        <v>5</v>
      </c>
    </row>
    <row r="48" spans="1:12" x14ac:dyDescent="0.25">
      <c r="A48" t="s">
        <v>139</v>
      </c>
      <c r="B48">
        <v>5</v>
      </c>
      <c r="C48">
        <v>5</v>
      </c>
      <c r="D48">
        <v>5</v>
      </c>
      <c r="E48">
        <v>5</v>
      </c>
      <c r="F48">
        <v>5</v>
      </c>
      <c r="G48">
        <v>4</v>
      </c>
      <c r="H48">
        <v>4</v>
      </c>
      <c r="I48">
        <v>4</v>
      </c>
      <c r="J48">
        <v>5</v>
      </c>
      <c r="K48">
        <v>3</v>
      </c>
      <c r="L48">
        <v>5</v>
      </c>
    </row>
    <row r="49" spans="1:12" x14ac:dyDescent="0.25">
      <c r="A49" t="s">
        <v>117</v>
      </c>
      <c r="B49">
        <v>6</v>
      </c>
      <c r="C49">
        <v>2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4</v>
      </c>
      <c r="L49">
        <v>3</v>
      </c>
    </row>
    <row r="50" spans="1:12" x14ac:dyDescent="0.25">
      <c r="A50" t="s">
        <v>140</v>
      </c>
      <c r="B50">
        <v>6</v>
      </c>
      <c r="C50">
        <v>5</v>
      </c>
      <c r="D50">
        <v>3</v>
      </c>
      <c r="E50">
        <v>3</v>
      </c>
      <c r="F50">
        <v>4</v>
      </c>
      <c r="G50">
        <v>3</v>
      </c>
      <c r="H50">
        <v>5</v>
      </c>
      <c r="I50">
        <v>3</v>
      </c>
      <c r="J50">
        <v>3</v>
      </c>
      <c r="K50">
        <v>3</v>
      </c>
      <c r="L50">
        <v>3</v>
      </c>
    </row>
    <row r="51" spans="1:12" x14ac:dyDescent="0.25">
      <c r="A51" t="s">
        <v>158</v>
      </c>
      <c r="B51">
        <v>6</v>
      </c>
      <c r="C51">
        <v>5</v>
      </c>
      <c r="D51">
        <v>4</v>
      </c>
      <c r="E51">
        <v>3</v>
      </c>
      <c r="F51">
        <v>4</v>
      </c>
      <c r="G51">
        <v>3</v>
      </c>
      <c r="H51">
        <v>5</v>
      </c>
      <c r="I51">
        <v>4</v>
      </c>
      <c r="J51">
        <v>4</v>
      </c>
      <c r="K51">
        <v>5</v>
      </c>
      <c r="L51">
        <v>4</v>
      </c>
    </row>
    <row r="52" spans="1:12" x14ac:dyDescent="0.25">
      <c r="A52" t="s">
        <v>144</v>
      </c>
      <c r="B52">
        <v>6</v>
      </c>
      <c r="C52">
        <v>5</v>
      </c>
      <c r="D52">
        <v>4</v>
      </c>
      <c r="E52">
        <v>5</v>
      </c>
      <c r="F52">
        <v>4</v>
      </c>
      <c r="G52">
        <v>5</v>
      </c>
      <c r="H52">
        <v>5</v>
      </c>
      <c r="I52">
        <v>5</v>
      </c>
      <c r="J52">
        <v>5</v>
      </c>
      <c r="K52">
        <v>4</v>
      </c>
      <c r="L52">
        <v>5</v>
      </c>
    </row>
    <row r="53" spans="1:12" x14ac:dyDescent="0.25">
      <c r="A53" t="s">
        <v>160</v>
      </c>
      <c r="B53">
        <v>6</v>
      </c>
      <c r="C53">
        <v>4</v>
      </c>
      <c r="D53">
        <v>3</v>
      </c>
      <c r="E53">
        <v>3</v>
      </c>
      <c r="F53">
        <v>5</v>
      </c>
      <c r="G53">
        <v>4</v>
      </c>
      <c r="H53">
        <v>5</v>
      </c>
      <c r="I53">
        <v>4</v>
      </c>
      <c r="J53">
        <v>4</v>
      </c>
      <c r="K53">
        <v>4</v>
      </c>
      <c r="L53">
        <v>5</v>
      </c>
    </row>
    <row r="54" spans="1:12" x14ac:dyDescent="0.25">
      <c r="A54" t="s">
        <v>161</v>
      </c>
      <c r="B54">
        <v>6</v>
      </c>
      <c r="C54">
        <v>5</v>
      </c>
      <c r="D54">
        <v>4</v>
      </c>
      <c r="E54">
        <v>4</v>
      </c>
      <c r="F54">
        <v>4</v>
      </c>
      <c r="G54">
        <v>5</v>
      </c>
      <c r="H54">
        <v>5</v>
      </c>
      <c r="I54">
        <v>5</v>
      </c>
      <c r="J54">
        <v>4</v>
      </c>
      <c r="K54">
        <v>4</v>
      </c>
      <c r="L54">
        <v>3</v>
      </c>
    </row>
    <row r="55" spans="1:12" x14ac:dyDescent="0.25">
      <c r="A55" t="s">
        <v>163</v>
      </c>
      <c r="B55">
        <v>6</v>
      </c>
      <c r="C55">
        <v>4</v>
      </c>
      <c r="D55">
        <v>5</v>
      </c>
      <c r="E55">
        <v>4</v>
      </c>
      <c r="F55">
        <v>4</v>
      </c>
      <c r="G55">
        <v>5</v>
      </c>
      <c r="H55">
        <v>3</v>
      </c>
      <c r="I55">
        <v>4</v>
      </c>
      <c r="J55">
        <v>3</v>
      </c>
      <c r="K55">
        <v>3</v>
      </c>
      <c r="L55">
        <v>4</v>
      </c>
    </row>
    <row r="56" spans="1:12" x14ac:dyDescent="0.25">
      <c r="A56" t="s">
        <v>164</v>
      </c>
      <c r="B56">
        <v>6</v>
      </c>
      <c r="C56">
        <v>5</v>
      </c>
      <c r="D56">
        <v>4</v>
      </c>
      <c r="E56">
        <v>4.5</v>
      </c>
      <c r="F56">
        <v>5</v>
      </c>
      <c r="G56">
        <v>5</v>
      </c>
      <c r="H56">
        <v>5</v>
      </c>
      <c r="I56">
        <v>5</v>
      </c>
      <c r="J56">
        <v>3.5</v>
      </c>
      <c r="K56">
        <v>4</v>
      </c>
      <c r="L56">
        <v>4.5</v>
      </c>
    </row>
    <row r="57" spans="1:12" x14ac:dyDescent="0.25">
      <c r="A57" t="s">
        <v>139</v>
      </c>
      <c r="B57">
        <v>6</v>
      </c>
      <c r="C57">
        <v>5</v>
      </c>
      <c r="D57">
        <v>3</v>
      </c>
      <c r="E57">
        <v>2</v>
      </c>
      <c r="F57">
        <v>5</v>
      </c>
      <c r="G57">
        <v>5</v>
      </c>
      <c r="H57">
        <v>5</v>
      </c>
      <c r="I57">
        <v>4</v>
      </c>
      <c r="J57">
        <v>3</v>
      </c>
      <c r="K57">
        <v>3</v>
      </c>
      <c r="L57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1CF0-8F8F-4505-B0C8-9ED2AADFAF49}">
  <dimension ref="A1:S130"/>
  <sheetViews>
    <sheetView topLeftCell="A15" zoomScale="110" zoomScaleNormal="110" workbookViewId="0">
      <selection activeCell="C29" sqref="C29"/>
    </sheetView>
  </sheetViews>
  <sheetFormatPr defaultRowHeight="15" x14ac:dyDescent="0.25"/>
  <cols>
    <col min="2" max="2" width="71.7109375" customWidth="1"/>
    <col min="3" max="3" width="11.5703125" customWidth="1"/>
    <col min="8" max="8" width="9.5703125" bestFit="1" customWidth="1"/>
    <col min="14" max="14" width="10.42578125" customWidth="1"/>
  </cols>
  <sheetData>
    <row r="1" spans="1:17" x14ac:dyDescent="0.25">
      <c r="B1" s="1" t="s">
        <v>32</v>
      </c>
      <c r="J1" t="s">
        <v>29</v>
      </c>
    </row>
    <row r="2" spans="1:17" x14ac:dyDescent="0.25">
      <c r="B2" s="1" t="s">
        <v>77</v>
      </c>
      <c r="J2" t="s">
        <v>30</v>
      </c>
      <c r="Q2" t="s">
        <v>31</v>
      </c>
    </row>
    <row r="3" spans="1:17" x14ac:dyDescent="0.25">
      <c r="B3" s="1"/>
      <c r="J3" s="38" t="s">
        <v>14</v>
      </c>
      <c r="Q3" s="38" t="s">
        <v>23</v>
      </c>
    </row>
    <row r="4" spans="1:17" x14ac:dyDescent="0.25">
      <c r="B4" s="1"/>
      <c r="J4" s="38" t="s">
        <v>15</v>
      </c>
      <c r="Q4" s="38" t="s">
        <v>24</v>
      </c>
    </row>
    <row r="5" spans="1:17" x14ac:dyDescent="0.25">
      <c r="B5" t="s">
        <v>12</v>
      </c>
      <c r="J5" t="s">
        <v>16</v>
      </c>
      <c r="Q5" s="38" t="s">
        <v>25</v>
      </c>
    </row>
    <row r="6" spans="1:17" x14ac:dyDescent="0.25">
      <c r="B6" t="s">
        <v>13</v>
      </c>
      <c r="J6" s="38" t="s">
        <v>17</v>
      </c>
      <c r="Q6" s="46" t="s">
        <v>26</v>
      </c>
    </row>
    <row r="7" spans="1:17" x14ac:dyDescent="0.25">
      <c r="J7" t="s">
        <v>18</v>
      </c>
      <c r="Q7" s="38" t="s">
        <v>27</v>
      </c>
    </row>
    <row r="8" spans="1:17" x14ac:dyDescent="0.25">
      <c r="J8" s="38" t="s">
        <v>19</v>
      </c>
      <c r="Q8" s="38" t="s">
        <v>28</v>
      </c>
    </row>
    <row r="9" spans="1:17" x14ac:dyDescent="0.25">
      <c r="J9" s="46" t="s">
        <v>20</v>
      </c>
    </row>
    <row r="10" spans="1:17" x14ac:dyDescent="0.25">
      <c r="B10" s="3" t="s">
        <v>8</v>
      </c>
      <c r="C10" s="3"/>
      <c r="D10" s="3"/>
      <c r="J10" s="38" t="s">
        <v>21</v>
      </c>
    </row>
    <row r="11" spans="1:17" x14ac:dyDescent="0.25">
      <c r="B11" s="3">
        <v>1</v>
      </c>
      <c r="C11" s="3" t="s">
        <v>0</v>
      </c>
      <c r="D11" s="3"/>
      <c r="E11" t="s">
        <v>135</v>
      </c>
      <c r="J11" t="s">
        <v>22</v>
      </c>
    </row>
    <row r="12" spans="1:17" x14ac:dyDescent="0.25">
      <c r="B12" s="3">
        <v>2</v>
      </c>
      <c r="C12" s="3" t="s">
        <v>1</v>
      </c>
      <c r="D12" s="3"/>
      <c r="E12" t="s">
        <v>134</v>
      </c>
    </row>
    <row r="13" spans="1:17" x14ac:dyDescent="0.25">
      <c r="B13" s="3">
        <v>3</v>
      </c>
      <c r="C13" s="3" t="s">
        <v>2</v>
      </c>
      <c r="D13" s="3"/>
      <c r="E13" t="s">
        <v>136</v>
      </c>
    </row>
    <row r="14" spans="1:17" x14ac:dyDescent="0.25">
      <c r="B14" s="3"/>
      <c r="C14" s="3"/>
      <c r="D14" s="3"/>
    </row>
    <row r="15" spans="1:17" x14ac:dyDescent="0.25">
      <c r="C15" t="s">
        <v>30</v>
      </c>
      <c r="H15" t="s">
        <v>31</v>
      </c>
    </row>
    <row r="16" spans="1:17" x14ac:dyDescent="0.25">
      <c r="A16" s="33"/>
      <c r="B16" s="18" t="s">
        <v>7</v>
      </c>
      <c r="C16" s="18">
        <v>1</v>
      </c>
      <c r="D16" s="18">
        <v>2</v>
      </c>
      <c r="E16" s="18">
        <v>3</v>
      </c>
      <c r="F16" s="18">
        <v>4</v>
      </c>
      <c r="G16" s="30">
        <v>6</v>
      </c>
      <c r="H16" s="18">
        <v>7</v>
      </c>
      <c r="I16" s="18">
        <v>8</v>
      </c>
      <c r="J16" s="18">
        <v>9</v>
      </c>
      <c r="K16" s="18">
        <v>11</v>
      </c>
      <c r="L16" s="18">
        <v>12</v>
      </c>
    </row>
    <row r="17" spans="1:19" x14ac:dyDescent="0.25">
      <c r="A17" s="33"/>
      <c r="B17" s="18" t="s">
        <v>9</v>
      </c>
      <c r="C17" s="18">
        <v>2</v>
      </c>
      <c r="D17" s="18">
        <v>2</v>
      </c>
      <c r="E17" s="18">
        <v>2</v>
      </c>
      <c r="F17" s="18">
        <v>2</v>
      </c>
      <c r="G17" s="31">
        <v>2</v>
      </c>
      <c r="H17" s="19">
        <v>3</v>
      </c>
      <c r="I17" s="19">
        <v>3</v>
      </c>
      <c r="J17" s="19">
        <v>3</v>
      </c>
      <c r="K17" s="19">
        <v>3</v>
      </c>
      <c r="L17" s="19">
        <v>3</v>
      </c>
    </row>
    <row r="18" spans="1:19" x14ac:dyDescent="0.25">
      <c r="B18" t="s">
        <v>48</v>
      </c>
      <c r="C18" s="2"/>
      <c r="G18" s="32"/>
    </row>
    <row r="19" spans="1:19" x14ac:dyDescent="0.25">
      <c r="A19" s="34" t="s">
        <v>51</v>
      </c>
      <c r="B19" s="34" t="s">
        <v>87</v>
      </c>
      <c r="C19" s="43">
        <v>3</v>
      </c>
      <c r="D19" s="43">
        <v>3</v>
      </c>
      <c r="E19" s="43">
        <v>3</v>
      </c>
      <c r="F19" s="43">
        <v>3</v>
      </c>
      <c r="G19" s="43">
        <v>2</v>
      </c>
      <c r="H19" s="43">
        <v>3</v>
      </c>
      <c r="I19" s="43">
        <v>3</v>
      </c>
      <c r="J19" s="43">
        <v>3</v>
      </c>
      <c r="K19" s="43">
        <v>3</v>
      </c>
      <c r="L19" s="43">
        <v>3</v>
      </c>
    </row>
    <row r="20" spans="1:19" x14ac:dyDescent="0.25">
      <c r="A20" s="34" t="s">
        <v>52</v>
      </c>
      <c r="B20" s="34" t="s">
        <v>88</v>
      </c>
      <c r="C20" s="43">
        <v>3</v>
      </c>
      <c r="D20" s="43">
        <v>2</v>
      </c>
      <c r="E20" s="43">
        <v>3</v>
      </c>
      <c r="F20" s="43">
        <v>2</v>
      </c>
      <c r="G20" s="43">
        <v>2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</row>
    <row r="21" spans="1:19" x14ac:dyDescent="0.25">
      <c r="A21" s="34" t="s">
        <v>53</v>
      </c>
      <c r="B21" s="34" t="s">
        <v>89</v>
      </c>
      <c r="C21" s="43">
        <v>3</v>
      </c>
      <c r="D21" s="43">
        <v>3</v>
      </c>
      <c r="E21" s="43">
        <v>3</v>
      </c>
      <c r="F21" s="43">
        <v>3</v>
      </c>
      <c r="G21" s="43">
        <v>3</v>
      </c>
      <c r="H21" s="43">
        <v>3</v>
      </c>
      <c r="I21" s="43">
        <v>3</v>
      </c>
      <c r="J21" s="43">
        <v>3</v>
      </c>
      <c r="K21" s="43">
        <v>3</v>
      </c>
      <c r="L21" s="43">
        <v>3</v>
      </c>
    </row>
    <row r="22" spans="1:19" x14ac:dyDescent="0.25">
      <c r="A22" s="34" t="s">
        <v>54</v>
      </c>
      <c r="B22" s="34" t="s">
        <v>90</v>
      </c>
      <c r="C22" s="43">
        <v>3</v>
      </c>
      <c r="D22" s="43">
        <v>2</v>
      </c>
      <c r="E22" s="43">
        <v>2</v>
      </c>
      <c r="F22" s="43">
        <v>3</v>
      </c>
      <c r="G22" s="43">
        <v>2</v>
      </c>
      <c r="H22" s="43">
        <v>3</v>
      </c>
      <c r="I22" s="43">
        <v>3</v>
      </c>
      <c r="J22" s="43">
        <v>2</v>
      </c>
      <c r="K22" s="43">
        <v>3</v>
      </c>
      <c r="L22" s="43">
        <v>3</v>
      </c>
    </row>
    <row r="23" spans="1:19" x14ac:dyDescent="0.25">
      <c r="A23" s="34" t="s">
        <v>55</v>
      </c>
      <c r="B23" s="34" t="s">
        <v>91</v>
      </c>
      <c r="C23" s="43">
        <v>3</v>
      </c>
      <c r="D23" s="43">
        <v>2</v>
      </c>
      <c r="E23" s="43">
        <v>2</v>
      </c>
      <c r="F23" s="43">
        <v>2</v>
      </c>
      <c r="G23" s="43">
        <v>2</v>
      </c>
      <c r="H23" s="43">
        <v>3</v>
      </c>
      <c r="I23" s="43">
        <v>2</v>
      </c>
      <c r="J23" s="43">
        <v>3</v>
      </c>
      <c r="K23" s="43">
        <v>3</v>
      </c>
      <c r="L23" s="43">
        <v>2</v>
      </c>
    </row>
    <row r="24" spans="1:19" x14ac:dyDescent="0.25">
      <c r="A24" s="34" t="s">
        <v>56</v>
      </c>
      <c r="B24" s="34" t="s">
        <v>92</v>
      </c>
      <c r="C24" s="43">
        <v>3</v>
      </c>
      <c r="D24" s="43">
        <v>2</v>
      </c>
      <c r="E24" s="43">
        <v>2</v>
      </c>
      <c r="F24" s="43">
        <v>2</v>
      </c>
      <c r="G24" s="43">
        <v>2</v>
      </c>
      <c r="H24" s="43">
        <v>3</v>
      </c>
      <c r="I24" s="43">
        <v>2</v>
      </c>
      <c r="J24" s="43">
        <v>2</v>
      </c>
      <c r="K24" s="43">
        <v>2</v>
      </c>
      <c r="L24" s="43">
        <v>3</v>
      </c>
    </row>
    <row r="25" spans="1:19" x14ac:dyDescent="0.25">
      <c r="A25" s="34" t="s">
        <v>57</v>
      </c>
      <c r="B25" s="34" t="s">
        <v>93</v>
      </c>
      <c r="C25" s="43">
        <v>3</v>
      </c>
      <c r="D25" s="43">
        <v>3</v>
      </c>
      <c r="E25" s="43">
        <v>3</v>
      </c>
      <c r="F25" s="43">
        <v>3</v>
      </c>
      <c r="G25" s="43">
        <v>3</v>
      </c>
      <c r="H25" s="43">
        <v>3</v>
      </c>
      <c r="I25" s="43">
        <v>3</v>
      </c>
      <c r="J25" s="43">
        <v>3</v>
      </c>
      <c r="K25" s="43">
        <v>3</v>
      </c>
      <c r="L25" s="43">
        <v>3</v>
      </c>
    </row>
    <row r="26" spans="1:19" x14ac:dyDescent="0.25">
      <c r="A26" s="34" t="s">
        <v>58</v>
      </c>
      <c r="B26" s="34" t="s">
        <v>94</v>
      </c>
      <c r="C26" s="43">
        <v>3</v>
      </c>
      <c r="D26" s="43">
        <v>2</v>
      </c>
      <c r="E26" s="43">
        <v>3</v>
      </c>
      <c r="F26" s="43">
        <v>3</v>
      </c>
      <c r="G26" s="43">
        <v>3</v>
      </c>
      <c r="H26" s="43">
        <v>3</v>
      </c>
      <c r="I26" s="43">
        <v>3</v>
      </c>
      <c r="J26" s="43">
        <v>3</v>
      </c>
      <c r="K26" s="43">
        <v>3</v>
      </c>
      <c r="L26" s="43">
        <v>3</v>
      </c>
    </row>
    <row r="27" spans="1:19" x14ac:dyDescent="0.25">
      <c r="A27" s="34" t="s">
        <v>59</v>
      </c>
      <c r="B27" s="34" t="s">
        <v>95</v>
      </c>
      <c r="C27" s="43">
        <v>3</v>
      </c>
      <c r="D27" s="43">
        <v>2</v>
      </c>
      <c r="E27" s="43">
        <v>2</v>
      </c>
      <c r="F27" s="43">
        <v>3</v>
      </c>
      <c r="G27" s="43">
        <v>2</v>
      </c>
      <c r="H27" s="43">
        <v>2</v>
      </c>
      <c r="I27" s="43">
        <v>2</v>
      </c>
      <c r="J27" s="43">
        <v>3</v>
      </c>
      <c r="K27" s="43">
        <v>3</v>
      </c>
      <c r="L27" s="43">
        <v>3</v>
      </c>
    </row>
    <row r="28" spans="1:19" x14ac:dyDescent="0.25">
      <c r="B28" s="2" t="s">
        <v>74</v>
      </c>
      <c r="C28" s="27">
        <f>COUNTIF(C$19:C$27,3)</f>
        <v>9</v>
      </c>
      <c r="D28" s="27">
        <f>COUNTIF(D$19:D$27,3)</f>
        <v>3</v>
      </c>
      <c r="E28" s="27">
        <f>COUNTIF(E$19:E$27,3)</f>
        <v>5</v>
      </c>
      <c r="F28" s="27">
        <f>COUNTIF(F$19:F$27,3)</f>
        <v>6</v>
      </c>
      <c r="G28" s="27">
        <f>COUNTIF(G$19:G$27,3)</f>
        <v>3</v>
      </c>
      <c r="H28" s="27">
        <f>COUNTIF(H$19:H$27,3)</f>
        <v>8</v>
      </c>
      <c r="I28" s="27">
        <f>COUNTIF(I$19:I$27,3)</f>
        <v>6</v>
      </c>
      <c r="J28" s="27">
        <f>COUNTIF(J$19:J$27,3)</f>
        <v>7</v>
      </c>
      <c r="K28" s="27">
        <f>COUNTIF(K$19:K$27,3)</f>
        <v>8</v>
      </c>
      <c r="L28" s="27">
        <f>COUNTIF(L$19:L$27,3)</f>
        <v>8</v>
      </c>
      <c r="M28" s="23">
        <f>AVERAGE(C28:G28)</f>
        <v>5.2</v>
      </c>
      <c r="N28" s="23">
        <f>AVERAGE(H28:L28)</f>
        <v>7.4</v>
      </c>
      <c r="O28" s="28"/>
      <c r="P28" s="28">
        <f>M28/$M$32*100</f>
        <v>57.777777777777786</v>
      </c>
      <c r="Q28" s="28">
        <f>N28/N32*100</f>
        <v>82.222222222222229</v>
      </c>
      <c r="R28" s="28"/>
      <c r="S28" t="s">
        <v>34</v>
      </c>
    </row>
    <row r="29" spans="1:19" x14ac:dyDescent="0.25">
      <c r="B29" s="2" t="s">
        <v>75</v>
      </c>
      <c r="C29" s="27">
        <f>COUNTIF(C$19:C$27,2)</f>
        <v>0</v>
      </c>
      <c r="D29" s="27">
        <f>COUNTIF(D$19:D$27,2)</f>
        <v>6</v>
      </c>
      <c r="E29" s="27">
        <f>COUNTIF(E$19:E$27,2)</f>
        <v>4</v>
      </c>
      <c r="F29" s="27">
        <f>COUNTIF(F$19:F$27,2)</f>
        <v>3</v>
      </c>
      <c r="G29" s="27">
        <f>COUNTIF(G$19:G$27,2)</f>
        <v>6</v>
      </c>
      <c r="H29" s="27">
        <f>COUNTIF(H$19:H$27,2)</f>
        <v>1</v>
      </c>
      <c r="I29" s="27">
        <f>COUNTIF(I$19:I$27,2)</f>
        <v>3</v>
      </c>
      <c r="J29" s="27">
        <f>COUNTIF(J$19:J$27,2)</f>
        <v>2</v>
      </c>
      <c r="K29" s="27">
        <f>COUNTIF(K$19:K$27,2)</f>
        <v>1</v>
      </c>
      <c r="L29" s="27">
        <f>COUNTIF(L$19:L$27,2)</f>
        <v>1</v>
      </c>
      <c r="M29" s="23">
        <f>AVERAGE(C29:G29)</f>
        <v>3.8</v>
      </c>
      <c r="N29" s="23">
        <f>AVERAGE(H29:L29)</f>
        <v>1.6</v>
      </c>
      <c r="O29" s="28"/>
      <c r="P29" s="28">
        <f t="shared" ref="P29:Q30" si="0">M29/$M$32*100</f>
        <v>42.222222222222221</v>
      </c>
      <c r="Q29" s="28">
        <f t="shared" si="0"/>
        <v>17.777777777777779</v>
      </c>
      <c r="R29" s="28"/>
      <c r="S29" t="s">
        <v>36</v>
      </c>
    </row>
    <row r="30" spans="1:19" x14ac:dyDescent="0.25">
      <c r="B30" s="2" t="s">
        <v>76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3">
        <f>AVERAGE(C30:G30)</f>
        <v>0</v>
      </c>
      <c r="N30">
        <f>AVERAGE(H30:L30)</f>
        <v>0</v>
      </c>
      <c r="O30" s="28"/>
      <c r="P30" s="28">
        <f t="shared" si="0"/>
        <v>0</v>
      </c>
      <c r="Q30" s="28">
        <f t="shared" si="0"/>
        <v>0</v>
      </c>
      <c r="R30" s="28"/>
      <c r="S30" t="s">
        <v>38</v>
      </c>
    </row>
    <row r="31" spans="1:19" x14ac:dyDescent="0.25">
      <c r="B31" s="2" t="s">
        <v>39</v>
      </c>
      <c r="C31" s="43">
        <f>SUM(C28:C30)</f>
        <v>9</v>
      </c>
      <c r="D31" s="43">
        <f t="shared" ref="D31:L31" si="1">SUM(D28:D30)</f>
        <v>9</v>
      </c>
      <c r="E31" s="43">
        <f t="shared" si="1"/>
        <v>9</v>
      </c>
      <c r="F31" s="43">
        <f t="shared" si="1"/>
        <v>9</v>
      </c>
      <c r="G31" s="43">
        <f t="shared" si="1"/>
        <v>9</v>
      </c>
      <c r="H31" s="43">
        <f t="shared" si="1"/>
        <v>9</v>
      </c>
      <c r="I31" s="43">
        <f t="shared" si="1"/>
        <v>9</v>
      </c>
      <c r="J31" s="43">
        <f t="shared" si="1"/>
        <v>9</v>
      </c>
      <c r="K31" s="43">
        <f t="shared" si="1"/>
        <v>9</v>
      </c>
      <c r="L31" s="43">
        <f t="shared" si="1"/>
        <v>9</v>
      </c>
      <c r="P31" s="28">
        <f>P28+P29</f>
        <v>100</v>
      </c>
      <c r="Q31" s="28">
        <f>Q28+Q29</f>
        <v>100</v>
      </c>
      <c r="R31" s="28"/>
      <c r="S31" t="s">
        <v>40</v>
      </c>
    </row>
    <row r="32" spans="1:19" x14ac:dyDescent="0.25">
      <c r="B32" s="17"/>
      <c r="M32">
        <f t="shared" ref="M32:N32" si="2">SUM(M28:M30)</f>
        <v>9</v>
      </c>
      <c r="N32">
        <f t="shared" si="2"/>
        <v>9</v>
      </c>
      <c r="O32" s="28"/>
    </row>
    <row r="34" spans="2:12" x14ac:dyDescent="0.25">
      <c r="B34" s="13" t="s">
        <v>62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2:12" x14ac:dyDescent="0.25">
      <c r="B35" s="14" t="s">
        <v>11</v>
      </c>
      <c r="C35" s="20">
        <v>1</v>
      </c>
      <c r="D35" s="20">
        <v>2</v>
      </c>
      <c r="E35" s="20">
        <v>3</v>
      </c>
      <c r="F35" s="20">
        <v>4</v>
      </c>
      <c r="G35" s="20">
        <v>6</v>
      </c>
      <c r="H35" s="20">
        <v>7</v>
      </c>
      <c r="I35" s="20">
        <v>8</v>
      </c>
      <c r="J35" s="20">
        <v>9</v>
      </c>
      <c r="K35" s="20">
        <v>11</v>
      </c>
      <c r="L35" s="20">
        <v>12</v>
      </c>
    </row>
    <row r="36" spans="2:12" x14ac:dyDescent="0.25">
      <c r="B36" s="15" t="s">
        <v>9</v>
      </c>
      <c r="C36" s="20">
        <v>2</v>
      </c>
      <c r="D36" s="20">
        <v>2</v>
      </c>
      <c r="E36" s="20">
        <v>2</v>
      </c>
      <c r="F36" s="20">
        <v>2</v>
      </c>
      <c r="G36" s="20">
        <v>2</v>
      </c>
      <c r="H36" s="20">
        <v>3</v>
      </c>
      <c r="I36" s="20">
        <v>3</v>
      </c>
      <c r="J36" s="20">
        <v>3</v>
      </c>
      <c r="K36" s="20">
        <v>3</v>
      </c>
      <c r="L36" s="20">
        <v>3</v>
      </c>
    </row>
    <row r="37" spans="2:12" x14ac:dyDescent="0.25">
      <c r="B37" s="16" t="s">
        <v>3</v>
      </c>
      <c r="C37" s="21">
        <f>AVERAGE(C19:C27)</f>
        <v>3</v>
      </c>
      <c r="D37" s="21">
        <f>AVERAGE(D19:D27)</f>
        <v>2.3333333333333335</v>
      </c>
      <c r="E37" s="21">
        <f>AVERAGE(E19:E27)</f>
        <v>2.5555555555555554</v>
      </c>
      <c r="F37" s="21">
        <f>AVERAGE(F19:F27)</f>
        <v>2.6666666666666665</v>
      </c>
      <c r="G37" s="21">
        <f>AVERAGE(G19:G27)</f>
        <v>2.3333333333333335</v>
      </c>
      <c r="H37" s="21">
        <f>AVERAGE(H19:H27)</f>
        <v>2.8888888888888888</v>
      </c>
      <c r="I37" s="21">
        <f>AVERAGE(I19:I27)</f>
        <v>2.6666666666666665</v>
      </c>
      <c r="J37" s="21">
        <f>AVERAGE(J19:J27)</f>
        <v>2.7777777777777777</v>
      </c>
      <c r="K37" s="21">
        <f>AVERAGE(K19:K27)</f>
        <v>2.8888888888888888</v>
      </c>
      <c r="L37" s="21">
        <f>AVERAGE(L19:L27)</f>
        <v>2.8888888888888888</v>
      </c>
    </row>
    <row r="38" spans="2:12" x14ac:dyDescent="0.25">
      <c r="B38" s="15" t="s">
        <v>4</v>
      </c>
      <c r="C38" s="22">
        <f>STDEV(C19:C27)</f>
        <v>0</v>
      </c>
      <c r="D38" s="22">
        <f>STDEV(D19:D27)</f>
        <v>0.5</v>
      </c>
      <c r="E38" s="22">
        <f>STDEV(E19:E27)</f>
        <v>0.52704627669472981</v>
      </c>
      <c r="F38" s="22">
        <f>STDEV(F19:F27)</f>
        <v>0.5</v>
      </c>
      <c r="G38" s="22">
        <f>STDEV(G19:G27)</f>
        <v>0.5</v>
      </c>
      <c r="H38" s="22">
        <f>STDEV(H19:H27)</f>
        <v>0.33333333333333276</v>
      </c>
      <c r="I38" s="22">
        <f>STDEV(I19:I27)</f>
        <v>0.5</v>
      </c>
      <c r="J38" s="22">
        <f>STDEV(J19:J27)</f>
        <v>0.44095855184409866</v>
      </c>
      <c r="K38" s="22">
        <f>STDEV(K19:K27)</f>
        <v>0.33333333333333276</v>
      </c>
      <c r="L38" s="22">
        <f>STDEV(L19:L27)</f>
        <v>0.33333333333333276</v>
      </c>
    </row>
    <row r="39" spans="2:12" x14ac:dyDescent="0.25">
      <c r="B39" s="16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2:12" x14ac:dyDescent="0.25">
      <c r="B40" s="16" t="s">
        <v>3</v>
      </c>
      <c r="C40" s="7">
        <f>AVERAGE(C37:L37)</f>
        <v>2.7</v>
      </c>
      <c r="D40" s="4"/>
      <c r="E40" s="4"/>
      <c r="F40" s="4"/>
      <c r="G40" s="4"/>
      <c r="H40" s="4"/>
      <c r="I40" s="4"/>
      <c r="J40" s="4"/>
      <c r="K40" s="4"/>
      <c r="L40" s="4"/>
    </row>
    <row r="41" spans="2:12" x14ac:dyDescent="0.25">
      <c r="B41" s="15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2:12" x14ac:dyDescent="0.25">
      <c r="B42" s="16"/>
      <c r="C42" s="4"/>
      <c r="D42" s="4"/>
      <c r="E42" s="4"/>
      <c r="F42" s="4"/>
      <c r="G42" s="4"/>
      <c r="H42" s="4"/>
      <c r="I42" s="4"/>
      <c r="J42" s="4"/>
      <c r="K42" s="4"/>
      <c r="L42" s="4"/>
    </row>
    <row r="44" spans="2:12" x14ac:dyDescent="0.25">
      <c r="C44" s="5"/>
      <c r="D44" s="5"/>
      <c r="E44" s="5"/>
      <c r="F44" s="5"/>
      <c r="G44" s="5"/>
      <c r="H44" s="10"/>
      <c r="I44" s="10"/>
      <c r="J44" s="10"/>
    </row>
    <row r="45" spans="2:12" x14ac:dyDescent="0.25">
      <c r="B45" s="8" t="s">
        <v>10</v>
      </c>
      <c r="C45" s="24">
        <v>2</v>
      </c>
      <c r="D45" s="24">
        <v>3</v>
      </c>
      <c r="E45" s="24"/>
      <c r="F45" s="24"/>
      <c r="G45" s="24"/>
      <c r="H45" s="19"/>
      <c r="I45" s="19"/>
      <c r="J45" s="10"/>
    </row>
    <row r="46" spans="2:12" x14ac:dyDescent="0.25">
      <c r="B46" s="5" t="s">
        <v>5</v>
      </c>
      <c r="C46" s="25">
        <f>AVERAGE(C37:G37)</f>
        <v>2.5777777777777779</v>
      </c>
      <c r="D46" s="25">
        <f>AVERAGE(H37:L37)</f>
        <v>2.822222222222222</v>
      </c>
      <c r="E46" s="25"/>
      <c r="F46" s="25"/>
      <c r="G46" s="25"/>
      <c r="H46" s="25"/>
      <c r="I46" s="25"/>
      <c r="J46" s="6"/>
    </row>
    <row r="47" spans="2:12" x14ac:dyDescent="0.25">
      <c r="B47" s="5" t="s">
        <v>6</v>
      </c>
      <c r="C47" s="25">
        <f>STDEV(C37:G37)</f>
        <v>0.27666443551086067</v>
      </c>
      <c r="D47" s="25">
        <f>STDEV(H37:L37)</f>
        <v>9.9380798999990694E-2</v>
      </c>
      <c r="E47" s="25"/>
      <c r="F47" s="25"/>
      <c r="G47" s="25"/>
      <c r="H47" s="26"/>
      <c r="I47" s="26"/>
      <c r="J47" s="11"/>
    </row>
    <row r="49" spans="3:3" x14ac:dyDescent="0.25">
      <c r="C49" s="23"/>
    </row>
    <row r="103" spans="9:13" x14ac:dyDescent="0.25">
      <c r="I103" s="2"/>
      <c r="J103" s="2"/>
      <c r="K103" s="2"/>
      <c r="L103" s="2"/>
      <c r="M103" s="2"/>
    </row>
    <row r="125" spans="3:3" x14ac:dyDescent="0.25">
      <c r="C125" s="9"/>
    </row>
    <row r="126" spans="3:3" x14ac:dyDescent="0.25">
      <c r="C126" s="9"/>
    </row>
    <row r="127" spans="3:3" x14ac:dyDescent="0.25">
      <c r="C127" s="9"/>
    </row>
    <row r="128" spans="3:3" x14ac:dyDescent="0.25">
      <c r="C128" s="9"/>
    </row>
    <row r="130" spans="2:2" x14ac:dyDescent="0.25">
      <c r="B130" s="1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6436-B904-4472-8C48-F153B7FEEB89}">
  <dimension ref="A1:AJ71"/>
  <sheetViews>
    <sheetView zoomScaleNormal="100" workbookViewId="0">
      <selection activeCell="AD28" sqref="AD28"/>
    </sheetView>
  </sheetViews>
  <sheetFormatPr defaultRowHeight="15" x14ac:dyDescent="0.25"/>
  <cols>
    <col min="1" max="1" width="20.28515625" bestFit="1" customWidth="1"/>
    <col min="2" max="2" width="15.7109375" customWidth="1"/>
    <col min="3" max="3" width="16" customWidth="1"/>
    <col min="4" max="4" width="15.42578125" customWidth="1"/>
    <col min="5" max="5" width="20.140625" customWidth="1"/>
    <col min="6" max="7" width="17.85546875" customWidth="1"/>
    <col min="8" max="8" width="17.42578125" customWidth="1"/>
    <col min="9" max="9" width="22.140625" customWidth="1"/>
    <col min="10" max="10" width="17" customWidth="1"/>
    <col min="11" max="11" width="22.140625" customWidth="1"/>
    <col min="12" max="12" width="23.85546875" customWidth="1"/>
    <col min="15" max="15" width="14.42578125" customWidth="1"/>
    <col min="16" max="16" width="11.5703125" bestFit="1" customWidth="1"/>
    <col min="17" max="17" width="11.85546875" bestFit="1" customWidth="1"/>
    <col min="18" max="18" width="13.140625" customWidth="1"/>
    <col min="19" max="19" width="9" bestFit="1" customWidth="1"/>
  </cols>
  <sheetData>
    <row r="1" spans="1:36" s="39" customFormat="1" ht="59.25" customHeight="1" x14ac:dyDescent="0.25">
      <c r="A1" s="35" t="s">
        <v>103</v>
      </c>
      <c r="B1" s="35" t="s">
        <v>104</v>
      </c>
      <c r="C1" s="35" t="s">
        <v>105</v>
      </c>
      <c r="D1" s="35" t="s">
        <v>106</v>
      </c>
      <c r="E1" s="35" t="s">
        <v>107</v>
      </c>
      <c r="F1" s="35" t="s">
        <v>108</v>
      </c>
      <c r="G1" s="35" t="s">
        <v>109</v>
      </c>
      <c r="H1" s="35" t="s">
        <v>111</v>
      </c>
      <c r="I1" s="35" t="s">
        <v>112</v>
      </c>
      <c r="J1" s="35" t="s">
        <v>137</v>
      </c>
      <c r="K1" s="35" t="s">
        <v>114</v>
      </c>
      <c r="L1" s="35" t="s">
        <v>138</v>
      </c>
      <c r="N1" s="39" t="s">
        <v>104</v>
      </c>
      <c r="O1" s="39" t="s">
        <v>105</v>
      </c>
      <c r="P1" s="39" t="s">
        <v>106</v>
      </c>
      <c r="Q1" s="39" t="s">
        <v>107</v>
      </c>
      <c r="R1" s="39" t="s">
        <v>108</v>
      </c>
      <c r="S1" s="39" t="s">
        <v>109</v>
      </c>
      <c r="T1" s="39" t="s">
        <v>111</v>
      </c>
      <c r="U1" s="39" t="s">
        <v>112</v>
      </c>
      <c r="V1" s="39" t="s">
        <v>137</v>
      </c>
      <c r="W1" s="39" t="s">
        <v>114</v>
      </c>
      <c r="X1" s="39" t="s">
        <v>138</v>
      </c>
      <c r="Z1" s="39" t="s">
        <v>104</v>
      </c>
      <c r="AA1" s="39" t="s">
        <v>105</v>
      </c>
      <c r="AB1" s="39" t="s">
        <v>106</v>
      </c>
      <c r="AC1" s="39" t="s">
        <v>107</v>
      </c>
      <c r="AD1" s="39" t="s">
        <v>108</v>
      </c>
      <c r="AE1" s="39" t="s">
        <v>109</v>
      </c>
      <c r="AF1" s="39" t="s">
        <v>111</v>
      </c>
      <c r="AG1" s="39" t="s">
        <v>112</v>
      </c>
      <c r="AH1" s="39" t="s">
        <v>137</v>
      </c>
      <c r="AI1" s="39" t="s">
        <v>114</v>
      </c>
      <c r="AJ1" s="39" t="s">
        <v>138</v>
      </c>
    </row>
    <row r="2" spans="1:36" x14ac:dyDescent="0.25">
      <c r="A2" t="s">
        <v>142</v>
      </c>
      <c r="B2">
        <v>1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4</v>
      </c>
      <c r="K2">
        <v>5</v>
      </c>
      <c r="L2">
        <v>5</v>
      </c>
      <c r="N2">
        <v>1</v>
      </c>
      <c r="O2" s="23">
        <f>AVERAGE(C2:C10)</f>
        <v>4.2222222222222223</v>
      </c>
      <c r="P2" s="23">
        <f t="shared" ref="P2:X2" si="0">AVERAGE(D2:D10)</f>
        <v>4.1111111111111107</v>
      </c>
      <c r="Q2" s="23">
        <f t="shared" si="0"/>
        <v>4.0555555555555554</v>
      </c>
      <c r="R2" s="23">
        <f t="shared" si="0"/>
        <v>4.333333333333333</v>
      </c>
      <c r="S2" s="23">
        <f t="shared" si="0"/>
        <v>3.9722222222222223</v>
      </c>
      <c r="T2" s="23">
        <f t="shared" si="0"/>
        <v>4.7222222222222223</v>
      </c>
      <c r="U2" s="23">
        <f t="shared" si="0"/>
        <v>4.5</v>
      </c>
      <c r="V2" s="23">
        <f t="shared" si="0"/>
        <v>4.2777777777777777</v>
      </c>
      <c r="W2" s="23">
        <f t="shared" si="0"/>
        <v>4.6111111111111107</v>
      </c>
      <c r="X2" s="23">
        <f t="shared" si="0"/>
        <v>4.2777777777777777</v>
      </c>
      <c r="Z2">
        <v>1</v>
      </c>
      <c r="AA2">
        <v>3</v>
      </c>
      <c r="AB2">
        <v>3</v>
      </c>
      <c r="AC2">
        <v>3</v>
      </c>
      <c r="AD2">
        <v>3</v>
      </c>
      <c r="AE2">
        <v>2</v>
      </c>
      <c r="AF2">
        <v>3</v>
      </c>
      <c r="AG2">
        <v>3</v>
      </c>
      <c r="AH2">
        <v>3</v>
      </c>
      <c r="AI2">
        <v>3</v>
      </c>
      <c r="AJ2">
        <v>3</v>
      </c>
    </row>
    <row r="3" spans="1:36" x14ac:dyDescent="0.25">
      <c r="A3" t="s">
        <v>143</v>
      </c>
      <c r="B3">
        <v>1</v>
      </c>
      <c r="C3">
        <v>2</v>
      </c>
      <c r="D3">
        <v>4</v>
      </c>
      <c r="E3">
        <v>3</v>
      </c>
      <c r="F3">
        <v>3</v>
      </c>
      <c r="G3">
        <v>3</v>
      </c>
      <c r="H3">
        <v>3</v>
      </c>
      <c r="I3">
        <v>3</v>
      </c>
      <c r="J3">
        <v>4</v>
      </c>
      <c r="K3">
        <v>3</v>
      </c>
      <c r="L3">
        <v>3</v>
      </c>
      <c r="N3">
        <v>2</v>
      </c>
      <c r="O3" s="23">
        <f>AVERAGE(C11:C17)</f>
        <v>4.4285714285714288</v>
      </c>
      <c r="P3" s="23">
        <f t="shared" ref="P3:X3" si="1">AVERAGE(D11:D17)</f>
        <v>3.7142857142857144</v>
      </c>
      <c r="Q3" s="23">
        <f t="shared" si="1"/>
        <v>4.0714285714285712</v>
      </c>
      <c r="R3" s="23">
        <f t="shared" si="1"/>
        <v>3.9642857142857144</v>
      </c>
      <c r="S3" s="23">
        <f t="shared" si="1"/>
        <v>3.6428571428571428</v>
      </c>
      <c r="T3" s="23">
        <f t="shared" si="1"/>
        <v>4.3928571428571432</v>
      </c>
      <c r="U3" s="23">
        <f t="shared" si="1"/>
        <v>4.2857142857142856</v>
      </c>
      <c r="V3" s="23">
        <f t="shared" si="1"/>
        <v>4.3571428571428568</v>
      </c>
      <c r="W3" s="23">
        <f t="shared" si="1"/>
        <v>4.4285714285714288</v>
      </c>
      <c r="X3" s="23">
        <f t="shared" si="1"/>
        <v>4.4285714285714288</v>
      </c>
      <c r="Z3">
        <v>2</v>
      </c>
      <c r="AA3">
        <v>3</v>
      </c>
      <c r="AB3">
        <v>2</v>
      </c>
      <c r="AC3">
        <v>3</v>
      </c>
      <c r="AD3">
        <v>2</v>
      </c>
      <c r="AE3">
        <v>2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 x14ac:dyDescent="0.25">
      <c r="A4" t="s">
        <v>127</v>
      </c>
      <c r="B4">
        <v>1</v>
      </c>
      <c r="C4">
        <v>5</v>
      </c>
      <c r="D4">
        <v>4.5</v>
      </c>
      <c r="E4">
        <v>5</v>
      </c>
      <c r="F4">
        <v>5</v>
      </c>
      <c r="G4">
        <v>4</v>
      </c>
      <c r="H4">
        <v>5</v>
      </c>
      <c r="I4">
        <v>4.5</v>
      </c>
      <c r="J4">
        <v>5</v>
      </c>
      <c r="K4">
        <v>5</v>
      </c>
      <c r="L4">
        <v>4.5</v>
      </c>
      <c r="N4">
        <v>3</v>
      </c>
      <c r="O4" s="23">
        <f>AVERAGE(C18:C24)</f>
        <v>4.7142857142857144</v>
      </c>
      <c r="P4" s="23">
        <f t="shared" ref="P4:X4" si="2">AVERAGE(D18:D24)</f>
        <v>4.0714285714285712</v>
      </c>
      <c r="Q4" s="23">
        <f t="shared" si="2"/>
        <v>4</v>
      </c>
      <c r="R4" s="23">
        <f t="shared" si="2"/>
        <v>4.7142857142857144</v>
      </c>
      <c r="S4" s="23">
        <f t="shared" si="2"/>
        <v>4.5</v>
      </c>
      <c r="T4" s="23">
        <f t="shared" si="2"/>
        <v>4.6785714285714288</v>
      </c>
      <c r="U4" s="23">
        <f t="shared" si="2"/>
        <v>4.1071428571428568</v>
      </c>
      <c r="V4" s="23">
        <f t="shared" si="2"/>
        <v>4.7142857142857144</v>
      </c>
      <c r="W4" s="23">
        <f t="shared" si="2"/>
        <v>4.2857142857142856</v>
      </c>
      <c r="X4" s="23">
        <f t="shared" si="2"/>
        <v>4.7142857142857144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</row>
    <row r="5" spans="1:36" x14ac:dyDescent="0.25">
      <c r="A5" t="s">
        <v>145</v>
      </c>
      <c r="B5">
        <v>1</v>
      </c>
      <c r="C5">
        <v>5</v>
      </c>
      <c r="D5">
        <v>4.5</v>
      </c>
      <c r="E5">
        <v>4.5</v>
      </c>
      <c r="F5">
        <v>5</v>
      </c>
      <c r="G5">
        <v>4.5</v>
      </c>
      <c r="H5">
        <v>4.5</v>
      </c>
      <c r="I5">
        <v>5</v>
      </c>
      <c r="J5">
        <v>4.5</v>
      </c>
      <c r="K5">
        <v>4.5</v>
      </c>
      <c r="L5">
        <v>5</v>
      </c>
      <c r="N5">
        <v>4</v>
      </c>
      <c r="O5" s="23">
        <f>AVERAGE(C25:C30)</f>
        <v>4.166666666666667</v>
      </c>
      <c r="P5" s="23">
        <f t="shared" ref="P5:X5" si="3">AVERAGE(D25:D30)</f>
        <v>3.75</v>
      </c>
      <c r="Q5" s="23">
        <f t="shared" si="3"/>
        <v>3.8333333333333335</v>
      </c>
      <c r="R5" s="23">
        <f t="shared" si="3"/>
        <v>4.416666666666667</v>
      </c>
      <c r="S5" s="23">
        <f t="shared" si="3"/>
        <v>3.9166666666666665</v>
      </c>
      <c r="T5" s="23">
        <f t="shared" si="3"/>
        <v>4.25</v>
      </c>
      <c r="U5" s="23">
        <f t="shared" si="3"/>
        <v>3.8333333333333335</v>
      </c>
      <c r="V5" s="23">
        <f t="shared" si="3"/>
        <v>3.75</v>
      </c>
      <c r="W5" s="23">
        <f t="shared" si="3"/>
        <v>4.083333333333333</v>
      </c>
      <c r="X5" s="23">
        <f t="shared" si="3"/>
        <v>4.166666666666667</v>
      </c>
      <c r="Z5">
        <v>4</v>
      </c>
      <c r="AA5">
        <v>3</v>
      </c>
      <c r="AB5">
        <v>2</v>
      </c>
      <c r="AC5">
        <v>2</v>
      </c>
      <c r="AD5">
        <v>3</v>
      </c>
      <c r="AE5">
        <v>2</v>
      </c>
      <c r="AF5">
        <v>3</v>
      </c>
      <c r="AG5">
        <v>3</v>
      </c>
      <c r="AH5">
        <v>2</v>
      </c>
      <c r="AI5">
        <v>3</v>
      </c>
      <c r="AJ5">
        <v>3</v>
      </c>
    </row>
    <row r="6" spans="1:36" x14ac:dyDescent="0.25">
      <c r="A6" t="s">
        <v>146</v>
      </c>
      <c r="B6">
        <v>1</v>
      </c>
      <c r="C6">
        <v>4</v>
      </c>
      <c r="D6">
        <v>4</v>
      </c>
      <c r="E6">
        <v>4</v>
      </c>
      <c r="F6">
        <v>4</v>
      </c>
      <c r="G6">
        <v>4</v>
      </c>
      <c r="H6">
        <v>5</v>
      </c>
      <c r="I6">
        <v>4</v>
      </c>
      <c r="J6">
        <v>3</v>
      </c>
      <c r="K6">
        <v>4</v>
      </c>
      <c r="L6">
        <v>3</v>
      </c>
      <c r="N6">
        <v>5</v>
      </c>
      <c r="O6" s="23">
        <f>AVERAGE(C31:C38)</f>
        <v>4.5</v>
      </c>
      <c r="P6" s="23">
        <f t="shared" ref="P6:X6" si="4">AVERAGE(D31:D38)</f>
        <v>3.625</v>
      </c>
      <c r="Q6" s="23">
        <f t="shared" si="4"/>
        <v>3.875</v>
      </c>
      <c r="R6" s="23">
        <f t="shared" si="4"/>
        <v>3.75</v>
      </c>
      <c r="S6" s="23">
        <f t="shared" si="4"/>
        <v>3.625</v>
      </c>
      <c r="T6" s="23">
        <f t="shared" si="4"/>
        <v>4.75</v>
      </c>
      <c r="U6" s="23">
        <f t="shared" si="4"/>
        <v>3.875</v>
      </c>
      <c r="V6" s="23">
        <f t="shared" si="4"/>
        <v>4.5</v>
      </c>
      <c r="W6" s="23">
        <f t="shared" si="4"/>
        <v>4.875</v>
      </c>
      <c r="X6" s="23">
        <f t="shared" si="4"/>
        <v>3.75</v>
      </c>
      <c r="Z6">
        <v>5</v>
      </c>
      <c r="AA6">
        <v>3</v>
      </c>
      <c r="AB6">
        <v>2</v>
      </c>
      <c r="AC6">
        <v>2</v>
      </c>
      <c r="AD6">
        <v>2</v>
      </c>
      <c r="AE6">
        <v>2</v>
      </c>
      <c r="AF6">
        <v>3</v>
      </c>
      <c r="AG6">
        <v>2</v>
      </c>
      <c r="AH6">
        <v>3</v>
      </c>
      <c r="AI6">
        <v>3</v>
      </c>
      <c r="AJ6">
        <v>2</v>
      </c>
    </row>
    <row r="7" spans="1:36" x14ac:dyDescent="0.25">
      <c r="A7" t="s">
        <v>148</v>
      </c>
      <c r="B7">
        <v>1</v>
      </c>
      <c r="C7">
        <v>4</v>
      </c>
      <c r="D7">
        <v>5</v>
      </c>
      <c r="E7">
        <v>4</v>
      </c>
      <c r="F7">
        <v>4</v>
      </c>
      <c r="G7">
        <v>3</v>
      </c>
      <c r="H7">
        <v>5</v>
      </c>
      <c r="I7">
        <v>5</v>
      </c>
      <c r="J7">
        <v>4</v>
      </c>
      <c r="K7">
        <v>5</v>
      </c>
      <c r="L7">
        <v>4</v>
      </c>
      <c r="N7">
        <v>6</v>
      </c>
      <c r="O7" s="23">
        <f>AVERAGE(C39:C46)</f>
        <v>4.125</v>
      </c>
      <c r="P7" s="23">
        <f t="shared" ref="P7:X7" si="5">AVERAGE(D39:D46)</f>
        <v>3</v>
      </c>
      <c r="Q7" s="23">
        <f t="shared" si="5"/>
        <v>3.375</v>
      </c>
      <c r="R7" s="23">
        <f t="shared" si="5"/>
        <v>3.75</v>
      </c>
      <c r="S7" s="23">
        <f t="shared" si="5"/>
        <v>3.625</v>
      </c>
      <c r="T7" s="23">
        <f t="shared" si="5"/>
        <v>4.125</v>
      </c>
      <c r="U7" s="23">
        <f t="shared" si="5"/>
        <v>3.75</v>
      </c>
      <c r="V7" s="23">
        <f t="shared" si="5"/>
        <v>3.875</v>
      </c>
      <c r="W7" s="23">
        <f t="shared" si="5"/>
        <v>3.875</v>
      </c>
      <c r="X7" s="23">
        <f t="shared" si="5"/>
        <v>4.125</v>
      </c>
      <c r="Z7">
        <v>6</v>
      </c>
      <c r="AA7">
        <v>3</v>
      </c>
      <c r="AB7">
        <v>2</v>
      </c>
      <c r="AC7">
        <v>2</v>
      </c>
      <c r="AD7">
        <v>2</v>
      </c>
      <c r="AE7">
        <v>2</v>
      </c>
      <c r="AF7">
        <v>3</v>
      </c>
      <c r="AG7">
        <v>2</v>
      </c>
      <c r="AH7">
        <v>2</v>
      </c>
      <c r="AI7">
        <v>2</v>
      </c>
      <c r="AJ7">
        <v>3</v>
      </c>
    </row>
    <row r="8" spans="1:36" x14ac:dyDescent="0.25">
      <c r="A8" t="s">
        <v>151</v>
      </c>
      <c r="B8">
        <v>1</v>
      </c>
      <c r="C8">
        <v>4</v>
      </c>
      <c r="D8">
        <v>3</v>
      </c>
      <c r="E8">
        <v>4</v>
      </c>
      <c r="F8">
        <v>4</v>
      </c>
      <c r="G8">
        <v>5</v>
      </c>
      <c r="H8">
        <v>5</v>
      </c>
      <c r="I8">
        <v>5</v>
      </c>
      <c r="J8">
        <v>4</v>
      </c>
      <c r="K8">
        <v>5</v>
      </c>
      <c r="L8">
        <v>4</v>
      </c>
      <c r="N8">
        <v>7</v>
      </c>
      <c r="O8" s="23">
        <f>AVERAGE(C47:C55)</f>
        <v>4.8888888888888893</v>
      </c>
      <c r="P8" s="23">
        <f t="shared" ref="P8:X8" si="6">AVERAGE(D47:D55)</f>
        <v>4.2222222222222223</v>
      </c>
      <c r="Q8" s="23">
        <f t="shared" si="6"/>
        <v>4.2222222222222223</v>
      </c>
      <c r="R8" s="23">
        <f t="shared" si="6"/>
        <v>4.5555555555555554</v>
      </c>
      <c r="S8" s="23">
        <f t="shared" si="6"/>
        <v>4.2222222222222223</v>
      </c>
      <c r="T8" s="23">
        <f t="shared" si="6"/>
        <v>4.333333333333333</v>
      </c>
      <c r="U8" s="23">
        <f t="shared" si="6"/>
        <v>4.4444444444444446</v>
      </c>
      <c r="V8" s="23">
        <f t="shared" si="6"/>
        <v>4.8888888888888893</v>
      </c>
      <c r="W8" s="23">
        <f t="shared" si="6"/>
        <v>4</v>
      </c>
      <c r="X8" s="23">
        <f t="shared" si="6"/>
        <v>4.5555555555555554</v>
      </c>
      <c r="Z8">
        <v>7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</row>
    <row r="9" spans="1:36" x14ac:dyDescent="0.25">
      <c r="A9" t="s">
        <v>149</v>
      </c>
      <c r="B9">
        <v>1</v>
      </c>
      <c r="C9">
        <v>5</v>
      </c>
      <c r="D9">
        <v>4</v>
      </c>
      <c r="E9">
        <v>4</v>
      </c>
      <c r="F9">
        <v>5</v>
      </c>
      <c r="G9">
        <v>4</v>
      </c>
      <c r="H9">
        <v>5</v>
      </c>
      <c r="I9">
        <v>4</v>
      </c>
      <c r="J9">
        <v>5</v>
      </c>
      <c r="K9">
        <v>5</v>
      </c>
      <c r="L9">
        <v>5</v>
      </c>
      <c r="N9">
        <v>8</v>
      </c>
      <c r="O9" s="23">
        <f>AVERAGE(C56:C63)</f>
        <v>4.625</v>
      </c>
      <c r="P9" s="23">
        <f t="shared" ref="P9:X9" si="7">AVERAGE(D56:D63)</f>
        <v>3.625</v>
      </c>
      <c r="Q9" s="23">
        <f t="shared" si="7"/>
        <v>4</v>
      </c>
      <c r="R9" s="23">
        <f t="shared" si="7"/>
        <v>4</v>
      </c>
      <c r="S9" s="23">
        <f t="shared" si="7"/>
        <v>4.625</v>
      </c>
      <c r="T9" s="23">
        <f t="shared" si="7"/>
        <v>4.375</v>
      </c>
      <c r="U9" s="23">
        <f t="shared" si="7"/>
        <v>4.25</v>
      </c>
      <c r="V9" s="23">
        <f t="shared" si="7"/>
        <v>4.625</v>
      </c>
      <c r="W9" s="23">
        <f t="shared" si="7"/>
        <v>4.75</v>
      </c>
      <c r="X9" s="23">
        <f t="shared" si="7"/>
        <v>4.625</v>
      </c>
      <c r="Z9">
        <v>8</v>
      </c>
      <c r="AA9">
        <v>3</v>
      </c>
      <c r="AB9">
        <v>2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</row>
    <row r="10" spans="1:36" x14ac:dyDescent="0.25">
      <c r="A10" t="s">
        <v>153</v>
      </c>
      <c r="B10">
        <v>1</v>
      </c>
      <c r="C10">
        <v>4</v>
      </c>
      <c r="D10">
        <v>3</v>
      </c>
      <c r="E10">
        <v>3</v>
      </c>
      <c r="F10">
        <v>4</v>
      </c>
      <c r="G10">
        <v>3.25</v>
      </c>
      <c r="H10">
        <v>5</v>
      </c>
      <c r="I10">
        <v>5</v>
      </c>
      <c r="J10">
        <v>5</v>
      </c>
      <c r="K10">
        <v>5</v>
      </c>
      <c r="L10">
        <v>5</v>
      </c>
      <c r="N10">
        <v>9</v>
      </c>
      <c r="O10" s="23">
        <f>AVERAGE(C64:C71)</f>
        <v>4.625</v>
      </c>
      <c r="P10" s="23">
        <f t="shared" ref="P10:X10" si="8">AVERAGE(D64:D71)</f>
        <v>3.375</v>
      </c>
      <c r="Q10" s="23">
        <f t="shared" si="8"/>
        <v>3.375</v>
      </c>
      <c r="R10" s="23">
        <f t="shared" si="8"/>
        <v>4</v>
      </c>
      <c r="S10" s="23">
        <f t="shared" si="8"/>
        <v>3.75</v>
      </c>
      <c r="T10" s="23">
        <f t="shared" si="8"/>
        <v>3.75</v>
      </c>
      <c r="U10" s="23">
        <f t="shared" si="8"/>
        <v>3.875</v>
      </c>
      <c r="V10" s="23">
        <f t="shared" si="8"/>
        <v>4</v>
      </c>
      <c r="W10" s="23">
        <f t="shared" si="8"/>
        <v>4.125</v>
      </c>
      <c r="X10" s="23">
        <f t="shared" si="8"/>
        <v>4.25</v>
      </c>
      <c r="Z10">
        <v>9</v>
      </c>
      <c r="AA10">
        <v>3</v>
      </c>
      <c r="AB10">
        <v>2</v>
      </c>
      <c r="AC10">
        <v>2</v>
      </c>
      <c r="AD10">
        <v>3</v>
      </c>
      <c r="AE10">
        <v>2</v>
      </c>
      <c r="AF10">
        <v>2</v>
      </c>
      <c r="AG10">
        <v>2</v>
      </c>
      <c r="AH10">
        <v>3</v>
      </c>
      <c r="AI10">
        <v>3</v>
      </c>
      <c r="AJ10">
        <v>3</v>
      </c>
    </row>
    <row r="11" spans="1:36" x14ac:dyDescent="0.25">
      <c r="A11" t="s">
        <v>139</v>
      </c>
      <c r="B11">
        <v>2</v>
      </c>
      <c r="C11">
        <v>5</v>
      </c>
      <c r="D11">
        <v>3</v>
      </c>
      <c r="E11">
        <v>4</v>
      </c>
      <c r="F11">
        <v>4</v>
      </c>
      <c r="G11">
        <v>3</v>
      </c>
      <c r="H11">
        <v>5</v>
      </c>
      <c r="I11">
        <v>4</v>
      </c>
      <c r="J11">
        <v>5</v>
      </c>
      <c r="K11">
        <v>5</v>
      </c>
      <c r="L11">
        <v>5</v>
      </c>
    </row>
    <row r="12" spans="1:36" x14ac:dyDescent="0.25">
      <c r="A12" t="s">
        <v>143</v>
      </c>
      <c r="B12">
        <v>2</v>
      </c>
      <c r="C12">
        <v>3</v>
      </c>
      <c r="D12">
        <v>3</v>
      </c>
      <c r="E12">
        <v>3</v>
      </c>
      <c r="F12">
        <v>3</v>
      </c>
      <c r="G12">
        <v>2</v>
      </c>
      <c r="H12">
        <v>3</v>
      </c>
      <c r="I12">
        <v>4</v>
      </c>
      <c r="J12">
        <v>4</v>
      </c>
      <c r="K12">
        <v>4</v>
      </c>
      <c r="L12">
        <v>4</v>
      </c>
    </row>
    <row r="13" spans="1:36" x14ac:dyDescent="0.25">
      <c r="A13" t="s">
        <v>127</v>
      </c>
      <c r="B13">
        <v>2</v>
      </c>
      <c r="C13">
        <v>4</v>
      </c>
      <c r="D13">
        <v>4</v>
      </c>
      <c r="E13">
        <v>4</v>
      </c>
      <c r="F13">
        <v>4</v>
      </c>
      <c r="G13">
        <v>3</v>
      </c>
      <c r="H13">
        <v>3.5</v>
      </c>
      <c r="I13">
        <v>4</v>
      </c>
      <c r="J13">
        <v>4</v>
      </c>
      <c r="K13">
        <v>3.5</v>
      </c>
      <c r="L13">
        <v>4</v>
      </c>
    </row>
    <row r="14" spans="1:36" x14ac:dyDescent="0.25">
      <c r="A14" t="s">
        <v>145</v>
      </c>
      <c r="B14">
        <v>2</v>
      </c>
      <c r="C14">
        <v>5</v>
      </c>
      <c r="D14">
        <v>4</v>
      </c>
      <c r="E14">
        <v>4.5</v>
      </c>
      <c r="F14">
        <v>4.75</v>
      </c>
      <c r="G14">
        <v>4.5</v>
      </c>
      <c r="H14">
        <v>4.25</v>
      </c>
      <c r="I14">
        <v>5</v>
      </c>
      <c r="J14">
        <v>4.5</v>
      </c>
      <c r="K14">
        <v>4.5</v>
      </c>
      <c r="L14">
        <v>5</v>
      </c>
    </row>
    <row r="15" spans="1:36" x14ac:dyDescent="0.25">
      <c r="A15" t="s">
        <v>146</v>
      </c>
      <c r="B15">
        <v>2</v>
      </c>
      <c r="C15">
        <v>4</v>
      </c>
      <c r="D15">
        <v>4</v>
      </c>
      <c r="E15">
        <v>4</v>
      </c>
      <c r="F15">
        <v>3</v>
      </c>
      <c r="G15">
        <v>3</v>
      </c>
      <c r="H15">
        <v>5</v>
      </c>
      <c r="I15">
        <v>4</v>
      </c>
      <c r="J15">
        <v>4</v>
      </c>
      <c r="K15">
        <v>5</v>
      </c>
      <c r="L15">
        <v>4</v>
      </c>
    </row>
    <row r="16" spans="1:36" x14ac:dyDescent="0.25">
      <c r="A16" t="s">
        <v>148</v>
      </c>
      <c r="B16">
        <v>2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4</v>
      </c>
    </row>
    <row r="17" spans="1:12" x14ac:dyDescent="0.25">
      <c r="A17" t="s">
        <v>152</v>
      </c>
      <c r="B17">
        <v>2</v>
      </c>
      <c r="C17">
        <v>5</v>
      </c>
      <c r="D17">
        <v>3</v>
      </c>
      <c r="E17">
        <v>4</v>
      </c>
      <c r="F17">
        <v>4</v>
      </c>
      <c r="G17">
        <v>5</v>
      </c>
      <c r="H17">
        <v>5</v>
      </c>
      <c r="I17">
        <v>4</v>
      </c>
      <c r="J17">
        <v>4</v>
      </c>
      <c r="K17">
        <v>4</v>
      </c>
      <c r="L17">
        <v>5</v>
      </c>
    </row>
    <row r="18" spans="1:12" x14ac:dyDescent="0.25">
      <c r="A18" t="s">
        <v>139</v>
      </c>
      <c r="B18">
        <v>3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</row>
    <row r="19" spans="1:12" x14ac:dyDescent="0.25">
      <c r="A19" t="s">
        <v>143</v>
      </c>
      <c r="B19">
        <v>3</v>
      </c>
      <c r="C19">
        <v>5</v>
      </c>
      <c r="D19">
        <v>3</v>
      </c>
      <c r="E19">
        <v>3</v>
      </c>
      <c r="F19">
        <v>4</v>
      </c>
      <c r="G19">
        <v>5</v>
      </c>
      <c r="H19">
        <v>5</v>
      </c>
      <c r="I19">
        <v>3</v>
      </c>
      <c r="J19">
        <v>4</v>
      </c>
      <c r="K19">
        <v>4</v>
      </c>
      <c r="L19">
        <v>3</v>
      </c>
    </row>
    <row r="20" spans="1:12" x14ac:dyDescent="0.25">
      <c r="A20" t="s">
        <v>127</v>
      </c>
      <c r="B20">
        <v>3</v>
      </c>
      <c r="C20">
        <v>4</v>
      </c>
      <c r="D20">
        <v>4</v>
      </c>
      <c r="E20">
        <v>3.5</v>
      </c>
      <c r="F20">
        <v>4</v>
      </c>
      <c r="G20">
        <v>4.5</v>
      </c>
      <c r="H20">
        <v>4</v>
      </c>
      <c r="I20">
        <v>3</v>
      </c>
      <c r="J20">
        <v>4</v>
      </c>
      <c r="K20">
        <v>3</v>
      </c>
      <c r="L20">
        <v>5</v>
      </c>
    </row>
    <row r="21" spans="1:12" x14ac:dyDescent="0.25">
      <c r="A21" t="s">
        <v>145</v>
      </c>
      <c r="B21">
        <v>3</v>
      </c>
      <c r="C21">
        <v>5</v>
      </c>
      <c r="D21">
        <v>4.5</v>
      </c>
      <c r="E21">
        <v>4.5</v>
      </c>
      <c r="F21">
        <v>5</v>
      </c>
      <c r="G21">
        <v>5</v>
      </c>
      <c r="H21">
        <v>4.75</v>
      </c>
      <c r="I21">
        <v>4.75</v>
      </c>
      <c r="J21">
        <v>5</v>
      </c>
      <c r="K21">
        <v>5</v>
      </c>
      <c r="L21">
        <v>5</v>
      </c>
    </row>
    <row r="22" spans="1:12" x14ac:dyDescent="0.25">
      <c r="A22" t="s">
        <v>146</v>
      </c>
      <c r="B22">
        <v>3</v>
      </c>
      <c r="C22">
        <v>5</v>
      </c>
      <c r="D22">
        <v>3</v>
      </c>
      <c r="E22">
        <v>4</v>
      </c>
      <c r="F22">
        <v>5</v>
      </c>
      <c r="G22">
        <v>3</v>
      </c>
      <c r="H22">
        <v>5</v>
      </c>
      <c r="I22">
        <v>4</v>
      </c>
      <c r="J22">
        <v>5</v>
      </c>
      <c r="K22">
        <v>4</v>
      </c>
      <c r="L22">
        <v>5</v>
      </c>
    </row>
    <row r="23" spans="1:12" x14ac:dyDescent="0.25">
      <c r="A23" t="s">
        <v>148</v>
      </c>
      <c r="B23">
        <v>3</v>
      </c>
      <c r="C23">
        <v>5</v>
      </c>
      <c r="D23">
        <v>5</v>
      </c>
      <c r="E23">
        <v>4</v>
      </c>
      <c r="F23">
        <v>5</v>
      </c>
      <c r="G23">
        <v>5</v>
      </c>
      <c r="H23">
        <v>5</v>
      </c>
      <c r="I23">
        <v>4</v>
      </c>
      <c r="J23">
        <v>5</v>
      </c>
      <c r="K23">
        <v>5</v>
      </c>
      <c r="L23">
        <v>5</v>
      </c>
    </row>
    <row r="24" spans="1:12" x14ac:dyDescent="0.25">
      <c r="A24" t="s">
        <v>153</v>
      </c>
      <c r="B24">
        <v>3</v>
      </c>
      <c r="C24">
        <v>4</v>
      </c>
      <c r="D24">
        <v>4</v>
      </c>
      <c r="E24">
        <v>4</v>
      </c>
      <c r="F24">
        <v>5</v>
      </c>
      <c r="G24">
        <v>4</v>
      </c>
      <c r="H24">
        <v>4</v>
      </c>
      <c r="I24">
        <v>5</v>
      </c>
      <c r="J24">
        <v>5</v>
      </c>
      <c r="K24">
        <v>4</v>
      </c>
      <c r="L24">
        <v>5</v>
      </c>
    </row>
    <row r="25" spans="1:12" x14ac:dyDescent="0.25">
      <c r="A25" t="s">
        <v>139</v>
      </c>
      <c r="B25">
        <v>4</v>
      </c>
      <c r="C25">
        <v>5</v>
      </c>
      <c r="D25">
        <v>2</v>
      </c>
      <c r="E25">
        <v>2</v>
      </c>
      <c r="F25">
        <v>4</v>
      </c>
      <c r="G25">
        <v>3</v>
      </c>
      <c r="H25">
        <v>5</v>
      </c>
      <c r="I25">
        <v>3</v>
      </c>
      <c r="J25">
        <v>2</v>
      </c>
      <c r="K25">
        <v>3</v>
      </c>
      <c r="L25">
        <v>3</v>
      </c>
    </row>
    <row r="26" spans="1:12" x14ac:dyDescent="0.25">
      <c r="A26" t="s">
        <v>127</v>
      </c>
      <c r="B26">
        <v>4</v>
      </c>
      <c r="C26">
        <v>4</v>
      </c>
      <c r="D26">
        <v>4.5</v>
      </c>
      <c r="E26">
        <v>3.5</v>
      </c>
      <c r="F26">
        <v>4</v>
      </c>
      <c r="G26">
        <v>3.5</v>
      </c>
      <c r="H26">
        <v>3.5</v>
      </c>
      <c r="I26">
        <v>4</v>
      </c>
      <c r="J26">
        <v>3.5</v>
      </c>
      <c r="K26">
        <v>4</v>
      </c>
      <c r="L26">
        <v>5</v>
      </c>
    </row>
    <row r="27" spans="1:12" x14ac:dyDescent="0.25">
      <c r="A27" t="s">
        <v>145</v>
      </c>
      <c r="B27">
        <v>4</v>
      </c>
      <c r="C27">
        <v>4</v>
      </c>
      <c r="D27">
        <v>4</v>
      </c>
      <c r="E27">
        <v>3.5</v>
      </c>
      <c r="F27">
        <v>4.5</v>
      </c>
      <c r="G27">
        <v>4</v>
      </c>
      <c r="H27">
        <v>4</v>
      </c>
      <c r="I27">
        <v>4</v>
      </c>
      <c r="J27">
        <v>4</v>
      </c>
      <c r="K27">
        <v>3.5</v>
      </c>
      <c r="L27">
        <v>4</v>
      </c>
    </row>
    <row r="28" spans="1:12" x14ac:dyDescent="0.25">
      <c r="A28" t="s">
        <v>146</v>
      </c>
      <c r="B28">
        <v>4</v>
      </c>
      <c r="C28">
        <v>4</v>
      </c>
      <c r="D28">
        <v>3</v>
      </c>
      <c r="E28">
        <v>5</v>
      </c>
      <c r="F28">
        <v>4</v>
      </c>
      <c r="G28">
        <v>3</v>
      </c>
      <c r="H28">
        <v>4</v>
      </c>
      <c r="I28">
        <v>3</v>
      </c>
      <c r="J28">
        <v>4</v>
      </c>
      <c r="K28">
        <v>4</v>
      </c>
      <c r="L28">
        <v>4</v>
      </c>
    </row>
    <row r="29" spans="1:12" x14ac:dyDescent="0.25">
      <c r="A29" t="s">
        <v>147</v>
      </c>
      <c r="B29">
        <v>4</v>
      </c>
      <c r="C29">
        <v>4</v>
      </c>
      <c r="D29">
        <v>4</v>
      </c>
      <c r="E29">
        <v>5</v>
      </c>
      <c r="F29">
        <v>5</v>
      </c>
      <c r="G29">
        <v>5</v>
      </c>
      <c r="H29">
        <v>4</v>
      </c>
      <c r="I29">
        <v>5</v>
      </c>
      <c r="J29">
        <v>5</v>
      </c>
      <c r="K29">
        <v>5</v>
      </c>
      <c r="L29">
        <v>5</v>
      </c>
    </row>
    <row r="30" spans="1:12" x14ac:dyDescent="0.25">
      <c r="A30" t="s">
        <v>148</v>
      </c>
      <c r="B30">
        <v>4</v>
      </c>
      <c r="C30">
        <v>4</v>
      </c>
      <c r="D30">
        <v>5</v>
      </c>
      <c r="E30">
        <v>4</v>
      </c>
      <c r="F30">
        <v>5</v>
      </c>
      <c r="G30">
        <v>5</v>
      </c>
      <c r="H30">
        <v>5</v>
      </c>
      <c r="I30">
        <v>4</v>
      </c>
      <c r="J30">
        <v>4</v>
      </c>
      <c r="K30">
        <v>5</v>
      </c>
      <c r="L30">
        <v>4</v>
      </c>
    </row>
    <row r="31" spans="1:12" x14ac:dyDescent="0.25">
      <c r="A31" t="s">
        <v>140</v>
      </c>
      <c r="B31">
        <v>5</v>
      </c>
      <c r="C31">
        <v>4</v>
      </c>
      <c r="D31">
        <v>4</v>
      </c>
      <c r="E31">
        <v>4</v>
      </c>
      <c r="F31">
        <v>3</v>
      </c>
      <c r="G31">
        <v>3</v>
      </c>
      <c r="H31">
        <v>4</v>
      </c>
      <c r="I31">
        <v>4</v>
      </c>
      <c r="J31">
        <v>5</v>
      </c>
      <c r="K31">
        <v>5</v>
      </c>
      <c r="L31">
        <v>4</v>
      </c>
    </row>
    <row r="32" spans="1:12" x14ac:dyDescent="0.25">
      <c r="A32" t="s">
        <v>141</v>
      </c>
      <c r="B32">
        <v>5</v>
      </c>
      <c r="C32">
        <v>5</v>
      </c>
      <c r="D32">
        <v>4</v>
      </c>
      <c r="E32">
        <v>4</v>
      </c>
      <c r="F32">
        <v>4</v>
      </c>
      <c r="G32">
        <v>4</v>
      </c>
      <c r="H32">
        <v>5</v>
      </c>
      <c r="I32">
        <v>4</v>
      </c>
      <c r="J32">
        <v>5</v>
      </c>
      <c r="K32">
        <v>5</v>
      </c>
      <c r="L32">
        <v>3</v>
      </c>
    </row>
    <row r="33" spans="1:12" x14ac:dyDescent="0.25">
      <c r="A33" t="s">
        <v>119</v>
      </c>
      <c r="B33">
        <v>5</v>
      </c>
      <c r="C33">
        <v>5</v>
      </c>
      <c r="D33">
        <v>3</v>
      </c>
      <c r="E33">
        <v>4</v>
      </c>
      <c r="F33">
        <v>4</v>
      </c>
      <c r="G33">
        <v>4</v>
      </c>
      <c r="H33">
        <v>5</v>
      </c>
      <c r="I33">
        <v>4</v>
      </c>
      <c r="J33">
        <v>5</v>
      </c>
      <c r="K33">
        <v>5</v>
      </c>
      <c r="L33">
        <v>4</v>
      </c>
    </row>
    <row r="34" spans="1:12" x14ac:dyDescent="0.25">
      <c r="A34" t="s">
        <v>120</v>
      </c>
      <c r="B34">
        <v>5</v>
      </c>
      <c r="C34">
        <v>5</v>
      </c>
      <c r="D34">
        <v>4</v>
      </c>
      <c r="E34">
        <v>4</v>
      </c>
      <c r="F34">
        <v>3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</row>
    <row r="35" spans="1:12" x14ac:dyDescent="0.25">
      <c r="A35" t="s">
        <v>147</v>
      </c>
      <c r="B35">
        <v>5</v>
      </c>
      <c r="C35">
        <v>4</v>
      </c>
      <c r="D35">
        <v>3</v>
      </c>
      <c r="E35">
        <v>4</v>
      </c>
      <c r="F35">
        <v>4</v>
      </c>
      <c r="G35">
        <v>4</v>
      </c>
      <c r="H35">
        <v>5</v>
      </c>
      <c r="I35">
        <v>5</v>
      </c>
      <c r="J35">
        <v>5</v>
      </c>
      <c r="K35">
        <v>5</v>
      </c>
      <c r="L35">
        <v>5</v>
      </c>
    </row>
    <row r="36" spans="1:12" x14ac:dyDescent="0.25">
      <c r="A36" t="s">
        <v>151</v>
      </c>
      <c r="B36">
        <v>5</v>
      </c>
      <c r="C36">
        <v>3</v>
      </c>
      <c r="D36">
        <v>4</v>
      </c>
      <c r="E36">
        <v>3</v>
      </c>
      <c r="F36">
        <v>4</v>
      </c>
      <c r="G36">
        <v>3</v>
      </c>
      <c r="H36">
        <v>5</v>
      </c>
      <c r="I36">
        <v>3</v>
      </c>
      <c r="J36">
        <v>5</v>
      </c>
      <c r="K36">
        <v>5</v>
      </c>
      <c r="L36">
        <v>4</v>
      </c>
    </row>
    <row r="37" spans="1:12" x14ac:dyDescent="0.25">
      <c r="A37" t="s">
        <v>152</v>
      </c>
      <c r="B37">
        <v>5</v>
      </c>
      <c r="C37">
        <v>5</v>
      </c>
      <c r="D37">
        <v>3</v>
      </c>
      <c r="E37">
        <v>4</v>
      </c>
      <c r="F37">
        <v>3</v>
      </c>
      <c r="G37">
        <v>2</v>
      </c>
      <c r="H37">
        <v>5</v>
      </c>
      <c r="I37">
        <v>3</v>
      </c>
      <c r="J37">
        <v>3</v>
      </c>
      <c r="K37">
        <v>5</v>
      </c>
      <c r="L37">
        <v>3</v>
      </c>
    </row>
    <row r="38" spans="1:12" x14ac:dyDescent="0.25">
      <c r="A38" t="s">
        <v>149</v>
      </c>
      <c r="B38">
        <v>5</v>
      </c>
      <c r="C38">
        <v>5</v>
      </c>
      <c r="D38">
        <v>4</v>
      </c>
      <c r="E38">
        <v>4</v>
      </c>
      <c r="F38">
        <v>5</v>
      </c>
      <c r="G38">
        <v>5</v>
      </c>
      <c r="H38">
        <v>5</v>
      </c>
      <c r="I38">
        <v>4</v>
      </c>
      <c r="J38">
        <v>4</v>
      </c>
      <c r="K38">
        <v>5</v>
      </c>
      <c r="L38">
        <v>3</v>
      </c>
    </row>
    <row r="39" spans="1:12" x14ac:dyDescent="0.25">
      <c r="A39" t="s">
        <v>140</v>
      </c>
      <c r="B39">
        <v>6</v>
      </c>
      <c r="C39">
        <v>3</v>
      </c>
      <c r="D39">
        <v>3</v>
      </c>
      <c r="E39">
        <v>3</v>
      </c>
      <c r="F39">
        <v>4</v>
      </c>
      <c r="G39">
        <v>2</v>
      </c>
      <c r="H39">
        <v>3</v>
      </c>
      <c r="I39">
        <v>3</v>
      </c>
      <c r="J39">
        <v>3</v>
      </c>
      <c r="K39">
        <v>3</v>
      </c>
      <c r="L39">
        <v>4</v>
      </c>
    </row>
    <row r="40" spans="1:12" x14ac:dyDescent="0.25">
      <c r="A40" t="s">
        <v>141</v>
      </c>
      <c r="B40">
        <v>6</v>
      </c>
      <c r="C40">
        <v>3</v>
      </c>
      <c r="D40">
        <v>3</v>
      </c>
      <c r="E40">
        <v>4</v>
      </c>
      <c r="F40">
        <v>4</v>
      </c>
      <c r="G40">
        <v>3</v>
      </c>
      <c r="H40">
        <v>3</v>
      </c>
      <c r="I40">
        <v>4</v>
      </c>
      <c r="J40">
        <v>4</v>
      </c>
      <c r="K40">
        <v>3</v>
      </c>
      <c r="L40">
        <v>3</v>
      </c>
    </row>
    <row r="41" spans="1:12" x14ac:dyDescent="0.25">
      <c r="A41" t="s">
        <v>119</v>
      </c>
      <c r="B41">
        <v>6</v>
      </c>
      <c r="C41">
        <v>4</v>
      </c>
      <c r="D41">
        <v>3</v>
      </c>
      <c r="E41">
        <v>3</v>
      </c>
      <c r="F41">
        <v>3</v>
      </c>
      <c r="G41">
        <v>3</v>
      </c>
      <c r="H41">
        <v>4</v>
      </c>
      <c r="I41">
        <v>4</v>
      </c>
      <c r="J41">
        <v>3</v>
      </c>
      <c r="K41">
        <v>3</v>
      </c>
      <c r="L41">
        <v>3</v>
      </c>
    </row>
    <row r="42" spans="1:12" x14ac:dyDescent="0.25">
      <c r="A42" t="s">
        <v>120</v>
      </c>
      <c r="B42">
        <v>6</v>
      </c>
      <c r="C42">
        <v>5</v>
      </c>
      <c r="D42">
        <v>3</v>
      </c>
      <c r="E42">
        <v>4</v>
      </c>
      <c r="F42">
        <v>3</v>
      </c>
      <c r="G42">
        <v>4</v>
      </c>
      <c r="H42">
        <v>5</v>
      </c>
      <c r="I42">
        <v>4</v>
      </c>
      <c r="J42">
        <v>4</v>
      </c>
      <c r="K42">
        <v>3</v>
      </c>
      <c r="L42">
        <v>4</v>
      </c>
    </row>
    <row r="43" spans="1:12" x14ac:dyDescent="0.25">
      <c r="A43" t="s">
        <v>144</v>
      </c>
      <c r="B43">
        <v>6</v>
      </c>
      <c r="C43">
        <v>5</v>
      </c>
      <c r="D43">
        <v>3</v>
      </c>
      <c r="E43">
        <v>3</v>
      </c>
      <c r="F43">
        <v>4</v>
      </c>
      <c r="G43">
        <v>5</v>
      </c>
      <c r="H43">
        <v>4</v>
      </c>
      <c r="I43">
        <v>4</v>
      </c>
      <c r="J43">
        <v>4</v>
      </c>
      <c r="K43">
        <v>4</v>
      </c>
      <c r="L43">
        <v>5</v>
      </c>
    </row>
    <row r="44" spans="1:12" x14ac:dyDescent="0.25">
      <c r="A44" t="s">
        <v>147</v>
      </c>
      <c r="B44">
        <v>6</v>
      </c>
      <c r="C44">
        <v>5</v>
      </c>
      <c r="D44">
        <v>3</v>
      </c>
      <c r="E44">
        <v>4</v>
      </c>
      <c r="F44">
        <v>4</v>
      </c>
      <c r="G44">
        <v>4</v>
      </c>
      <c r="H44">
        <v>5</v>
      </c>
      <c r="I44">
        <v>5</v>
      </c>
      <c r="J44">
        <v>5</v>
      </c>
      <c r="K44">
        <v>5</v>
      </c>
      <c r="L44">
        <v>5</v>
      </c>
    </row>
    <row r="45" spans="1:12" x14ac:dyDescent="0.25">
      <c r="A45" t="s">
        <v>152</v>
      </c>
      <c r="B45">
        <v>6</v>
      </c>
      <c r="C45">
        <v>4</v>
      </c>
      <c r="D45">
        <v>3</v>
      </c>
      <c r="E45">
        <v>3</v>
      </c>
      <c r="F45">
        <v>3</v>
      </c>
      <c r="G45">
        <v>3</v>
      </c>
      <c r="H45">
        <v>5</v>
      </c>
      <c r="I45">
        <v>3</v>
      </c>
      <c r="J45">
        <v>4</v>
      </c>
      <c r="K45">
        <v>5</v>
      </c>
      <c r="L45">
        <v>5</v>
      </c>
    </row>
    <row r="46" spans="1:12" x14ac:dyDescent="0.25">
      <c r="A46" t="s">
        <v>150</v>
      </c>
      <c r="B46">
        <v>6</v>
      </c>
      <c r="C46">
        <v>4</v>
      </c>
      <c r="D46">
        <v>3</v>
      </c>
      <c r="E46">
        <v>3</v>
      </c>
      <c r="F46">
        <v>5</v>
      </c>
      <c r="G46">
        <v>5</v>
      </c>
      <c r="H46">
        <v>4</v>
      </c>
      <c r="I46">
        <v>3</v>
      </c>
      <c r="J46">
        <v>4</v>
      </c>
      <c r="K46">
        <v>5</v>
      </c>
      <c r="L46">
        <v>4</v>
      </c>
    </row>
    <row r="47" spans="1:12" x14ac:dyDescent="0.25">
      <c r="A47" t="s">
        <v>140</v>
      </c>
      <c r="B47">
        <v>7</v>
      </c>
      <c r="C47">
        <v>5</v>
      </c>
      <c r="D47">
        <v>4</v>
      </c>
      <c r="E47">
        <v>5</v>
      </c>
      <c r="F47">
        <v>4</v>
      </c>
      <c r="G47">
        <v>4</v>
      </c>
      <c r="H47">
        <v>3</v>
      </c>
      <c r="I47">
        <v>4</v>
      </c>
      <c r="J47">
        <v>5</v>
      </c>
      <c r="K47">
        <v>4</v>
      </c>
      <c r="L47">
        <v>4</v>
      </c>
    </row>
    <row r="48" spans="1:12" x14ac:dyDescent="0.25">
      <c r="A48" t="s">
        <v>141</v>
      </c>
      <c r="B48">
        <v>7</v>
      </c>
      <c r="C48">
        <v>4</v>
      </c>
      <c r="D48">
        <v>5</v>
      </c>
      <c r="E48">
        <v>4</v>
      </c>
      <c r="F48">
        <v>5</v>
      </c>
      <c r="G48">
        <v>4</v>
      </c>
      <c r="H48">
        <v>4</v>
      </c>
      <c r="I48">
        <v>5</v>
      </c>
      <c r="J48">
        <v>5</v>
      </c>
      <c r="K48">
        <v>4</v>
      </c>
      <c r="L48">
        <v>5</v>
      </c>
    </row>
    <row r="49" spans="1:12" x14ac:dyDescent="0.25">
      <c r="A49" t="s">
        <v>142</v>
      </c>
      <c r="B49">
        <v>7</v>
      </c>
      <c r="C49">
        <v>5</v>
      </c>
      <c r="D49">
        <v>4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</row>
    <row r="50" spans="1:12" x14ac:dyDescent="0.25">
      <c r="A50" t="s">
        <v>119</v>
      </c>
      <c r="B50">
        <v>7</v>
      </c>
      <c r="C50">
        <v>5</v>
      </c>
      <c r="D50">
        <v>5</v>
      </c>
      <c r="E50">
        <v>4</v>
      </c>
      <c r="F50">
        <v>5</v>
      </c>
      <c r="G50">
        <v>5</v>
      </c>
      <c r="H50">
        <v>4</v>
      </c>
      <c r="I50">
        <v>4</v>
      </c>
      <c r="J50">
        <v>5</v>
      </c>
      <c r="K50">
        <v>5</v>
      </c>
      <c r="L50">
        <v>5</v>
      </c>
    </row>
    <row r="51" spans="1:12" x14ac:dyDescent="0.25">
      <c r="A51" t="s">
        <v>120</v>
      </c>
      <c r="B51">
        <v>7</v>
      </c>
      <c r="C51">
        <v>5</v>
      </c>
      <c r="D51">
        <v>4</v>
      </c>
      <c r="E51">
        <v>4</v>
      </c>
      <c r="F51">
        <v>5</v>
      </c>
      <c r="G51">
        <v>5</v>
      </c>
      <c r="H51">
        <v>5</v>
      </c>
      <c r="I51">
        <v>4</v>
      </c>
      <c r="J51">
        <v>5</v>
      </c>
      <c r="K51">
        <v>5</v>
      </c>
      <c r="L51">
        <v>4</v>
      </c>
    </row>
    <row r="52" spans="1:12" x14ac:dyDescent="0.25">
      <c r="A52" t="s">
        <v>144</v>
      </c>
      <c r="B52">
        <v>7</v>
      </c>
      <c r="C52">
        <v>5</v>
      </c>
      <c r="D52">
        <v>4</v>
      </c>
      <c r="E52">
        <v>4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</row>
    <row r="53" spans="1:12" x14ac:dyDescent="0.25">
      <c r="A53" t="s">
        <v>151</v>
      </c>
      <c r="B53">
        <v>7</v>
      </c>
      <c r="C53">
        <v>5</v>
      </c>
      <c r="D53">
        <v>5</v>
      </c>
      <c r="E53">
        <v>5</v>
      </c>
      <c r="F53">
        <v>4</v>
      </c>
      <c r="G53">
        <v>3</v>
      </c>
      <c r="H53">
        <v>5</v>
      </c>
      <c r="I53">
        <v>4</v>
      </c>
      <c r="J53">
        <v>5</v>
      </c>
      <c r="K53">
        <v>3</v>
      </c>
      <c r="L53">
        <v>4</v>
      </c>
    </row>
    <row r="54" spans="1:12" x14ac:dyDescent="0.25">
      <c r="A54" t="s">
        <v>149</v>
      </c>
      <c r="B54">
        <v>7</v>
      </c>
      <c r="C54">
        <v>5</v>
      </c>
      <c r="D54">
        <v>3</v>
      </c>
      <c r="E54">
        <v>3</v>
      </c>
      <c r="F54">
        <v>3</v>
      </c>
      <c r="G54">
        <v>3</v>
      </c>
      <c r="H54">
        <v>4</v>
      </c>
      <c r="I54">
        <v>4</v>
      </c>
      <c r="J54">
        <v>4</v>
      </c>
      <c r="K54">
        <v>3</v>
      </c>
      <c r="L54">
        <v>4</v>
      </c>
    </row>
    <row r="55" spans="1:12" x14ac:dyDescent="0.25">
      <c r="A55" t="s">
        <v>149</v>
      </c>
      <c r="B55">
        <v>7</v>
      </c>
      <c r="C55">
        <v>5</v>
      </c>
      <c r="D55">
        <v>4</v>
      </c>
      <c r="E55">
        <v>4</v>
      </c>
      <c r="F55">
        <v>5</v>
      </c>
      <c r="G55">
        <v>4</v>
      </c>
      <c r="H55">
        <v>4</v>
      </c>
      <c r="I55">
        <v>5</v>
      </c>
      <c r="J55">
        <v>5</v>
      </c>
      <c r="K55">
        <v>2</v>
      </c>
      <c r="L55">
        <v>5</v>
      </c>
    </row>
    <row r="56" spans="1:12" x14ac:dyDescent="0.25">
      <c r="A56" t="s">
        <v>140</v>
      </c>
      <c r="B56">
        <v>8</v>
      </c>
      <c r="C56">
        <v>5</v>
      </c>
      <c r="D56">
        <v>4</v>
      </c>
      <c r="E56">
        <v>5</v>
      </c>
      <c r="F56">
        <v>4</v>
      </c>
      <c r="G56">
        <v>5</v>
      </c>
      <c r="H56">
        <v>4</v>
      </c>
      <c r="I56">
        <v>5</v>
      </c>
      <c r="J56">
        <v>5</v>
      </c>
      <c r="K56">
        <v>5</v>
      </c>
      <c r="L56">
        <v>4</v>
      </c>
    </row>
    <row r="57" spans="1:12" x14ac:dyDescent="0.25">
      <c r="A57" t="s">
        <v>141</v>
      </c>
      <c r="B57">
        <v>8</v>
      </c>
      <c r="C57">
        <v>3</v>
      </c>
      <c r="D57">
        <v>4</v>
      </c>
      <c r="E57">
        <v>4</v>
      </c>
      <c r="F57">
        <v>3</v>
      </c>
      <c r="G57">
        <v>3</v>
      </c>
      <c r="H57">
        <v>3</v>
      </c>
      <c r="I57">
        <v>4</v>
      </c>
      <c r="J57">
        <v>4</v>
      </c>
      <c r="K57">
        <v>4</v>
      </c>
      <c r="L57">
        <v>4</v>
      </c>
    </row>
    <row r="58" spans="1:12" x14ac:dyDescent="0.25">
      <c r="A58" t="s">
        <v>142</v>
      </c>
      <c r="B58">
        <v>8</v>
      </c>
      <c r="C58">
        <v>5</v>
      </c>
      <c r="D58">
        <v>5</v>
      </c>
      <c r="E58">
        <v>4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</row>
    <row r="59" spans="1:12" x14ac:dyDescent="0.25">
      <c r="A59" t="s">
        <v>120</v>
      </c>
      <c r="B59">
        <v>8</v>
      </c>
      <c r="C59">
        <v>5</v>
      </c>
      <c r="D59">
        <v>3</v>
      </c>
      <c r="E59">
        <v>4</v>
      </c>
      <c r="F59">
        <v>4</v>
      </c>
      <c r="G59">
        <v>5</v>
      </c>
      <c r="H59">
        <v>5</v>
      </c>
      <c r="I59">
        <v>3</v>
      </c>
      <c r="J59">
        <v>4</v>
      </c>
      <c r="K59">
        <v>4</v>
      </c>
      <c r="L59">
        <v>4</v>
      </c>
    </row>
    <row r="60" spans="1:12" x14ac:dyDescent="0.25">
      <c r="A60" t="s">
        <v>144</v>
      </c>
      <c r="B60">
        <v>8</v>
      </c>
      <c r="C60">
        <v>5</v>
      </c>
      <c r="D60">
        <v>4</v>
      </c>
      <c r="E60">
        <v>4</v>
      </c>
      <c r="F60">
        <v>4</v>
      </c>
      <c r="G60">
        <v>5</v>
      </c>
      <c r="H60">
        <v>5</v>
      </c>
      <c r="I60">
        <v>4</v>
      </c>
      <c r="J60">
        <v>4</v>
      </c>
      <c r="K60">
        <v>5</v>
      </c>
      <c r="L60">
        <v>5</v>
      </c>
    </row>
    <row r="61" spans="1:12" x14ac:dyDescent="0.25">
      <c r="A61" t="s">
        <v>151</v>
      </c>
      <c r="B61">
        <v>8</v>
      </c>
      <c r="C61">
        <v>5</v>
      </c>
      <c r="D61">
        <v>3</v>
      </c>
      <c r="E61">
        <v>4</v>
      </c>
      <c r="F61">
        <v>4</v>
      </c>
      <c r="G61">
        <v>5</v>
      </c>
      <c r="H61">
        <v>4</v>
      </c>
      <c r="I61">
        <v>5</v>
      </c>
      <c r="J61">
        <v>5</v>
      </c>
      <c r="K61">
        <v>5</v>
      </c>
      <c r="L61">
        <v>5</v>
      </c>
    </row>
    <row r="62" spans="1:12" x14ac:dyDescent="0.25">
      <c r="A62" t="s">
        <v>152</v>
      </c>
      <c r="B62">
        <v>8</v>
      </c>
      <c r="C62">
        <v>5</v>
      </c>
      <c r="D62">
        <v>3</v>
      </c>
      <c r="E62">
        <v>4</v>
      </c>
      <c r="F62">
        <v>4</v>
      </c>
      <c r="G62">
        <v>5</v>
      </c>
      <c r="H62">
        <v>5</v>
      </c>
      <c r="I62">
        <v>4</v>
      </c>
      <c r="J62">
        <v>5</v>
      </c>
      <c r="K62">
        <v>5</v>
      </c>
      <c r="L62">
        <v>5</v>
      </c>
    </row>
    <row r="63" spans="1:12" x14ac:dyDescent="0.25">
      <c r="A63" t="s">
        <v>153</v>
      </c>
      <c r="B63">
        <v>8</v>
      </c>
      <c r="C63">
        <v>4</v>
      </c>
      <c r="D63">
        <v>3</v>
      </c>
      <c r="E63">
        <v>3</v>
      </c>
      <c r="F63">
        <v>4</v>
      </c>
      <c r="G63">
        <v>4</v>
      </c>
      <c r="H63">
        <v>4</v>
      </c>
      <c r="I63">
        <v>4</v>
      </c>
      <c r="J63">
        <v>5</v>
      </c>
      <c r="K63">
        <v>5</v>
      </c>
      <c r="L63">
        <v>5</v>
      </c>
    </row>
    <row r="64" spans="1:12" x14ac:dyDescent="0.25">
      <c r="A64" t="s">
        <v>139</v>
      </c>
      <c r="B64">
        <v>9</v>
      </c>
      <c r="C64">
        <v>5</v>
      </c>
      <c r="D64">
        <v>2</v>
      </c>
      <c r="E64">
        <v>2</v>
      </c>
      <c r="F64">
        <v>4</v>
      </c>
      <c r="G64">
        <v>2</v>
      </c>
      <c r="H64">
        <v>3</v>
      </c>
      <c r="I64">
        <v>3</v>
      </c>
      <c r="J64">
        <v>5</v>
      </c>
      <c r="K64">
        <v>3</v>
      </c>
      <c r="L64">
        <v>4</v>
      </c>
    </row>
    <row r="65" spans="1:12" x14ac:dyDescent="0.25">
      <c r="A65" t="s">
        <v>142</v>
      </c>
      <c r="B65">
        <v>9</v>
      </c>
      <c r="C65">
        <v>5</v>
      </c>
      <c r="D65">
        <v>5</v>
      </c>
      <c r="E65">
        <v>4</v>
      </c>
      <c r="F65">
        <v>5</v>
      </c>
      <c r="G65">
        <v>5</v>
      </c>
      <c r="H65">
        <v>5</v>
      </c>
      <c r="I65">
        <v>5</v>
      </c>
      <c r="J65">
        <v>3</v>
      </c>
      <c r="K65">
        <v>5</v>
      </c>
      <c r="L65">
        <v>5</v>
      </c>
    </row>
    <row r="66" spans="1:12" x14ac:dyDescent="0.25">
      <c r="A66" t="s">
        <v>119</v>
      </c>
      <c r="B66">
        <v>9</v>
      </c>
      <c r="C66">
        <v>5</v>
      </c>
      <c r="D66">
        <v>4</v>
      </c>
      <c r="E66">
        <v>5</v>
      </c>
      <c r="F66">
        <v>4</v>
      </c>
      <c r="G66">
        <v>5</v>
      </c>
      <c r="H66">
        <v>5</v>
      </c>
      <c r="I66">
        <v>5</v>
      </c>
      <c r="J66">
        <v>5</v>
      </c>
      <c r="K66">
        <v>5</v>
      </c>
      <c r="L66">
        <v>4</v>
      </c>
    </row>
    <row r="67" spans="1:12" x14ac:dyDescent="0.25">
      <c r="A67" t="s">
        <v>143</v>
      </c>
      <c r="B67">
        <v>9</v>
      </c>
      <c r="C67">
        <v>4</v>
      </c>
      <c r="D67">
        <v>3</v>
      </c>
      <c r="E67">
        <v>3</v>
      </c>
      <c r="F67">
        <v>4</v>
      </c>
      <c r="G67">
        <v>3</v>
      </c>
      <c r="H67">
        <v>3</v>
      </c>
      <c r="I67">
        <v>4</v>
      </c>
      <c r="J67">
        <v>3</v>
      </c>
      <c r="K67">
        <v>3</v>
      </c>
      <c r="L67">
        <v>3</v>
      </c>
    </row>
    <row r="68" spans="1:12" x14ac:dyDescent="0.25">
      <c r="A68" t="s">
        <v>144</v>
      </c>
      <c r="B68">
        <v>9</v>
      </c>
      <c r="C68">
        <v>5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5</v>
      </c>
      <c r="L68">
        <v>5</v>
      </c>
    </row>
    <row r="69" spans="1:12" x14ac:dyDescent="0.25">
      <c r="A69" t="s">
        <v>147</v>
      </c>
      <c r="B69">
        <v>9</v>
      </c>
      <c r="C69">
        <v>4</v>
      </c>
      <c r="D69">
        <v>3</v>
      </c>
      <c r="E69">
        <v>3</v>
      </c>
      <c r="F69">
        <v>3</v>
      </c>
      <c r="G69">
        <v>4</v>
      </c>
      <c r="H69">
        <v>3</v>
      </c>
      <c r="I69">
        <v>4</v>
      </c>
      <c r="J69">
        <v>4</v>
      </c>
      <c r="K69">
        <v>4</v>
      </c>
      <c r="L69">
        <v>4</v>
      </c>
    </row>
    <row r="70" spans="1:12" x14ac:dyDescent="0.25">
      <c r="A70" t="s">
        <v>149</v>
      </c>
      <c r="B70">
        <v>9</v>
      </c>
      <c r="C70">
        <v>5</v>
      </c>
      <c r="D70">
        <v>3</v>
      </c>
      <c r="E70">
        <v>3</v>
      </c>
      <c r="F70">
        <v>4</v>
      </c>
      <c r="G70">
        <v>4</v>
      </c>
      <c r="H70">
        <v>4</v>
      </c>
      <c r="I70">
        <v>3</v>
      </c>
      <c r="J70">
        <v>4</v>
      </c>
      <c r="K70">
        <v>4</v>
      </c>
      <c r="L70">
        <v>5</v>
      </c>
    </row>
    <row r="71" spans="1:12" x14ac:dyDescent="0.25">
      <c r="A71" t="s">
        <v>153</v>
      </c>
      <c r="B71">
        <v>9</v>
      </c>
      <c r="C71">
        <v>4</v>
      </c>
      <c r="D71">
        <v>3</v>
      </c>
      <c r="E71">
        <v>3</v>
      </c>
      <c r="F71">
        <v>4</v>
      </c>
      <c r="G71">
        <v>3</v>
      </c>
      <c r="H71">
        <v>3</v>
      </c>
      <c r="I71">
        <v>3</v>
      </c>
      <c r="J71">
        <v>4</v>
      </c>
      <c r="K71">
        <v>4</v>
      </c>
      <c r="L71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310B-2A00-4C7B-A402-443E6728DE8E}">
  <dimension ref="A1:S135"/>
  <sheetViews>
    <sheetView topLeftCell="B15" zoomScale="130" zoomScaleNormal="130" workbookViewId="0">
      <selection activeCell="O41" sqref="O41"/>
    </sheetView>
  </sheetViews>
  <sheetFormatPr defaultRowHeight="15" x14ac:dyDescent="0.25"/>
  <cols>
    <col min="2" max="2" width="71.7109375" customWidth="1"/>
    <col min="3" max="3" width="11.5703125" customWidth="1"/>
    <col min="8" max="8" width="9.5703125" bestFit="1" customWidth="1"/>
    <col min="14" max="14" width="10.42578125" customWidth="1"/>
  </cols>
  <sheetData>
    <row r="1" spans="1:17" x14ac:dyDescent="0.25">
      <c r="B1" s="1" t="s">
        <v>32</v>
      </c>
      <c r="J1" t="s">
        <v>29</v>
      </c>
    </row>
    <row r="2" spans="1:17" x14ac:dyDescent="0.25">
      <c r="B2" s="1" t="s">
        <v>77</v>
      </c>
      <c r="J2" t="s">
        <v>30</v>
      </c>
      <c r="Q2" t="s">
        <v>31</v>
      </c>
    </row>
    <row r="3" spans="1:17" x14ac:dyDescent="0.25">
      <c r="B3" s="1"/>
      <c r="J3" s="38" t="s">
        <v>14</v>
      </c>
      <c r="Q3" s="38" t="s">
        <v>23</v>
      </c>
    </row>
    <row r="4" spans="1:17" x14ac:dyDescent="0.25">
      <c r="B4" s="1"/>
      <c r="J4" s="38" t="s">
        <v>15</v>
      </c>
      <c r="Q4" s="38" t="s">
        <v>24</v>
      </c>
    </row>
    <row r="5" spans="1:17" x14ac:dyDescent="0.25">
      <c r="B5" t="s">
        <v>12</v>
      </c>
      <c r="J5" t="s">
        <v>16</v>
      </c>
      <c r="Q5" s="38" t="s">
        <v>25</v>
      </c>
    </row>
    <row r="6" spans="1:17" x14ac:dyDescent="0.25">
      <c r="B6" t="s">
        <v>13</v>
      </c>
      <c r="J6" s="38" t="s">
        <v>17</v>
      </c>
      <c r="Q6" t="s">
        <v>26</v>
      </c>
    </row>
    <row r="7" spans="1:17" x14ac:dyDescent="0.25">
      <c r="J7" t="s">
        <v>18</v>
      </c>
      <c r="Q7" s="38" t="s">
        <v>27</v>
      </c>
    </row>
    <row r="8" spans="1:17" x14ac:dyDescent="0.25">
      <c r="J8" s="38" t="s">
        <v>19</v>
      </c>
      <c r="Q8" s="38" t="s">
        <v>28</v>
      </c>
    </row>
    <row r="9" spans="1:17" x14ac:dyDescent="0.25">
      <c r="J9" t="s">
        <v>20</v>
      </c>
    </row>
    <row r="10" spans="1:17" x14ac:dyDescent="0.25">
      <c r="B10" s="3" t="s">
        <v>8</v>
      </c>
      <c r="C10" s="3"/>
      <c r="D10" s="3"/>
      <c r="J10" s="38" t="s">
        <v>21</v>
      </c>
    </row>
    <row r="11" spans="1:17" x14ac:dyDescent="0.25">
      <c r="B11" s="3">
        <v>1</v>
      </c>
      <c r="C11" s="3" t="s">
        <v>0</v>
      </c>
      <c r="D11" s="3"/>
      <c r="E11" t="s">
        <v>135</v>
      </c>
      <c r="J11" t="s">
        <v>22</v>
      </c>
    </row>
    <row r="12" spans="1:17" x14ac:dyDescent="0.25">
      <c r="B12" s="3">
        <v>2</v>
      </c>
      <c r="C12" s="3" t="s">
        <v>1</v>
      </c>
      <c r="D12" s="3"/>
      <c r="E12" t="s">
        <v>134</v>
      </c>
    </row>
    <row r="13" spans="1:17" x14ac:dyDescent="0.25">
      <c r="B13" s="3">
        <v>3</v>
      </c>
      <c r="C13" s="3" t="s">
        <v>2</v>
      </c>
      <c r="D13" s="3"/>
      <c r="E13" t="s">
        <v>136</v>
      </c>
    </row>
    <row r="14" spans="1:17" x14ac:dyDescent="0.25">
      <c r="B14" s="3"/>
      <c r="C14" s="3"/>
      <c r="D14" s="3"/>
    </row>
    <row r="15" spans="1:17" x14ac:dyDescent="0.25">
      <c r="C15" t="s">
        <v>30</v>
      </c>
      <c r="H15" t="s">
        <v>31</v>
      </c>
    </row>
    <row r="16" spans="1:17" x14ac:dyDescent="0.25">
      <c r="A16" s="33"/>
      <c r="B16" s="18" t="s">
        <v>7</v>
      </c>
      <c r="C16" s="18">
        <v>1</v>
      </c>
      <c r="D16" s="18">
        <v>2</v>
      </c>
      <c r="E16" s="18">
        <v>3</v>
      </c>
      <c r="F16" s="18">
        <v>4</v>
      </c>
      <c r="G16" s="30">
        <v>6</v>
      </c>
      <c r="H16" s="18">
        <v>7</v>
      </c>
      <c r="I16" s="18">
        <v>8</v>
      </c>
      <c r="J16" s="18">
        <v>9</v>
      </c>
      <c r="K16" s="18">
        <v>11</v>
      </c>
      <c r="L16" s="18">
        <v>12</v>
      </c>
    </row>
    <row r="17" spans="1:18" x14ac:dyDescent="0.25">
      <c r="A17" s="33"/>
      <c r="B17" s="18" t="s">
        <v>9</v>
      </c>
      <c r="C17" s="18">
        <v>2</v>
      </c>
      <c r="D17" s="18">
        <v>2</v>
      </c>
      <c r="E17" s="18">
        <v>2</v>
      </c>
      <c r="F17" s="18">
        <v>2</v>
      </c>
      <c r="G17" s="31">
        <v>2</v>
      </c>
      <c r="H17" s="19">
        <v>3</v>
      </c>
      <c r="I17" s="19">
        <v>3</v>
      </c>
      <c r="J17" s="19">
        <v>3</v>
      </c>
      <c r="K17" s="19">
        <v>3</v>
      </c>
      <c r="L17" s="19">
        <v>3</v>
      </c>
    </row>
    <row r="18" spans="1:18" x14ac:dyDescent="0.25">
      <c r="B18" t="s">
        <v>48</v>
      </c>
      <c r="C18" s="2"/>
      <c r="G18" s="32"/>
    </row>
    <row r="19" spans="1:18" x14ac:dyDescent="0.25">
      <c r="A19" t="s">
        <v>51</v>
      </c>
      <c r="B19" t="s">
        <v>78</v>
      </c>
      <c r="C19" s="43">
        <v>3</v>
      </c>
      <c r="D19" s="43">
        <v>2</v>
      </c>
      <c r="E19" s="43">
        <v>2</v>
      </c>
      <c r="F19" s="43">
        <v>3</v>
      </c>
      <c r="G19" s="43">
        <v>3</v>
      </c>
      <c r="H19" s="43">
        <v>3</v>
      </c>
      <c r="I19" s="43">
        <v>3</v>
      </c>
      <c r="J19" s="43">
        <v>3</v>
      </c>
      <c r="K19" s="43">
        <v>3</v>
      </c>
      <c r="L19" s="43">
        <v>3</v>
      </c>
    </row>
    <row r="20" spans="1:18" x14ac:dyDescent="0.25">
      <c r="A20" t="s">
        <v>52</v>
      </c>
      <c r="B20" t="s">
        <v>96</v>
      </c>
      <c r="C20" s="43">
        <v>2</v>
      </c>
      <c r="D20" s="43">
        <v>2</v>
      </c>
      <c r="E20" s="43">
        <v>2</v>
      </c>
      <c r="F20" s="43">
        <v>2</v>
      </c>
      <c r="G20" s="43">
        <v>3</v>
      </c>
      <c r="H20" s="43">
        <v>3</v>
      </c>
      <c r="I20" s="43">
        <v>2</v>
      </c>
      <c r="J20" s="43">
        <v>2</v>
      </c>
      <c r="K20" s="43">
        <v>2</v>
      </c>
      <c r="L20" s="43">
        <v>2</v>
      </c>
    </row>
    <row r="21" spans="1:18" x14ac:dyDescent="0.25">
      <c r="A21" t="s">
        <v>53</v>
      </c>
      <c r="B21" t="s">
        <v>97</v>
      </c>
      <c r="C21" s="43">
        <v>2</v>
      </c>
      <c r="D21" s="43">
        <v>2</v>
      </c>
      <c r="E21" s="43">
        <v>2</v>
      </c>
      <c r="F21" s="43">
        <v>2</v>
      </c>
      <c r="G21" s="43">
        <v>3</v>
      </c>
      <c r="H21" s="43">
        <v>2</v>
      </c>
      <c r="I21" s="43">
        <v>2</v>
      </c>
      <c r="J21" s="43">
        <v>2</v>
      </c>
      <c r="K21" s="43">
        <v>2</v>
      </c>
      <c r="L21" s="43">
        <v>2</v>
      </c>
    </row>
    <row r="22" spans="1:18" x14ac:dyDescent="0.25">
      <c r="A22" t="s">
        <v>54</v>
      </c>
      <c r="B22" t="s">
        <v>79</v>
      </c>
      <c r="C22" s="43">
        <v>2</v>
      </c>
      <c r="D22" s="43">
        <v>2</v>
      </c>
      <c r="E22" s="43">
        <v>3</v>
      </c>
      <c r="F22" s="43">
        <v>2</v>
      </c>
      <c r="G22" s="43">
        <v>2</v>
      </c>
      <c r="H22" s="43">
        <v>3</v>
      </c>
      <c r="I22" s="43">
        <v>3</v>
      </c>
      <c r="J22" s="43">
        <v>3</v>
      </c>
      <c r="K22" s="43">
        <v>2</v>
      </c>
      <c r="L22" s="43">
        <v>3</v>
      </c>
    </row>
    <row r="23" spans="1:18" x14ac:dyDescent="0.25">
      <c r="A23" t="s">
        <v>55</v>
      </c>
      <c r="B23" t="s">
        <v>80</v>
      </c>
      <c r="C23" s="43">
        <v>3</v>
      </c>
      <c r="D23" s="43">
        <v>2</v>
      </c>
      <c r="E23" s="43">
        <v>2</v>
      </c>
      <c r="F23" s="43">
        <v>3</v>
      </c>
      <c r="G23" s="43">
        <v>3</v>
      </c>
      <c r="H23" s="43">
        <v>3</v>
      </c>
      <c r="I23" s="43">
        <v>3</v>
      </c>
      <c r="J23" s="43">
        <v>2</v>
      </c>
      <c r="K23" s="43">
        <v>3</v>
      </c>
      <c r="L23" s="43">
        <v>3</v>
      </c>
    </row>
    <row r="24" spans="1:18" x14ac:dyDescent="0.25">
      <c r="A24" t="s">
        <v>56</v>
      </c>
      <c r="B24" t="s">
        <v>81</v>
      </c>
      <c r="C24" s="43">
        <v>3</v>
      </c>
      <c r="D24" s="43">
        <v>3</v>
      </c>
      <c r="E24" s="43">
        <v>3</v>
      </c>
      <c r="F24" s="43">
        <v>3</v>
      </c>
      <c r="G24" s="43">
        <v>3</v>
      </c>
      <c r="H24" s="43">
        <v>3</v>
      </c>
      <c r="I24" s="43">
        <v>3</v>
      </c>
      <c r="J24" s="43">
        <v>3</v>
      </c>
      <c r="K24" s="43">
        <v>3</v>
      </c>
      <c r="L24" s="43">
        <v>3</v>
      </c>
    </row>
    <row r="25" spans="1:18" x14ac:dyDescent="0.25">
      <c r="A25" t="s">
        <v>57</v>
      </c>
      <c r="B25" t="s">
        <v>82</v>
      </c>
      <c r="C25" s="43">
        <v>2</v>
      </c>
      <c r="D25" s="43">
        <v>2</v>
      </c>
      <c r="E25" s="43">
        <v>2</v>
      </c>
      <c r="F25" s="43">
        <v>2</v>
      </c>
      <c r="G25" s="43">
        <v>2</v>
      </c>
      <c r="H25" s="43">
        <v>3</v>
      </c>
      <c r="I25" s="43">
        <v>2</v>
      </c>
      <c r="J25" s="43">
        <v>2</v>
      </c>
      <c r="K25" s="43">
        <v>3</v>
      </c>
      <c r="L25" s="43">
        <v>2</v>
      </c>
    </row>
    <row r="26" spans="1:18" x14ac:dyDescent="0.25">
      <c r="A26" t="s">
        <v>58</v>
      </c>
      <c r="B26" t="s">
        <v>83</v>
      </c>
      <c r="C26" s="43">
        <v>3</v>
      </c>
      <c r="D26" s="43">
        <v>2</v>
      </c>
      <c r="E26" s="43">
        <v>2</v>
      </c>
      <c r="F26" s="43">
        <v>3</v>
      </c>
      <c r="G26" s="43">
        <v>2</v>
      </c>
      <c r="H26" s="43">
        <v>3</v>
      </c>
      <c r="I26" s="43">
        <v>2</v>
      </c>
      <c r="J26" s="43">
        <v>3</v>
      </c>
      <c r="K26" s="43">
        <v>3</v>
      </c>
      <c r="L26" s="43">
        <v>3</v>
      </c>
    </row>
    <row r="27" spans="1:18" x14ac:dyDescent="0.25">
      <c r="A27" t="s">
        <v>59</v>
      </c>
      <c r="B27" t="s">
        <v>98</v>
      </c>
      <c r="C27" s="43">
        <v>3</v>
      </c>
      <c r="D27" s="43">
        <v>3</v>
      </c>
      <c r="E27" s="43">
        <v>3</v>
      </c>
      <c r="F27" s="43">
        <v>3</v>
      </c>
      <c r="G27" s="43">
        <v>3</v>
      </c>
      <c r="H27" s="43">
        <v>3</v>
      </c>
      <c r="I27" s="43">
        <v>3</v>
      </c>
      <c r="J27" s="43">
        <v>3</v>
      </c>
      <c r="K27" s="43">
        <v>3</v>
      </c>
      <c r="L27" s="43">
        <v>3</v>
      </c>
    </row>
    <row r="28" spans="1:18" x14ac:dyDescent="0.25">
      <c r="A28" t="s">
        <v>60</v>
      </c>
      <c r="B28" t="s">
        <v>84</v>
      </c>
      <c r="C28" s="43">
        <v>3</v>
      </c>
      <c r="D28" s="43">
        <v>3</v>
      </c>
      <c r="E28" s="43">
        <v>3</v>
      </c>
      <c r="F28" s="43">
        <v>3</v>
      </c>
      <c r="G28" s="43">
        <v>3</v>
      </c>
      <c r="H28" s="43">
        <v>3</v>
      </c>
      <c r="I28" s="43">
        <v>3</v>
      </c>
      <c r="J28" s="43">
        <v>3</v>
      </c>
      <c r="K28" s="43">
        <v>3</v>
      </c>
      <c r="L28" s="43">
        <v>3</v>
      </c>
    </row>
    <row r="29" spans="1:18" x14ac:dyDescent="0.25">
      <c r="A29" t="s">
        <v>61</v>
      </c>
      <c r="B29" t="s">
        <v>99</v>
      </c>
      <c r="C29" s="43">
        <v>3</v>
      </c>
      <c r="D29" s="43">
        <v>2</v>
      </c>
      <c r="E29" s="43">
        <v>2</v>
      </c>
      <c r="F29" s="43">
        <v>3</v>
      </c>
      <c r="G29" s="43">
        <v>3</v>
      </c>
      <c r="H29" s="43">
        <v>3</v>
      </c>
      <c r="I29" s="43">
        <v>3</v>
      </c>
      <c r="J29" s="43">
        <v>3</v>
      </c>
      <c r="K29" s="43">
        <v>3</v>
      </c>
      <c r="L29" s="43">
        <v>3</v>
      </c>
    </row>
    <row r="30" spans="1:18" x14ac:dyDescent="0.25">
      <c r="A30" t="s">
        <v>85</v>
      </c>
      <c r="B30" t="s">
        <v>100</v>
      </c>
      <c r="C30" s="43">
        <v>3</v>
      </c>
      <c r="D30" s="43">
        <v>2</v>
      </c>
      <c r="E30" s="43">
        <v>2</v>
      </c>
      <c r="F30" s="43">
        <v>3</v>
      </c>
      <c r="G30" s="43">
        <v>3</v>
      </c>
      <c r="H30" s="43">
        <v>3</v>
      </c>
      <c r="I30" s="43">
        <v>2</v>
      </c>
      <c r="J30" s="43">
        <v>3</v>
      </c>
      <c r="K30" s="43">
        <v>3</v>
      </c>
      <c r="L30" s="43">
        <v>3</v>
      </c>
    </row>
    <row r="31" spans="1:18" x14ac:dyDescent="0.25">
      <c r="A31" t="s">
        <v>86</v>
      </c>
      <c r="B31" t="s">
        <v>67</v>
      </c>
      <c r="C31" s="43">
        <v>3</v>
      </c>
      <c r="D31" s="43">
        <v>2</v>
      </c>
      <c r="E31" s="43">
        <v>2</v>
      </c>
      <c r="F31" s="43">
        <v>2</v>
      </c>
      <c r="G31" s="43">
        <v>2</v>
      </c>
      <c r="H31" s="43">
        <v>3</v>
      </c>
      <c r="I31" s="43">
        <v>3</v>
      </c>
      <c r="J31" s="43">
        <v>3</v>
      </c>
      <c r="K31" s="43">
        <v>3</v>
      </c>
      <c r="L31" s="43">
        <v>3</v>
      </c>
    </row>
    <row r="32" spans="1:18" x14ac:dyDescent="0.25">
      <c r="A32" t="s">
        <v>102</v>
      </c>
      <c r="B32" t="s">
        <v>101</v>
      </c>
      <c r="C32" s="43">
        <v>2</v>
      </c>
      <c r="D32" s="43">
        <v>2</v>
      </c>
      <c r="E32" s="43">
        <v>2</v>
      </c>
      <c r="F32" s="43">
        <v>2</v>
      </c>
      <c r="G32" s="43">
        <v>2</v>
      </c>
      <c r="H32" s="43">
        <v>2</v>
      </c>
      <c r="I32" s="43">
        <v>2</v>
      </c>
      <c r="J32" s="43">
        <v>2</v>
      </c>
      <c r="K32" s="43">
        <v>2</v>
      </c>
      <c r="L32" s="43">
        <v>2</v>
      </c>
      <c r="M32" s="29" t="s">
        <v>41</v>
      </c>
      <c r="N32" s="29" t="s">
        <v>42</v>
      </c>
      <c r="O32" s="29"/>
      <c r="P32" s="29" t="s">
        <v>43</v>
      </c>
      <c r="Q32" s="29" t="s">
        <v>44</v>
      </c>
      <c r="R32" s="29"/>
    </row>
    <row r="33" spans="2:19" x14ac:dyDescent="0.25">
      <c r="B33" s="2" t="s">
        <v>74</v>
      </c>
      <c r="C33" s="27">
        <f>COUNTIF(C$19:C$32,3)</f>
        <v>9</v>
      </c>
      <c r="D33" s="27">
        <f t="shared" ref="D33:L33" si="0">COUNTIF(D$19:D$32,3)</f>
        <v>3</v>
      </c>
      <c r="E33" s="27">
        <f t="shared" si="0"/>
        <v>4</v>
      </c>
      <c r="F33" s="27">
        <f t="shared" si="0"/>
        <v>8</v>
      </c>
      <c r="G33" s="27">
        <f t="shared" si="0"/>
        <v>9</v>
      </c>
      <c r="H33" s="27">
        <f t="shared" si="0"/>
        <v>12</v>
      </c>
      <c r="I33" s="27">
        <f t="shared" si="0"/>
        <v>8</v>
      </c>
      <c r="J33" s="27">
        <f t="shared" si="0"/>
        <v>9</v>
      </c>
      <c r="K33" s="27">
        <f t="shared" si="0"/>
        <v>10</v>
      </c>
      <c r="L33" s="27">
        <f t="shared" si="0"/>
        <v>10</v>
      </c>
      <c r="M33" s="23">
        <f>AVERAGE(C33:G33)</f>
        <v>6.6</v>
      </c>
      <c r="N33" s="23">
        <f>AVERAGE(H33:L33)</f>
        <v>9.8000000000000007</v>
      </c>
      <c r="O33" s="28"/>
      <c r="P33" s="28">
        <f>M33/$M$37*100</f>
        <v>47.142857142857139</v>
      </c>
      <c r="Q33" s="28">
        <f>N33/N37*100</f>
        <v>70</v>
      </c>
      <c r="R33" s="28"/>
      <c r="S33" t="s">
        <v>34</v>
      </c>
    </row>
    <row r="34" spans="2:19" x14ac:dyDescent="0.25">
      <c r="B34" s="2" t="s">
        <v>75</v>
      </c>
      <c r="C34" s="27">
        <f>COUNTIF(C$19:C$32,2)</f>
        <v>5</v>
      </c>
      <c r="D34" s="27">
        <f t="shared" ref="D34:L34" si="1">COUNTIF(D$19:D$32,2)</f>
        <v>11</v>
      </c>
      <c r="E34" s="27">
        <f t="shared" si="1"/>
        <v>10</v>
      </c>
      <c r="F34" s="27">
        <f t="shared" si="1"/>
        <v>6</v>
      </c>
      <c r="G34" s="27">
        <f t="shared" si="1"/>
        <v>5</v>
      </c>
      <c r="H34" s="27">
        <f t="shared" si="1"/>
        <v>2</v>
      </c>
      <c r="I34" s="27">
        <f t="shared" si="1"/>
        <v>6</v>
      </c>
      <c r="J34" s="27">
        <f t="shared" si="1"/>
        <v>5</v>
      </c>
      <c r="K34" s="27">
        <f t="shared" si="1"/>
        <v>4</v>
      </c>
      <c r="L34" s="27">
        <f t="shared" si="1"/>
        <v>4</v>
      </c>
      <c r="M34" s="23">
        <f>AVERAGE(C34:G34)</f>
        <v>7.4</v>
      </c>
      <c r="N34" s="23">
        <f>AVERAGE(H34:L34)</f>
        <v>4.2</v>
      </c>
      <c r="O34" s="28"/>
      <c r="P34" s="28">
        <f t="shared" ref="P34:Q35" si="2">M34/$M$37*100</f>
        <v>52.857142857142861</v>
      </c>
      <c r="Q34" s="28">
        <f t="shared" si="2"/>
        <v>30</v>
      </c>
      <c r="R34" s="28"/>
      <c r="S34" t="s">
        <v>36</v>
      </c>
    </row>
    <row r="35" spans="2:19" x14ac:dyDescent="0.25">
      <c r="B35" s="2" t="s">
        <v>76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3">
        <f>AVERAGE(C35:G35)</f>
        <v>0</v>
      </c>
      <c r="N35">
        <f>AVERAGE(H35:L35)</f>
        <v>0</v>
      </c>
      <c r="O35" s="28"/>
      <c r="P35" s="28">
        <f t="shared" si="2"/>
        <v>0</v>
      </c>
      <c r="Q35" s="28">
        <f t="shared" si="2"/>
        <v>0</v>
      </c>
      <c r="R35" s="28"/>
      <c r="S35" t="s">
        <v>38</v>
      </c>
    </row>
    <row r="36" spans="2:19" x14ac:dyDescent="0.25">
      <c r="B36" s="2" t="s">
        <v>39</v>
      </c>
      <c r="C36" s="43">
        <f>SUM(C33:C35)</f>
        <v>14</v>
      </c>
      <c r="D36" s="43">
        <f t="shared" ref="D36:L36" si="3">SUM(D33:D35)</f>
        <v>14</v>
      </c>
      <c r="E36" s="43">
        <f t="shared" si="3"/>
        <v>14</v>
      </c>
      <c r="F36" s="43">
        <f t="shared" si="3"/>
        <v>14</v>
      </c>
      <c r="G36" s="43">
        <f t="shared" si="3"/>
        <v>14</v>
      </c>
      <c r="H36" s="43">
        <f t="shared" si="3"/>
        <v>14</v>
      </c>
      <c r="I36" s="43">
        <f t="shared" si="3"/>
        <v>14</v>
      </c>
      <c r="J36" s="43">
        <f t="shared" si="3"/>
        <v>14</v>
      </c>
      <c r="K36" s="43">
        <f t="shared" si="3"/>
        <v>14</v>
      </c>
      <c r="L36" s="43">
        <f t="shared" si="3"/>
        <v>14</v>
      </c>
      <c r="P36" s="28">
        <f>P33+P34</f>
        <v>100</v>
      </c>
      <c r="Q36" s="28">
        <f>Q33+Q34</f>
        <v>100</v>
      </c>
      <c r="R36" s="28"/>
      <c r="S36" t="s">
        <v>40</v>
      </c>
    </row>
    <row r="37" spans="2:19" x14ac:dyDescent="0.25">
      <c r="B37" s="17"/>
      <c r="M37">
        <f t="shared" ref="M37:N37" si="4">SUM(M33:M35)</f>
        <v>14</v>
      </c>
      <c r="N37">
        <f t="shared" si="4"/>
        <v>14</v>
      </c>
      <c r="O37" s="28"/>
    </row>
    <row r="39" spans="2:19" x14ac:dyDescent="0.25">
      <c r="B39" s="13" t="s">
        <v>62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2:19" x14ac:dyDescent="0.25">
      <c r="B40" s="14" t="s">
        <v>11</v>
      </c>
      <c r="C40" s="20">
        <v>1</v>
      </c>
      <c r="D40" s="20">
        <v>2</v>
      </c>
      <c r="E40" s="20">
        <v>3</v>
      </c>
      <c r="F40" s="20">
        <v>4</v>
      </c>
      <c r="G40" s="20">
        <v>6</v>
      </c>
      <c r="H40" s="20">
        <v>7</v>
      </c>
      <c r="I40" s="20">
        <v>8</v>
      </c>
      <c r="J40" s="20">
        <v>9</v>
      </c>
      <c r="K40" s="20">
        <v>11</v>
      </c>
      <c r="L40" s="20">
        <v>12</v>
      </c>
    </row>
    <row r="41" spans="2:19" x14ac:dyDescent="0.25">
      <c r="B41" s="15" t="s">
        <v>9</v>
      </c>
      <c r="C41" s="20">
        <v>2</v>
      </c>
      <c r="D41" s="20">
        <v>2</v>
      </c>
      <c r="E41" s="20">
        <v>2</v>
      </c>
      <c r="F41" s="20">
        <v>2</v>
      </c>
      <c r="G41" s="20">
        <v>2</v>
      </c>
      <c r="H41" s="20">
        <v>3</v>
      </c>
      <c r="I41" s="20">
        <v>3</v>
      </c>
      <c r="J41" s="20">
        <v>3</v>
      </c>
      <c r="K41" s="20">
        <v>3</v>
      </c>
      <c r="L41" s="20">
        <v>3</v>
      </c>
    </row>
    <row r="42" spans="2:19" x14ac:dyDescent="0.25">
      <c r="B42" s="16" t="s">
        <v>3</v>
      </c>
      <c r="C42" s="21">
        <f>AVERAGE(C19:C31)</f>
        <v>2.6923076923076925</v>
      </c>
      <c r="D42" s="21">
        <f>AVERAGE(D19:D31)</f>
        <v>2.2307692307692308</v>
      </c>
      <c r="E42" s="21">
        <f>AVERAGE(E19:E31)</f>
        <v>2.3076923076923075</v>
      </c>
      <c r="F42" s="21">
        <f>AVERAGE(F19:F31)</f>
        <v>2.6153846153846154</v>
      </c>
      <c r="G42" s="21">
        <f>AVERAGE(G19:G31)</f>
        <v>2.6923076923076925</v>
      </c>
      <c r="H42" s="21">
        <f>AVERAGE(H19:H31)</f>
        <v>2.9230769230769229</v>
      </c>
      <c r="I42" s="21">
        <f>AVERAGE(I19:I31)</f>
        <v>2.6153846153846154</v>
      </c>
      <c r="J42" s="21">
        <f>AVERAGE(J19:J31)</f>
        <v>2.6923076923076925</v>
      </c>
      <c r="K42" s="21">
        <f>AVERAGE(K19:K31)</f>
        <v>2.7692307692307692</v>
      </c>
      <c r="L42" s="21">
        <f>AVERAGE(L19:L31)</f>
        <v>2.7692307692307692</v>
      </c>
    </row>
    <row r="43" spans="2:19" x14ac:dyDescent="0.25">
      <c r="B43" s="15" t="s">
        <v>4</v>
      </c>
      <c r="C43" s="22">
        <f>STDEV(C19:C31)</f>
        <v>0.48038446141526181</v>
      </c>
      <c r="D43" s="22">
        <f>STDEV(D19:D31)</f>
        <v>0.43852900965351449</v>
      </c>
      <c r="E43" s="22">
        <f>STDEV(E19:E31)</f>
        <v>0.48038446141526181</v>
      </c>
      <c r="F43" s="22">
        <f>STDEV(F19:F31)</f>
        <v>0.50636968354183354</v>
      </c>
      <c r="G43" s="22">
        <f>STDEV(G19:G31)</f>
        <v>0.48038446141526181</v>
      </c>
      <c r="H43" s="22">
        <f>STDEV(H19:H31)</f>
        <v>0.27735009811261457</v>
      </c>
      <c r="I43" s="22">
        <f>STDEV(I19:I31)</f>
        <v>0.50636968354183354</v>
      </c>
      <c r="J43" s="22">
        <f>STDEV(J19:J31)</f>
        <v>0.48038446141526181</v>
      </c>
      <c r="K43" s="22">
        <f>STDEV(K19:K31)</f>
        <v>0.43852900965351449</v>
      </c>
      <c r="L43" s="22">
        <f>STDEV(L19:L31)</f>
        <v>0.43852900965351449</v>
      </c>
    </row>
    <row r="44" spans="2:19" x14ac:dyDescent="0.25">
      <c r="B44" s="16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2:19" x14ac:dyDescent="0.25">
      <c r="B45" s="16" t="s">
        <v>3</v>
      </c>
      <c r="C45" s="7">
        <f>AVERAGE(C42:L42)</f>
        <v>2.6307692307692312</v>
      </c>
      <c r="D45" s="4"/>
      <c r="E45" s="4"/>
      <c r="F45" s="4"/>
      <c r="G45" s="4"/>
      <c r="H45" s="4"/>
      <c r="I45" s="4"/>
      <c r="J45" s="4"/>
      <c r="K45" s="4"/>
      <c r="L45" s="4"/>
    </row>
    <row r="46" spans="2:19" x14ac:dyDescent="0.25">
      <c r="B46" s="15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2:19" x14ac:dyDescent="0.25">
      <c r="B47" s="16"/>
      <c r="C47" s="4"/>
      <c r="D47" s="4"/>
      <c r="E47" s="4"/>
      <c r="F47" s="4"/>
      <c r="G47" s="4"/>
      <c r="H47" s="4"/>
      <c r="I47" s="4"/>
      <c r="J47" s="4"/>
      <c r="K47" s="4"/>
      <c r="L47" s="4"/>
    </row>
    <row r="49" spans="2:10" x14ac:dyDescent="0.25">
      <c r="C49" s="5"/>
      <c r="D49" s="5"/>
      <c r="E49" s="5"/>
      <c r="F49" s="5"/>
      <c r="G49" s="5"/>
      <c r="H49" s="10"/>
      <c r="I49" s="10"/>
      <c r="J49" s="10"/>
    </row>
    <row r="50" spans="2:10" x14ac:dyDescent="0.25">
      <c r="B50" s="8" t="s">
        <v>10</v>
      </c>
      <c r="C50" s="24">
        <v>2</v>
      </c>
      <c r="D50" s="24">
        <v>3</v>
      </c>
      <c r="E50" s="24"/>
      <c r="F50" s="24"/>
      <c r="G50" s="24"/>
      <c r="H50" s="19"/>
      <c r="I50" s="19"/>
      <c r="J50" s="10"/>
    </row>
    <row r="51" spans="2:10" x14ac:dyDescent="0.25">
      <c r="B51" s="5" t="s">
        <v>5</v>
      </c>
      <c r="C51" s="25">
        <f>AVERAGE(C42:G42)</f>
        <v>2.5076923076923081</v>
      </c>
      <c r="D51" s="25">
        <f>AVERAGE(H42:L42)</f>
        <v>2.7538461538461538</v>
      </c>
      <c r="E51" s="25"/>
      <c r="F51" s="25"/>
      <c r="G51" s="25"/>
      <c r="H51" s="25"/>
      <c r="I51" s="25"/>
      <c r="J51" s="6"/>
    </row>
    <row r="52" spans="2:10" x14ac:dyDescent="0.25">
      <c r="B52" s="5" t="s">
        <v>6</v>
      </c>
      <c r="C52" s="25">
        <f>STDEV(C42:G42)</f>
        <v>0.22161323524442986</v>
      </c>
      <c r="D52" s="25">
        <f>STDEV(H42:L42)</f>
        <v>0.11409536133993317</v>
      </c>
      <c r="E52" s="25"/>
      <c r="F52" s="25"/>
      <c r="G52" s="25"/>
      <c r="H52" s="26"/>
      <c r="I52" s="26"/>
      <c r="J52" s="11"/>
    </row>
    <row r="54" spans="2:10" x14ac:dyDescent="0.25">
      <c r="C54" s="23"/>
    </row>
    <row r="108" spans="9:13" x14ac:dyDescent="0.25">
      <c r="I108" s="2"/>
      <c r="J108" s="2"/>
      <c r="K108" s="2"/>
      <c r="L108" s="2"/>
      <c r="M108" s="2"/>
    </row>
    <row r="130" spans="2:3" x14ac:dyDescent="0.25">
      <c r="C130" s="9"/>
    </row>
    <row r="131" spans="2:3" x14ac:dyDescent="0.25">
      <c r="C131" s="9"/>
    </row>
    <row r="132" spans="2:3" x14ac:dyDescent="0.25">
      <c r="C132" s="9"/>
    </row>
    <row r="133" spans="2:3" x14ac:dyDescent="0.25">
      <c r="C133" s="9"/>
    </row>
    <row r="135" spans="2:3" x14ac:dyDescent="0.25">
      <c r="B135" s="1"/>
    </row>
  </sheetData>
  <phoneticPr fontId="6" type="noConversion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7840-51B9-41B2-A689-D97D3C928554}">
  <dimension ref="A1:AY80"/>
  <sheetViews>
    <sheetView topLeftCell="M1" zoomScale="60" zoomScaleNormal="60" workbookViewId="0">
      <selection activeCell="AD2" sqref="AD2"/>
    </sheetView>
  </sheetViews>
  <sheetFormatPr defaultRowHeight="15" x14ac:dyDescent="0.25"/>
  <cols>
    <col min="2" max="2" width="14.42578125" customWidth="1"/>
    <col min="3" max="3" width="13.140625" customWidth="1"/>
    <col min="4" max="4" width="14.7109375" customWidth="1"/>
    <col min="5" max="5" width="13.140625" customWidth="1"/>
    <col min="6" max="6" width="12" customWidth="1"/>
    <col min="8" max="8" width="13.140625" customWidth="1"/>
    <col min="9" max="9" width="18.7109375" customWidth="1"/>
    <col min="10" max="10" width="20.28515625" customWidth="1"/>
    <col min="11" max="11" width="20.85546875" customWidth="1"/>
    <col min="16" max="16" width="15.42578125" customWidth="1"/>
    <col min="17" max="17" width="18.7109375" bestFit="1" customWidth="1"/>
    <col min="18" max="18" width="17.7109375" customWidth="1"/>
    <col min="19" max="19" width="21.42578125" customWidth="1"/>
    <col min="20" max="20" width="16.5703125" customWidth="1"/>
    <col min="21" max="21" width="23" customWidth="1"/>
    <col min="22" max="22" width="16.42578125" customWidth="1"/>
    <col min="23" max="23" width="28.28515625" customWidth="1"/>
    <col min="24" max="24" width="19.42578125" customWidth="1"/>
    <col min="25" max="25" width="31.7109375" customWidth="1"/>
    <col min="26" max="26" width="25.5703125" customWidth="1"/>
    <col min="27" max="27" width="18.7109375" customWidth="1"/>
    <col min="29" max="29" width="15.42578125" customWidth="1"/>
    <col min="30" max="30" width="17.28515625" customWidth="1"/>
    <col min="31" max="31" width="13.5703125" customWidth="1"/>
    <col min="32" max="32" width="14.7109375" customWidth="1"/>
    <col min="33" max="33" width="16.5703125" customWidth="1"/>
    <col min="34" max="34" width="11.7109375" customWidth="1"/>
    <col min="35" max="35" width="20.42578125" customWidth="1"/>
    <col min="36" max="36" width="14.28515625" customWidth="1"/>
    <col min="37" max="37" width="21.140625" customWidth="1"/>
    <col min="38" max="38" width="18.7109375" customWidth="1"/>
    <col min="39" max="39" width="20.5703125" customWidth="1"/>
  </cols>
  <sheetData>
    <row r="1" spans="1:51" s="39" customFormat="1" ht="57.75" customHeight="1" x14ac:dyDescent="0.25">
      <c r="A1" s="39" t="s">
        <v>104</v>
      </c>
      <c r="B1" s="39" t="s">
        <v>105</v>
      </c>
      <c r="C1" s="39" t="s">
        <v>106</v>
      </c>
      <c r="D1" s="39" t="s">
        <v>107</v>
      </c>
      <c r="E1" s="39" t="s">
        <v>108</v>
      </c>
      <c r="F1" s="39" t="s">
        <v>109</v>
      </c>
      <c r="G1" s="39" t="s">
        <v>110</v>
      </c>
      <c r="H1" s="39" t="s">
        <v>111</v>
      </c>
      <c r="I1" s="39" t="s">
        <v>112</v>
      </c>
      <c r="J1" s="39" t="s">
        <v>113</v>
      </c>
      <c r="K1" s="39" t="s">
        <v>114</v>
      </c>
      <c r="L1" s="39" t="s">
        <v>115</v>
      </c>
      <c r="M1" s="39" t="s">
        <v>116</v>
      </c>
      <c r="P1" s="39" t="s">
        <v>104</v>
      </c>
      <c r="Q1" s="39" t="s">
        <v>103</v>
      </c>
      <c r="R1" s="39" t="s">
        <v>105</v>
      </c>
      <c r="S1" s="39" t="s">
        <v>106</v>
      </c>
      <c r="T1" s="39" t="s">
        <v>107</v>
      </c>
      <c r="U1" s="39" t="s">
        <v>108</v>
      </c>
      <c r="V1" s="39" t="s">
        <v>109</v>
      </c>
      <c r="W1" s="39" t="s">
        <v>111</v>
      </c>
      <c r="X1" s="39" t="s">
        <v>112</v>
      </c>
      <c r="Y1" s="39" t="s">
        <v>113</v>
      </c>
      <c r="Z1" s="39" t="s">
        <v>114</v>
      </c>
      <c r="AA1" s="39" t="s">
        <v>115</v>
      </c>
      <c r="AC1" s="40" t="s">
        <v>104</v>
      </c>
      <c r="AD1" s="40" t="s">
        <v>105</v>
      </c>
      <c r="AE1" s="40" t="s">
        <v>106</v>
      </c>
      <c r="AF1" s="40" t="s">
        <v>107</v>
      </c>
      <c r="AG1" s="40" t="s">
        <v>108</v>
      </c>
      <c r="AH1" s="40" t="s">
        <v>109</v>
      </c>
      <c r="AI1" s="40" t="s">
        <v>111</v>
      </c>
      <c r="AJ1" s="40" t="s">
        <v>112</v>
      </c>
      <c r="AK1" s="40" t="s">
        <v>113</v>
      </c>
      <c r="AL1" s="40" t="s">
        <v>114</v>
      </c>
      <c r="AM1" s="40" t="s">
        <v>115</v>
      </c>
      <c r="AO1" s="40" t="s">
        <v>104</v>
      </c>
      <c r="AP1" s="40" t="s">
        <v>133</v>
      </c>
      <c r="AQ1" s="40" t="s">
        <v>106</v>
      </c>
      <c r="AR1" s="40" t="s">
        <v>107</v>
      </c>
      <c r="AS1" s="40" t="s">
        <v>108</v>
      </c>
      <c r="AT1" s="40" t="s">
        <v>109</v>
      </c>
      <c r="AU1" s="40" t="s">
        <v>111</v>
      </c>
      <c r="AV1" s="40" t="s">
        <v>112</v>
      </c>
      <c r="AW1" s="40" t="s">
        <v>113</v>
      </c>
      <c r="AX1" s="40" t="s">
        <v>114</v>
      </c>
      <c r="AY1" s="40" t="s">
        <v>115</v>
      </c>
    </row>
    <row r="2" spans="1:51" x14ac:dyDescent="0.25">
      <c r="A2">
        <v>8</v>
      </c>
      <c r="B2">
        <v>4</v>
      </c>
      <c r="C2">
        <v>3</v>
      </c>
      <c r="D2">
        <v>3</v>
      </c>
      <c r="E2">
        <v>4</v>
      </c>
      <c r="F2">
        <v>4</v>
      </c>
      <c r="G2">
        <v>18</v>
      </c>
      <c r="H2">
        <v>4</v>
      </c>
      <c r="I2">
        <v>4</v>
      </c>
      <c r="J2">
        <v>5</v>
      </c>
      <c r="K2">
        <v>5</v>
      </c>
      <c r="L2">
        <v>3</v>
      </c>
      <c r="M2">
        <v>21</v>
      </c>
      <c r="P2">
        <v>1</v>
      </c>
      <c r="Q2" t="s">
        <v>123</v>
      </c>
      <c r="R2">
        <v>3</v>
      </c>
      <c r="S2">
        <v>2</v>
      </c>
      <c r="T2">
        <v>3</v>
      </c>
      <c r="U2">
        <v>3</v>
      </c>
      <c r="V2">
        <v>3</v>
      </c>
      <c r="W2">
        <v>4</v>
      </c>
      <c r="X2">
        <v>4</v>
      </c>
      <c r="Y2">
        <v>4</v>
      </c>
      <c r="Z2">
        <v>5</v>
      </c>
      <c r="AA2">
        <v>3</v>
      </c>
      <c r="AC2" s="41">
        <v>1</v>
      </c>
      <c r="AD2" s="42">
        <f>AVERAGE(R2:R5)</f>
        <v>4.25</v>
      </c>
      <c r="AE2" s="42">
        <f t="shared" ref="AE2:AM2" si="0">AVERAGE(S2:S5)</f>
        <v>3.5</v>
      </c>
      <c r="AF2" s="42">
        <f t="shared" si="0"/>
        <v>3.75</v>
      </c>
      <c r="AG2" s="42">
        <f t="shared" si="0"/>
        <v>4</v>
      </c>
      <c r="AH2" s="42">
        <f t="shared" si="0"/>
        <v>4</v>
      </c>
      <c r="AI2" s="42">
        <f t="shared" si="0"/>
        <v>4.5</v>
      </c>
      <c r="AJ2" s="42">
        <f t="shared" si="0"/>
        <v>4</v>
      </c>
      <c r="AK2" s="42">
        <f t="shared" si="0"/>
        <v>4.25</v>
      </c>
      <c r="AL2" s="42">
        <f t="shared" si="0"/>
        <v>5</v>
      </c>
      <c r="AM2" s="42">
        <f t="shared" si="0"/>
        <v>4</v>
      </c>
      <c r="AO2" s="41">
        <v>1</v>
      </c>
      <c r="AP2" s="41">
        <v>3</v>
      </c>
      <c r="AQ2" s="41">
        <v>2</v>
      </c>
      <c r="AR2" s="41">
        <v>2</v>
      </c>
      <c r="AS2" s="41">
        <v>3</v>
      </c>
      <c r="AT2" s="41">
        <v>3</v>
      </c>
      <c r="AU2" s="41">
        <v>3</v>
      </c>
      <c r="AV2" s="41">
        <v>3</v>
      </c>
      <c r="AW2" s="41">
        <v>3</v>
      </c>
      <c r="AX2" s="41">
        <v>3</v>
      </c>
      <c r="AY2" s="41">
        <v>3</v>
      </c>
    </row>
    <row r="3" spans="1:51" x14ac:dyDescent="0.25">
      <c r="A3">
        <v>5</v>
      </c>
      <c r="B3">
        <v>4</v>
      </c>
      <c r="C3">
        <v>3</v>
      </c>
      <c r="D3">
        <v>3</v>
      </c>
      <c r="E3">
        <v>4</v>
      </c>
      <c r="F3">
        <v>3</v>
      </c>
      <c r="G3">
        <v>17</v>
      </c>
      <c r="H3">
        <v>4</v>
      </c>
      <c r="I3">
        <v>4</v>
      </c>
      <c r="J3">
        <v>3</v>
      </c>
      <c r="K3">
        <v>4</v>
      </c>
      <c r="L3">
        <v>3</v>
      </c>
      <c r="M3">
        <v>18</v>
      </c>
      <c r="P3">
        <v>1</v>
      </c>
      <c r="Q3" t="s">
        <v>127</v>
      </c>
      <c r="R3">
        <v>5</v>
      </c>
      <c r="S3">
        <v>4</v>
      </c>
      <c r="T3">
        <v>4</v>
      </c>
      <c r="U3">
        <v>5</v>
      </c>
      <c r="V3">
        <v>5</v>
      </c>
      <c r="W3">
        <v>5</v>
      </c>
      <c r="X3">
        <v>4</v>
      </c>
      <c r="Y3">
        <v>5</v>
      </c>
      <c r="Z3">
        <v>5</v>
      </c>
      <c r="AA3">
        <v>5</v>
      </c>
      <c r="AC3" s="41">
        <v>2</v>
      </c>
      <c r="AD3" s="42">
        <f>AVERAGE(R6:R9)</f>
        <v>3.75</v>
      </c>
      <c r="AE3" s="42">
        <f t="shared" ref="AE3:AM3" si="1">AVERAGE(S6:S9)</f>
        <v>3</v>
      </c>
      <c r="AF3" s="42">
        <f t="shared" si="1"/>
        <v>3.25</v>
      </c>
      <c r="AG3" s="42">
        <f t="shared" si="1"/>
        <v>3.5</v>
      </c>
      <c r="AH3" s="42">
        <f t="shared" si="1"/>
        <v>4</v>
      </c>
      <c r="AI3" s="42">
        <f t="shared" si="1"/>
        <v>4</v>
      </c>
      <c r="AJ3" s="42">
        <f t="shared" si="1"/>
        <v>3.75</v>
      </c>
      <c r="AK3" s="42">
        <f t="shared" si="1"/>
        <v>3.5</v>
      </c>
      <c r="AL3" s="42">
        <f t="shared" si="1"/>
        <v>3</v>
      </c>
      <c r="AM3" s="42">
        <f t="shared" si="1"/>
        <v>3.5</v>
      </c>
      <c r="AO3" s="41">
        <v>2</v>
      </c>
      <c r="AP3" s="41">
        <v>2</v>
      </c>
      <c r="AQ3" s="41">
        <v>2</v>
      </c>
      <c r="AR3" s="41">
        <v>2</v>
      </c>
      <c r="AS3" s="41">
        <v>2</v>
      </c>
      <c r="AT3" s="41">
        <v>3</v>
      </c>
      <c r="AU3" s="41">
        <v>3</v>
      </c>
      <c r="AV3" s="41">
        <v>2</v>
      </c>
      <c r="AW3" s="41">
        <v>2</v>
      </c>
      <c r="AX3" s="41">
        <v>2</v>
      </c>
      <c r="AY3" s="41">
        <v>2</v>
      </c>
    </row>
    <row r="4" spans="1:51" x14ac:dyDescent="0.25">
      <c r="A4">
        <v>6</v>
      </c>
      <c r="B4">
        <v>3</v>
      </c>
      <c r="C4">
        <v>2</v>
      </c>
      <c r="D4">
        <v>3</v>
      </c>
      <c r="E4">
        <v>3</v>
      </c>
      <c r="F4">
        <v>2</v>
      </c>
      <c r="G4">
        <v>13</v>
      </c>
      <c r="H4">
        <v>4</v>
      </c>
      <c r="I4">
        <v>4</v>
      </c>
      <c r="J4">
        <v>3</v>
      </c>
      <c r="K4">
        <v>5</v>
      </c>
      <c r="L4">
        <v>4</v>
      </c>
      <c r="M4">
        <v>20</v>
      </c>
      <c r="P4">
        <v>1</v>
      </c>
      <c r="Q4" t="s">
        <v>128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C4" s="41">
        <v>3</v>
      </c>
      <c r="AD4" s="42">
        <f>AVERAGE(R10:R13)</f>
        <v>3.75</v>
      </c>
      <c r="AE4" s="42">
        <f t="shared" ref="AE4:AM4" si="2">AVERAGE(S10:S13)</f>
        <v>3.75</v>
      </c>
      <c r="AF4" s="42">
        <f t="shared" si="2"/>
        <v>3.75</v>
      </c>
      <c r="AG4" s="42">
        <f t="shared" si="2"/>
        <v>3.5</v>
      </c>
      <c r="AH4" s="42">
        <f t="shared" si="2"/>
        <v>4</v>
      </c>
      <c r="AI4" s="42">
        <f t="shared" si="2"/>
        <v>3.75</v>
      </c>
      <c r="AJ4" s="42">
        <f t="shared" si="2"/>
        <v>3.75</v>
      </c>
      <c r="AK4" s="42">
        <f t="shared" si="2"/>
        <v>3.5</v>
      </c>
      <c r="AL4" s="42">
        <f t="shared" si="2"/>
        <v>3.75</v>
      </c>
      <c r="AM4" s="42">
        <f t="shared" si="2"/>
        <v>3.75</v>
      </c>
      <c r="AO4" s="41">
        <v>3</v>
      </c>
      <c r="AP4" s="41">
        <v>2</v>
      </c>
      <c r="AQ4" s="41">
        <v>2</v>
      </c>
      <c r="AR4" s="41">
        <v>2</v>
      </c>
      <c r="AS4" s="41">
        <v>2</v>
      </c>
      <c r="AT4" s="41">
        <v>3</v>
      </c>
      <c r="AU4" s="41">
        <v>2</v>
      </c>
      <c r="AV4" s="41">
        <v>2</v>
      </c>
      <c r="AW4" s="41">
        <v>2</v>
      </c>
      <c r="AX4" s="41">
        <v>2</v>
      </c>
      <c r="AY4" s="41">
        <v>2</v>
      </c>
    </row>
    <row r="5" spans="1:51" x14ac:dyDescent="0.25">
      <c r="A5">
        <v>7</v>
      </c>
      <c r="B5">
        <v>2</v>
      </c>
      <c r="C5">
        <v>2</v>
      </c>
      <c r="D5">
        <v>2</v>
      </c>
      <c r="E5">
        <v>3</v>
      </c>
      <c r="F5">
        <v>3</v>
      </c>
      <c r="G5">
        <v>12</v>
      </c>
      <c r="H5">
        <v>3</v>
      </c>
      <c r="I5">
        <v>3</v>
      </c>
      <c r="J5">
        <v>2</v>
      </c>
      <c r="K5">
        <v>3</v>
      </c>
      <c r="L5">
        <v>2</v>
      </c>
      <c r="M5">
        <v>13</v>
      </c>
      <c r="P5">
        <v>1</v>
      </c>
      <c r="Q5" t="s">
        <v>132</v>
      </c>
      <c r="R5">
        <v>4</v>
      </c>
      <c r="S5">
        <v>3</v>
      </c>
      <c r="T5">
        <v>3</v>
      </c>
      <c r="U5">
        <v>3</v>
      </c>
      <c r="V5">
        <v>3</v>
      </c>
      <c r="W5">
        <v>4</v>
      </c>
      <c r="X5">
        <v>3</v>
      </c>
      <c r="Y5">
        <v>3</v>
      </c>
      <c r="Z5">
        <v>5</v>
      </c>
      <c r="AA5">
        <v>3</v>
      </c>
      <c r="AC5" s="41">
        <v>4</v>
      </c>
      <c r="AD5" s="42">
        <f>AVERAGE(R14:R16)</f>
        <v>3.6666666666666665</v>
      </c>
      <c r="AE5" s="42">
        <f t="shared" ref="AE5:AM5" si="3">AVERAGE(S14:S16)</f>
        <v>3.6666666666666665</v>
      </c>
      <c r="AF5" s="42">
        <f t="shared" si="3"/>
        <v>4</v>
      </c>
      <c r="AG5" s="42">
        <f t="shared" si="3"/>
        <v>3.6666666666666665</v>
      </c>
      <c r="AH5" s="42">
        <f t="shared" si="3"/>
        <v>3.6666666666666665</v>
      </c>
      <c r="AI5" s="42">
        <f t="shared" si="3"/>
        <v>4</v>
      </c>
      <c r="AJ5" s="42">
        <f t="shared" si="3"/>
        <v>4.333333333333333</v>
      </c>
      <c r="AK5" s="42">
        <f t="shared" si="3"/>
        <v>4.333333333333333</v>
      </c>
      <c r="AL5" s="42">
        <f t="shared" si="3"/>
        <v>3.3333333333333335</v>
      </c>
      <c r="AM5" s="42">
        <f t="shared" si="3"/>
        <v>4.666666666666667</v>
      </c>
      <c r="AO5" s="41">
        <v>4</v>
      </c>
      <c r="AP5" s="41">
        <v>2</v>
      </c>
      <c r="AQ5" s="41">
        <v>2</v>
      </c>
      <c r="AR5" s="41">
        <v>3</v>
      </c>
      <c r="AS5" s="41">
        <v>2</v>
      </c>
      <c r="AT5" s="41">
        <v>2</v>
      </c>
      <c r="AU5" s="41">
        <v>3</v>
      </c>
      <c r="AV5" s="41">
        <v>3</v>
      </c>
      <c r="AW5" s="41">
        <v>3</v>
      </c>
      <c r="AX5" s="41">
        <v>2</v>
      </c>
      <c r="AY5" s="41">
        <v>3</v>
      </c>
    </row>
    <row r="6" spans="1:51" x14ac:dyDescent="0.25">
      <c r="P6">
        <v>2</v>
      </c>
      <c r="Q6" t="s">
        <v>123</v>
      </c>
      <c r="R6">
        <v>4</v>
      </c>
      <c r="S6">
        <v>4</v>
      </c>
      <c r="T6">
        <v>3</v>
      </c>
      <c r="U6">
        <v>4</v>
      </c>
      <c r="V6">
        <v>5</v>
      </c>
      <c r="W6">
        <v>4</v>
      </c>
      <c r="X6">
        <v>4</v>
      </c>
      <c r="Y6">
        <v>3</v>
      </c>
      <c r="Z6">
        <v>3</v>
      </c>
      <c r="AA6">
        <v>3</v>
      </c>
      <c r="AC6" s="41">
        <v>5</v>
      </c>
      <c r="AD6" s="42">
        <f>AVERAGE(R17:R21)</f>
        <v>4.4000000000000004</v>
      </c>
      <c r="AE6" s="42">
        <f t="shared" ref="AE6:AM6" si="4">AVERAGE(S17:S21)</f>
        <v>3.6</v>
      </c>
      <c r="AF6" s="42">
        <f t="shared" si="4"/>
        <v>3.4</v>
      </c>
      <c r="AG6" s="42">
        <f t="shared" si="4"/>
        <v>4.4000000000000004</v>
      </c>
      <c r="AH6" s="42">
        <f t="shared" si="4"/>
        <v>4.4000000000000004</v>
      </c>
      <c r="AI6" s="42">
        <f t="shared" si="4"/>
        <v>4</v>
      </c>
      <c r="AJ6" s="42">
        <f t="shared" si="4"/>
        <v>4.2</v>
      </c>
      <c r="AK6" s="42">
        <f t="shared" si="4"/>
        <v>3.8</v>
      </c>
      <c r="AL6" s="42">
        <f t="shared" si="4"/>
        <v>4.2</v>
      </c>
      <c r="AM6" s="42">
        <f t="shared" si="4"/>
        <v>4.2</v>
      </c>
      <c r="AO6" s="41">
        <v>5</v>
      </c>
      <c r="AP6" s="41">
        <v>3</v>
      </c>
      <c r="AQ6" s="41">
        <v>2</v>
      </c>
      <c r="AR6" s="41">
        <v>2</v>
      </c>
      <c r="AS6" s="41">
        <v>3</v>
      </c>
      <c r="AT6" s="41">
        <v>3</v>
      </c>
      <c r="AU6" s="41">
        <v>3</v>
      </c>
      <c r="AV6" s="41">
        <v>3</v>
      </c>
      <c r="AW6" s="41">
        <v>2</v>
      </c>
      <c r="AX6" s="41">
        <v>3</v>
      </c>
      <c r="AY6" s="41">
        <v>3</v>
      </c>
    </row>
    <row r="7" spans="1:51" x14ac:dyDescent="0.25">
      <c r="A7">
        <v>14</v>
      </c>
      <c r="B7">
        <v>3</v>
      </c>
      <c r="C7">
        <v>4</v>
      </c>
      <c r="D7">
        <v>3</v>
      </c>
      <c r="E7">
        <v>3</v>
      </c>
      <c r="F7">
        <v>3</v>
      </c>
      <c r="G7">
        <v>16</v>
      </c>
      <c r="H7">
        <v>3</v>
      </c>
      <c r="I7">
        <v>3</v>
      </c>
      <c r="J7">
        <v>4</v>
      </c>
      <c r="K7">
        <v>2</v>
      </c>
      <c r="L7">
        <v>4</v>
      </c>
      <c r="M7">
        <v>16</v>
      </c>
      <c r="P7">
        <v>2</v>
      </c>
      <c r="Q7" t="s">
        <v>124</v>
      </c>
      <c r="R7">
        <v>4</v>
      </c>
      <c r="S7">
        <v>3</v>
      </c>
      <c r="T7">
        <v>4</v>
      </c>
      <c r="U7">
        <v>4</v>
      </c>
      <c r="V7">
        <v>4</v>
      </c>
      <c r="W7">
        <v>5</v>
      </c>
      <c r="X7">
        <v>5</v>
      </c>
      <c r="Y7">
        <v>5</v>
      </c>
      <c r="Z7">
        <v>4</v>
      </c>
      <c r="AA7">
        <v>4</v>
      </c>
      <c r="AC7" s="41">
        <v>6</v>
      </c>
      <c r="AD7" s="42">
        <f>AVERAGE(R22:R26)</f>
        <v>4.4000000000000004</v>
      </c>
      <c r="AE7" s="42">
        <f t="shared" ref="AE7:AM7" si="5">AVERAGE(S22:S26)</f>
        <v>4</v>
      </c>
      <c r="AF7" s="42">
        <f t="shared" si="5"/>
        <v>4.5999999999999996</v>
      </c>
      <c r="AG7" s="42">
        <f t="shared" si="5"/>
        <v>4.5999999999999996</v>
      </c>
      <c r="AH7" s="42">
        <f t="shared" si="5"/>
        <v>4</v>
      </c>
      <c r="AI7" s="42">
        <f t="shared" si="5"/>
        <v>4.5999999999999996</v>
      </c>
      <c r="AJ7" s="42">
        <f t="shared" si="5"/>
        <v>4.8</v>
      </c>
      <c r="AK7" s="42">
        <f t="shared" si="5"/>
        <v>4.5999999999999996</v>
      </c>
      <c r="AL7" s="42">
        <f t="shared" si="5"/>
        <v>4.8</v>
      </c>
      <c r="AM7" s="42">
        <f t="shared" si="5"/>
        <v>4.5999999999999996</v>
      </c>
      <c r="AO7" s="41">
        <v>6</v>
      </c>
      <c r="AP7" s="41">
        <v>3</v>
      </c>
      <c r="AQ7" s="41">
        <v>3</v>
      </c>
      <c r="AR7" s="41">
        <v>3</v>
      </c>
      <c r="AS7" s="41">
        <v>3</v>
      </c>
      <c r="AT7" s="41">
        <v>3</v>
      </c>
      <c r="AU7" s="41">
        <v>3</v>
      </c>
      <c r="AV7" s="41">
        <v>3</v>
      </c>
      <c r="AW7" s="41">
        <v>3</v>
      </c>
      <c r="AX7" s="41">
        <v>3</v>
      </c>
      <c r="AY7" s="41">
        <v>3</v>
      </c>
    </row>
    <row r="8" spans="1:51" x14ac:dyDescent="0.25">
      <c r="A8">
        <v>11</v>
      </c>
      <c r="B8">
        <v>5</v>
      </c>
      <c r="C8">
        <v>4</v>
      </c>
      <c r="D8">
        <v>3</v>
      </c>
      <c r="E8">
        <v>4</v>
      </c>
      <c r="F8">
        <v>4</v>
      </c>
      <c r="G8">
        <v>20</v>
      </c>
      <c r="H8">
        <v>5</v>
      </c>
      <c r="I8">
        <v>5</v>
      </c>
      <c r="J8">
        <v>5</v>
      </c>
      <c r="K8">
        <v>5</v>
      </c>
      <c r="L8">
        <v>5</v>
      </c>
      <c r="M8">
        <v>25</v>
      </c>
      <c r="P8">
        <v>2</v>
      </c>
      <c r="Q8" t="s">
        <v>127</v>
      </c>
      <c r="R8">
        <v>3</v>
      </c>
      <c r="S8">
        <v>2</v>
      </c>
      <c r="T8">
        <v>3</v>
      </c>
      <c r="U8">
        <v>3</v>
      </c>
      <c r="V8">
        <v>4</v>
      </c>
      <c r="W8">
        <v>3</v>
      </c>
      <c r="X8">
        <v>3</v>
      </c>
      <c r="Y8">
        <v>3</v>
      </c>
      <c r="Z8">
        <v>3</v>
      </c>
      <c r="AA8">
        <v>4</v>
      </c>
      <c r="AC8" s="41">
        <v>7</v>
      </c>
      <c r="AD8" s="42">
        <f>AVERAGE(R27:R31)</f>
        <v>3.6</v>
      </c>
      <c r="AE8" s="42">
        <f t="shared" ref="AE8:AM8" si="6">AVERAGE(S27:S31)</f>
        <v>2.6</v>
      </c>
      <c r="AF8" s="42">
        <f t="shared" si="6"/>
        <v>2.6</v>
      </c>
      <c r="AG8" s="42">
        <f t="shared" si="6"/>
        <v>3.8</v>
      </c>
      <c r="AH8" s="42">
        <f t="shared" si="6"/>
        <v>3.4</v>
      </c>
      <c r="AI8" s="42">
        <f t="shared" si="6"/>
        <v>4.2</v>
      </c>
      <c r="AJ8" s="42">
        <f t="shared" si="6"/>
        <v>3.6</v>
      </c>
      <c r="AK8" s="42">
        <f t="shared" si="6"/>
        <v>3.6</v>
      </c>
      <c r="AL8" s="42">
        <f t="shared" si="6"/>
        <v>4</v>
      </c>
      <c r="AM8" s="42">
        <f t="shared" si="6"/>
        <v>3.6</v>
      </c>
      <c r="AO8" s="41">
        <v>7</v>
      </c>
      <c r="AP8" s="41">
        <v>2</v>
      </c>
      <c r="AQ8" s="41">
        <v>2</v>
      </c>
      <c r="AR8" s="41">
        <v>2</v>
      </c>
      <c r="AS8" s="41">
        <v>2</v>
      </c>
      <c r="AT8" s="41">
        <v>2</v>
      </c>
      <c r="AU8" s="41">
        <v>3</v>
      </c>
      <c r="AV8" s="41">
        <v>2</v>
      </c>
      <c r="AW8" s="41">
        <v>2</v>
      </c>
      <c r="AX8" s="41">
        <v>3</v>
      </c>
      <c r="AY8" s="41">
        <v>2</v>
      </c>
    </row>
    <row r="9" spans="1:51" x14ac:dyDescent="0.25">
      <c r="A9">
        <v>12</v>
      </c>
      <c r="B9">
        <v>4</v>
      </c>
      <c r="C9">
        <v>4</v>
      </c>
      <c r="D9">
        <v>4</v>
      </c>
      <c r="E9">
        <v>4</v>
      </c>
      <c r="F9">
        <v>5</v>
      </c>
      <c r="G9">
        <v>21</v>
      </c>
      <c r="H9">
        <v>5</v>
      </c>
      <c r="I9">
        <v>5</v>
      </c>
      <c r="J9">
        <v>5</v>
      </c>
      <c r="K9">
        <v>5</v>
      </c>
      <c r="L9">
        <v>5</v>
      </c>
      <c r="M9">
        <v>25</v>
      </c>
      <c r="P9">
        <v>2</v>
      </c>
      <c r="Q9" t="s">
        <v>132</v>
      </c>
      <c r="R9">
        <v>4</v>
      </c>
      <c r="S9">
        <v>3</v>
      </c>
      <c r="T9">
        <v>3</v>
      </c>
      <c r="U9">
        <v>3</v>
      </c>
      <c r="V9">
        <v>3</v>
      </c>
      <c r="W9">
        <v>4</v>
      </c>
      <c r="X9">
        <v>3</v>
      </c>
      <c r="Y9">
        <v>3</v>
      </c>
      <c r="Z9">
        <v>2</v>
      </c>
      <c r="AA9">
        <v>3</v>
      </c>
      <c r="AC9" s="41">
        <v>8</v>
      </c>
      <c r="AD9" s="42">
        <f>AVERAGE(R32:R35)</f>
        <v>4.5</v>
      </c>
      <c r="AE9" s="42">
        <f t="shared" ref="AE9:AM9" si="7">AVERAGE(S32:S35)</f>
        <v>3.75</v>
      </c>
      <c r="AF9" s="42">
        <f t="shared" si="7"/>
        <v>3.5</v>
      </c>
      <c r="AG9" s="42">
        <f t="shared" si="7"/>
        <v>4.5</v>
      </c>
      <c r="AH9" s="42">
        <f t="shared" si="7"/>
        <v>3.75</v>
      </c>
      <c r="AI9" s="42">
        <f t="shared" si="7"/>
        <v>4.25</v>
      </c>
      <c r="AJ9" s="42">
        <f t="shared" si="7"/>
        <v>3.75</v>
      </c>
      <c r="AK9" s="42">
        <f t="shared" si="7"/>
        <v>5</v>
      </c>
      <c r="AL9" s="42">
        <f t="shared" si="7"/>
        <v>4.5</v>
      </c>
      <c r="AM9" s="42">
        <f t="shared" si="7"/>
        <v>4</v>
      </c>
      <c r="AO9" s="41">
        <v>8</v>
      </c>
      <c r="AP9" s="41">
        <v>3</v>
      </c>
      <c r="AQ9" s="41">
        <v>2</v>
      </c>
      <c r="AR9" s="41">
        <v>2</v>
      </c>
      <c r="AS9" s="41">
        <v>3</v>
      </c>
      <c r="AT9" s="41">
        <v>2</v>
      </c>
      <c r="AU9" s="41">
        <v>3</v>
      </c>
      <c r="AV9" s="41">
        <v>2</v>
      </c>
      <c r="AW9" s="41">
        <v>3</v>
      </c>
      <c r="AX9" s="41">
        <v>3</v>
      </c>
      <c r="AY9" s="41">
        <v>3</v>
      </c>
    </row>
    <row r="10" spans="1:51" x14ac:dyDescent="0.25">
      <c r="A10">
        <v>13</v>
      </c>
      <c r="B10">
        <v>5</v>
      </c>
      <c r="C10">
        <v>4</v>
      </c>
      <c r="D10">
        <v>3</v>
      </c>
      <c r="E10">
        <v>4</v>
      </c>
      <c r="F10">
        <v>4</v>
      </c>
      <c r="G10">
        <v>20</v>
      </c>
      <c r="H10">
        <v>5</v>
      </c>
      <c r="I10">
        <v>5</v>
      </c>
      <c r="J10">
        <v>5</v>
      </c>
      <c r="K10">
        <v>5</v>
      </c>
      <c r="L10">
        <v>5</v>
      </c>
      <c r="M10">
        <v>25</v>
      </c>
      <c r="P10">
        <v>3</v>
      </c>
      <c r="Q10" t="s">
        <v>123</v>
      </c>
      <c r="R10">
        <v>3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3</v>
      </c>
      <c r="AA10">
        <v>3</v>
      </c>
      <c r="AC10" s="41">
        <v>9</v>
      </c>
      <c r="AD10" s="42">
        <f>AVERAGE(R36:R40)</f>
        <v>4</v>
      </c>
      <c r="AE10" s="42">
        <f t="shared" ref="AE10:AM10" si="8">AVERAGE(S36:S40)</f>
        <v>4.4000000000000004</v>
      </c>
      <c r="AF10" s="42">
        <f t="shared" si="8"/>
        <v>4.2</v>
      </c>
      <c r="AG10" s="42">
        <f t="shared" si="8"/>
        <v>4.5999999999999996</v>
      </c>
      <c r="AH10" s="42">
        <f t="shared" si="8"/>
        <v>4.4000000000000004</v>
      </c>
      <c r="AI10" s="42">
        <f t="shared" si="8"/>
        <v>4.5999999999999996</v>
      </c>
      <c r="AJ10" s="42">
        <f t="shared" si="8"/>
        <v>4.2</v>
      </c>
      <c r="AK10" s="42">
        <f t="shared" si="8"/>
        <v>4.4000000000000004</v>
      </c>
      <c r="AL10" s="42">
        <f t="shared" si="8"/>
        <v>4.8</v>
      </c>
      <c r="AM10" s="42">
        <f t="shared" si="8"/>
        <v>4.8</v>
      </c>
      <c r="AO10" s="41">
        <v>9</v>
      </c>
      <c r="AP10" s="41">
        <v>3</v>
      </c>
      <c r="AQ10" s="41">
        <v>3</v>
      </c>
      <c r="AR10" s="41">
        <v>3</v>
      </c>
      <c r="AS10" s="41">
        <v>3</v>
      </c>
      <c r="AT10" s="41">
        <v>3</v>
      </c>
      <c r="AU10" s="41">
        <v>3</v>
      </c>
      <c r="AV10" s="41">
        <v>3</v>
      </c>
      <c r="AW10" s="41">
        <v>3</v>
      </c>
      <c r="AX10" s="41">
        <v>3</v>
      </c>
      <c r="AY10" s="41">
        <v>3</v>
      </c>
    </row>
    <row r="11" spans="1:51" x14ac:dyDescent="0.25">
      <c r="P11">
        <v>3</v>
      </c>
      <c r="Q11" t="s">
        <v>127</v>
      </c>
      <c r="R11">
        <v>4</v>
      </c>
      <c r="S11">
        <v>3</v>
      </c>
      <c r="T11">
        <v>4</v>
      </c>
      <c r="U11">
        <v>3</v>
      </c>
      <c r="V11">
        <v>5</v>
      </c>
      <c r="W11">
        <v>3</v>
      </c>
      <c r="X11">
        <v>4</v>
      </c>
      <c r="Y11">
        <v>3</v>
      </c>
      <c r="Z11">
        <v>3</v>
      </c>
      <c r="AA11">
        <v>4</v>
      </c>
      <c r="AC11" s="41">
        <v>10</v>
      </c>
      <c r="AD11" s="42">
        <f>AVERAGE(R41:R45)</f>
        <v>4.8</v>
      </c>
      <c r="AE11" s="42">
        <f t="shared" ref="AE11:AM11" si="9">AVERAGE(S41:S45)</f>
        <v>4.4000000000000004</v>
      </c>
      <c r="AF11" s="42">
        <f t="shared" si="9"/>
        <v>4.2</v>
      </c>
      <c r="AG11" s="42">
        <f t="shared" si="9"/>
        <v>4.4000000000000004</v>
      </c>
      <c r="AH11" s="42">
        <f t="shared" si="9"/>
        <v>4.4000000000000004</v>
      </c>
      <c r="AI11" s="42">
        <f t="shared" si="9"/>
        <v>4.5999999999999996</v>
      </c>
      <c r="AJ11" s="42">
        <f t="shared" si="9"/>
        <v>4.2</v>
      </c>
      <c r="AK11" s="42">
        <f t="shared" si="9"/>
        <v>4.4000000000000004</v>
      </c>
      <c r="AL11" s="42">
        <f t="shared" si="9"/>
        <v>4.5999999999999996</v>
      </c>
      <c r="AM11" s="42">
        <f t="shared" si="9"/>
        <v>4.2</v>
      </c>
      <c r="AO11" s="41">
        <v>10</v>
      </c>
      <c r="AP11" s="41">
        <v>3</v>
      </c>
      <c r="AQ11" s="41">
        <v>3</v>
      </c>
      <c r="AR11" s="41">
        <v>3</v>
      </c>
      <c r="AS11" s="41">
        <v>3</v>
      </c>
      <c r="AT11" s="41">
        <v>3</v>
      </c>
      <c r="AU11" s="41">
        <v>3</v>
      </c>
      <c r="AV11" s="41">
        <v>3</v>
      </c>
      <c r="AW11" s="41">
        <v>3</v>
      </c>
      <c r="AX11" s="41">
        <v>3</v>
      </c>
      <c r="AY11" s="41">
        <v>3</v>
      </c>
    </row>
    <row r="12" spans="1:51" x14ac:dyDescent="0.25">
      <c r="A12">
        <v>12</v>
      </c>
      <c r="B12">
        <v>4</v>
      </c>
      <c r="C12">
        <v>4</v>
      </c>
      <c r="D12">
        <v>3</v>
      </c>
      <c r="E12">
        <v>4</v>
      </c>
      <c r="F12">
        <v>4</v>
      </c>
      <c r="G12">
        <v>19</v>
      </c>
      <c r="H12">
        <v>4</v>
      </c>
      <c r="I12">
        <v>4</v>
      </c>
      <c r="J12">
        <v>5</v>
      </c>
      <c r="K12">
        <v>5</v>
      </c>
      <c r="L12">
        <v>5</v>
      </c>
      <c r="M12">
        <v>23</v>
      </c>
      <c r="P12">
        <v>3</v>
      </c>
      <c r="Q12" t="s">
        <v>131</v>
      </c>
      <c r="R12">
        <v>4</v>
      </c>
      <c r="S12">
        <v>4</v>
      </c>
      <c r="T12">
        <v>3</v>
      </c>
      <c r="U12">
        <v>4</v>
      </c>
      <c r="V12">
        <v>4</v>
      </c>
      <c r="W12">
        <v>4</v>
      </c>
      <c r="X12">
        <v>3</v>
      </c>
      <c r="Y12">
        <v>3</v>
      </c>
      <c r="Z12">
        <v>4</v>
      </c>
      <c r="AA12">
        <v>4</v>
      </c>
      <c r="AC12" s="41">
        <v>11</v>
      </c>
      <c r="AD12" s="42">
        <f>AVERAGE(R46:R51)</f>
        <v>4.5</v>
      </c>
      <c r="AE12" s="42">
        <f t="shared" ref="AE12:AM12" si="10">AVERAGE(S46:S51)</f>
        <v>3.8333333333333335</v>
      </c>
      <c r="AF12" s="42">
        <f t="shared" si="10"/>
        <v>3.6666666666666665</v>
      </c>
      <c r="AG12" s="42">
        <f t="shared" si="10"/>
        <v>4.333333333333333</v>
      </c>
      <c r="AH12" s="42">
        <f t="shared" si="10"/>
        <v>4.666666666666667</v>
      </c>
      <c r="AI12" s="42">
        <f t="shared" si="10"/>
        <v>4.666666666666667</v>
      </c>
      <c r="AJ12" s="42">
        <f t="shared" si="10"/>
        <v>4.166666666666667</v>
      </c>
      <c r="AK12" s="42">
        <f t="shared" si="10"/>
        <v>4.666666666666667</v>
      </c>
      <c r="AL12" s="42">
        <f t="shared" si="10"/>
        <v>4.333333333333333</v>
      </c>
      <c r="AM12" s="42">
        <f t="shared" si="10"/>
        <v>4.5</v>
      </c>
      <c r="AO12" s="41">
        <v>11</v>
      </c>
      <c r="AP12" s="41">
        <v>3</v>
      </c>
      <c r="AQ12" s="41">
        <v>2</v>
      </c>
      <c r="AR12" s="41">
        <v>2</v>
      </c>
      <c r="AS12" s="41">
        <v>3</v>
      </c>
      <c r="AT12" s="41">
        <v>3</v>
      </c>
      <c r="AU12" s="41">
        <v>3</v>
      </c>
      <c r="AV12" s="41">
        <v>3</v>
      </c>
      <c r="AW12" s="41">
        <v>3</v>
      </c>
      <c r="AX12" s="41">
        <v>3</v>
      </c>
      <c r="AY12" s="41">
        <v>3</v>
      </c>
    </row>
    <row r="13" spans="1:51" x14ac:dyDescent="0.25">
      <c r="A13">
        <v>11</v>
      </c>
      <c r="B13">
        <v>4</v>
      </c>
      <c r="C13">
        <v>4</v>
      </c>
      <c r="D13">
        <v>4</v>
      </c>
      <c r="E13">
        <v>4</v>
      </c>
      <c r="F13">
        <v>5</v>
      </c>
      <c r="G13">
        <v>21</v>
      </c>
      <c r="H13">
        <v>5</v>
      </c>
      <c r="I13">
        <v>4</v>
      </c>
      <c r="J13">
        <v>5</v>
      </c>
      <c r="K13">
        <v>4</v>
      </c>
      <c r="L13">
        <v>5</v>
      </c>
      <c r="M13">
        <v>23</v>
      </c>
      <c r="P13">
        <v>3</v>
      </c>
      <c r="Q13" t="s">
        <v>132</v>
      </c>
      <c r="R13">
        <v>4</v>
      </c>
      <c r="S13">
        <v>4</v>
      </c>
      <c r="T13">
        <v>4</v>
      </c>
      <c r="U13">
        <v>3</v>
      </c>
      <c r="V13">
        <v>3</v>
      </c>
      <c r="W13">
        <v>4</v>
      </c>
      <c r="X13">
        <v>4</v>
      </c>
      <c r="Y13">
        <v>4</v>
      </c>
      <c r="Z13">
        <v>5</v>
      </c>
      <c r="AA13">
        <v>4</v>
      </c>
      <c r="AC13" s="41">
        <v>12</v>
      </c>
      <c r="AD13" s="42">
        <f>AVERAGE(R52:R57)</f>
        <v>4</v>
      </c>
      <c r="AE13" s="42">
        <f t="shared" ref="AE13:AM13" si="11">AVERAGE(S52:S57)</f>
        <v>3.6666666666666665</v>
      </c>
      <c r="AF13" s="42">
        <f t="shared" si="11"/>
        <v>3.6666666666666665</v>
      </c>
      <c r="AG13" s="42">
        <f t="shared" si="11"/>
        <v>4.5</v>
      </c>
      <c r="AH13" s="42">
        <f t="shared" si="11"/>
        <v>4.833333333333333</v>
      </c>
      <c r="AI13" s="42">
        <f t="shared" si="11"/>
        <v>4.666666666666667</v>
      </c>
      <c r="AJ13" s="42">
        <f t="shared" si="11"/>
        <v>3.8333333333333335</v>
      </c>
      <c r="AK13" s="42">
        <f t="shared" si="11"/>
        <v>4.666666666666667</v>
      </c>
      <c r="AL13" s="42">
        <f t="shared" si="11"/>
        <v>4.5</v>
      </c>
      <c r="AM13" s="42">
        <f t="shared" si="11"/>
        <v>4.166666666666667</v>
      </c>
      <c r="AO13" s="41">
        <v>12</v>
      </c>
      <c r="AP13" s="41">
        <v>3</v>
      </c>
      <c r="AQ13" s="41">
        <v>2</v>
      </c>
      <c r="AR13" s="41">
        <v>2</v>
      </c>
      <c r="AS13" s="41">
        <v>3</v>
      </c>
      <c r="AT13" s="41">
        <v>3</v>
      </c>
      <c r="AU13" s="41">
        <v>3</v>
      </c>
      <c r="AV13" s="41">
        <v>2</v>
      </c>
      <c r="AW13" s="41">
        <v>3</v>
      </c>
      <c r="AX13" s="41">
        <v>3</v>
      </c>
      <c r="AY13" s="41">
        <v>3</v>
      </c>
    </row>
    <row r="14" spans="1:51" x14ac:dyDescent="0.25">
      <c r="A14">
        <v>10</v>
      </c>
      <c r="B14">
        <v>5</v>
      </c>
      <c r="C14">
        <v>5</v>
      </c>
      <c r="D14">
        <v>4</v>
      </c>
      <c r="E14">
        <v>4</v>
      </c>
      <c r="F14">
        <v>4</v>
      </c>
      <c r="G14">
        <v>22</v>
      </c>
      <c r="H14">
        <v>5</v>
      </c>
      <c r="I14">
        <v>4</v>
      </c>
      <c r="J14">
        <v>4</v>
      </c>
      <c r="K14">
        <v>4</v>
      </c>
      <c r="L14">
        <v>4</v>
      </c>
      <c r="M14">
        <v>21</v>
      </c>
      <c r="P14">
        <v>4</v>
      </c>
      <c r="Q14" t="s">
        <v>123</v>
      </c>
      <c r="R14">
        <v>3</v>
      </c>
      <c r="S14">
        <v>4</v>
      </c>
      <c r="T14">
        <v>5</v>
      </c>
      <c r="U14">
        <v>3</v>
      </c>
      <c r="V14">
        <v>4</v>
      </c>
      <c r="W14">
        <v>4</v>
      </c>
      <c r="X14">
        <v>4</v>
      </c>
      <c r="Y14">
        <v>5</v>
      </c>
      <c r="Z14">
        <v>4</v>
      </c>
      <c r="AA14">
        <v>5</v>
      </c>
      <c r="AC14" s="41">
        <v>13</v>
      </c>
      <c r="AD14" s="42">
        <f>AVERAGE(R58:R61)</f>
        <v>4.25</v>
      </c>
      <c r="AE14" s="42">
        <f t="shared" ref="AE14:AM14" si="12">AVERAGE(S58:S61)</f>
        <v>3</v>
      </c>
      <c r="AF14" s="42">
        <f t="shared" si="12"/>
        <v>3</v>
      </c>
      <c r="AG14" s="42">
        <f t="shared" si="12"/>
        <v>3.75</v>
      </c>
      <c r="AH14" s="42">
        <f t="shared" si="12"/>
        <v>3.25</v>
      </c>
      <c r="AI14" s="42">
        <f t="shared" si="12"/>
        <v>4.5</v>
      </c>
      <c r="AJ14" s="42">
        <f t="shared" si="12"/>
        <v>4</v>
      </c>
      <c r="AK14" s="42">
        <f t="shared" si="12"/>
        <v>4.25</v>
      </c>
      <c r="AL14" s="42">
        <f t="shared" si="12"/>
        <v>4.5</v>
      </c>
      <c r="AM14" s="42">
        <f t="shared" si="12"/>
        <v>4.5</v>
      </c>
      <c r="AO14" s="41">
        <v>13</v>
      </c>
      <c r="AP14" s="41">
        <v>3</v>
      </c>
      <c r="AQ14" s="41">
        <v>2</v>
      </c>
      <c r="AR14" s="41">
        <v>2</v>
      </c>
      <c r="AS14" s="41">
        <v>2</v>
      </c>
      <c r="AT14" s="41">
        <v>2</v>
      </c>
      <c r="AU14" s="41">
        <v>3</v>
      </c>
      <c r="AV14" s="41">
        <v>3</v>
      </c>
      <c r="AW14" s="41">
        <v>3</v>
      </c>
      <c r="AX14" s="41">
        <v>3</v>
      </c>
      <c r="AY14" s="41">
        <v>3</v>
      </c>
    </row>
    <row r="15" spans="1:51" x14ac:dyDescent="0.25">
      <c r="A15">
        <v>9</v>
      </c>
      <c r="B15">
        <v>3</v>
      </c>
      <c r="C15">
        <v>4</v>
      </c>
      <c r="D15">
        <v>3</v>
      </c>
      <c r="E15">
        <v>4</v>
      </c>
      <c r="F15">
        <v>4</v>
      </c>
      <c r="G15">
        <v>18</v>
      </c>
      <c r="H15">
        <v>4</v>
      </c>
      <c r="I15">
        <v>4</v>
      </c>
      <c r="J15">
        <v>4</v>
      </c>
      <c r="K15">
        <v>4</v>
      </c>
      <c r="L15">
        <v>5</v>
      </c>
      <c r="M15">
        <v>21</v>
      </c>
      <c r="P15">
        <v>4</v>
      </c>
      <c r="Q15" t="s">
        <v>127</v>
      </c>
      <c r="R15">
        <v>4</v>
      </c>
      <c r="S15">
        <v>3</v>
      </c>
      <c r="T15">
        <v>3</v>
      </c>
      <c r="U15">
        <v>4</v>
      </c>
      <c r="V15">
        <v>4</v>
      </c>
      <c r="W15">
        <v>3</v>
      </c>
      <c r="X15">
        <v>4</v>
      </c>
      <c r="Y15">
        <v>4</v>
      </c>
      <c r="Z15">
        <v>3</v>
      </c>
      <c r="AA15">
        <v>4</v>
      </c>
      <c r="AC15" s="41">
        <v>14</v>
      </c>
      <c r="AD15" s="42">
        <f>AVERAGE(R62:R65)</f>
        <v>3</v>
      </c>
      <c r="AE15" s="42">
        <f t="shared" ref="AE15:AM15" si="13">AVERAGE(S62:S65)</f>
        <v>2.75</v>
      </c>
      <c r="AF15" s="42">
        <f t="shared" si="13"/>
        <v>2.25</v>
      </c>
      <c r="AG15" s="42">
        <f t="shared" si="13"/>
        <v>2.75</v>
      </c>
      <c r="AH15" s="42">
        <f t="shared" si="13"/>
        <v>2.75</v>
      </c>
      <c r="AI15" s="42">
        <f t="shared" si="13"/>
        <v>3</v>
      </c>
      <c r="AJ15" s="42">
        <f t="shared" si="13"/>
        <v>2.75</v>
      </c>
      <c r="AK15" s="42">
        <f t="shared" si="13"/>
        <v>3.25</v>
      </c>
      <c r="AL15" s="42">
        <f t="shared" si="13"/>
        <v>2</v>
      </c>
      <c r="AM15" s="42">
        <f t="shared" si="13"/>
        <v>3.5</v>
      </c>
      <c r="AO15" s="41">
        <v>14</v>
      </c>
      <c r="AP15" s="41">
        <v>2</v>
      </c>
      <c r="AQ15" s="41">
        <v>2</v>
      </c>
      <c r="AR15" s="41">
        <v>2</v>
      </c>
      <c r="AS15" s="41">
        <v>2</v>
      </c>
      <c r="AT15" s="41">
        <v>2</v>
      </c>
      <c r="AU15" s="41">
        <v>2</v>
      </c>
      <c r="AV15" s="41">
        <v>2</v>
      </c>
      <c r="AW15" s="41">
        <v>2</v>
      </c>
      <c r="AX15" s="41">
        <v>2</v>
      </c>
      <c r="AY15" s="41">
        <v>2</v>
      </c>
    </row>
    <row r="16" spans="1:51" x14ac:dyDescent="0.25">
      <c r="P16">
        <v>4</v>
      </c>
      <c r="Q16" t="s">
        <v>132</v>
      </c>
      <c r="R16">
        <v>4</v>
      </c>
      <c r="S16">
        <v>4</v>
      </c>
      <c r="T16">
        <v>4</v>
      </c>
      <c r="U16">
        <v>4</v>
      </c>
      <c r="V16">
        <v>3</v>
      </c>
      <c r="W16">
        <v>5</v>
      </c>
      <c r="X16">
        <v>5</v>
      </c>
      <c r="Y16">
        <v>4</v>
      </c>
      <c r="Z16">
        <v>3</v>
      </c>
      <c r="AA16">
        <v>5</v>
      </c>
    </row>
    <row r="17" spans="1:27" x14ac:dyDescent="0.25">
      <c r="A17">
        <v>6</v>
      </c>
      <c r="B17">
        <v>4</v>
      </c>
      <c r="C17">
        <v>4</v>
      </c>
      <c r="D17">
        <v>5</v>
      </c>
      <c r="E17">
        <v>5</v>
      </c>
      <c r="F17">
        <v>4</v>
      </c>
      <c r="G17">
        <v>22</v>
      </c>
      <c r="H17">
        <v>4</v>
      </c>
      <c r="I17">
        <v>5</v>
      </c>
      <c r="J17">
        <v>5</v>
      </c>
      <c r="K17">
        <v>4</v>
      </c>
      <c r="L17">
        <v>4</v>
      </c>
      <c r="M17">
        <v>22</v>
      </c>
      <c r="P17">
        <v>5</v>
      </c>
      <c r="Q17" t="s">
        <v>117</v>
      </c>
      <c r="R17">
        <v>4</v>
      </c>
      <c r="S17">
        <v>3</v>
      </c>
      <c r="T17">
        <v>3</v>
      </c>
      <c r="U17">
        <v>4</v>
      </c>
      <c r="V17">
        <v>3</v>
      </c>
      <c r="W17">
        <v>4</v>
      </c>
      <c r="X17">
        <v>4</v>
      </c>
      <c r="Y17">
        <v>3</v>
      </c>
      <c r="Z17">
        <v>4</v>
      </c>
      <c r="AA17">
        <v>3</v>
      </c>
    </row>
    <row r="18" spans="1:27" x14ac:dyDescent="0.25">
      <c r="A18">
        <v>7</v>
      </c>
      <c r="B18">
        <v>5</v>
      </c>
      <c r="C18">
        <v>3</v>
      </c>
      <c r="D18">
        <v>3</v>
      </c>
      <c r="E18">
        <v>4</v>
      </c>
      <c r="F18">
        <v>4</v>
      </c>
      <c r="G18">
        <v>19</v>
      </c>
      <c r="H18">
        <v>5</v>
      </c>
      <c r="I18">
        <v>4</v>
      </c>
      <c r="J18">
        <v>4</v>
      </c>
      <c r="K18">
        <v>4</v>
      </c>
      <c r="L18">
        <v>4</v>
      </c>
      <c r="M18">
        <v>21</v>
      </c>
      <c r="P18">
        <v>5</v>
      </c>
      <c r="Q18" t="s">
        <v>120</v>
      </c>
      <c r="R18">
        <v>4</v>
      </c>
      <c r="S18">
        <v>3</v>
      </c>
      <c r="T18">
        <v>3</v>
      </c>
      <c r="U18">
        <v>4</v>
      </c>
      <c r="V18">
        <v>5</v>
      </c>
      <c r="W18">
        <v>5</v>
      </c>
      <c r="X18">
        <v>3</v>
      </c>
      <c r="Y18">
        <v>4</v>
      </c>
      <c r="Z18">
        <v>4</v>
      </c>
      <c r="AA18">
        <v>5</v>
      </c>
    </row>
    <row r="19" spans="1:27" x14ac:dyDescent="0.25">
      <c r="A19">
        <v>5</v>
      </c>
      <c r="B19">
        <v>4</v>
      </c>
      <c r="C19">
        <v>3</v>
      </c>
      <c r="D19">
        <v>3</v>
      </c>
      <c r="E19">
        <v>4</v>
      </c>
      <c r="F19">
        <v>5</v>
      </c>
      <c r="G19">
        <v>19</v>
      </c>
      <c r="H19">
        <v>5</v>
      </c>
      <c r="I19">
        <v>3</v>
      </c>
      <c r="J19">
        <v>4</v>
      </c>
      <c r="K19">
        <v>4</v>
      </c>
      <c r="L19">
        <v>5</v>
      </c>
      <c r="M19">
        <v>21</v>
      </c>
      <c r="P19">
        <v>5</v>
      </c>
      <c r="Q19" t="s">
        <v>121</v>
      </c>
      <c r="R19">
        <v>4</v>
      </c>
      <c r="S19">
        <v>3</v>
      </c>
      <c r="T19">
        <v>4</v>
      </c>
      <c r="U19">
        <v>4</v>
      </c>
      <c r="V19">
        <v>4</v>
      </c>
      <c r="W19">
        <v>1</v>
      </c>
      <c r="X19">
        <v>4</v>
      </c>
      <c r="Y19">
        <v>3</v>
      </c>
      <c r="Z19">
        <v>3</v>
      </c>
      <c r="AA19">
        <v>4</v>
      </c>
    </row>
    <row r="20" spans="1:27" x14ac:dyDescent="0.25">
      <c r="A20">
        <v>8</v>
      </c>
      <c r="B20">
        <v>5</v>
      </c>
      <c r="C20">
        <v>4</v>
      </c>
      <c r="D20">
        <v>3</v>
      </c>
      <c r="E20">
        <v>4</v>
      </c>
      <c r="F20">
        <v>4</v>
      </c>
      <c r="G20">
        <v>20</v>
      </c>
      <c r="H20">
        <v>5</v>
      </c>
      <c r="I20">
        <v>3</v>
      </c>
      <c r="J20">
        <v>5</v>
      </c>
      <c r="K20">
        <v>4</v>
      </c>
      <c r="L20">
        <v>4</v>
      </c>
      <c r="M20">
        <v>21</v>
      </c>
      <c r="P20">
        <v>5</v>
      </c>
      <c r="Q20" t="s">
        <v>122</v>
      </c>
      <c r="R20">
        <v>5</v>
      </c>
      <c r="S20">
        <v>5</v>
      </c>
      <c r="T20">
        <v>3</v>
      </c>
      <c r="U20">
        <v>5</v>
      </c>
      <c r="V20">
        <v>5</v>
      </c>
      <c r="W20">
        <v>5</v>
      </c>
      <c r="X20">
        <v>5</v>
      </c>
      <c r="Y20">
        <v>4</v>
      </c>
      <c r="Z20">
        <v>5</v>
      </c>
      <c r="AA20">
        <v>4</v>
      </c>
    </row>
    <row r="21" spans="1:27" x14ac:dyDescent="0.25">
      <c r="P21">
        <v>5</v>
      </c>
      <c r="Q21" t="s">
        <v>128</v>
      </c>
      <c r="R21">
        <v>5</v>
      </c>
      <c r="S21">
        <v>4</v>
      </c>
      <c r="T21">
        <v>4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</row>
    <row r="22" spans="1:27" x14ac:dyDescent="0.25">
      <c r="A22">
        <v>7</v>
      </c>
      <c r="B22">
        <v>4</v>
      </c>
      <c r="C22">
        <v>3</v>
      </c>
      <c r="D22">
        <v>3</v>
      </c>
      <c r="E22">
        <v>3</v>
      </c>
      <c r="F22">
        <v>3</v>
      </c>
      <c r="G22">
        <v>16</v>
      </c>
      <c r="H22">
        <v>4</v>
      </c>
      <c r="I22">
        <v>3</v>
      </c>
      <c r="J22">
        <v>3</v>
      </c>
      <c r="K22">
        <v>3</v>
      </c>
      <c r="L22">
        <v>4</v>
      </c>
      <c r="M22">
        <v>17</v>
      </c>
      <c r="P22">
        <v>6</v>
      </c>
      <c r="Q22" t="s">
        <v>117</v>
      </c>
      <c r="R22">
        <v>3</v>
      </c>
      <c r="S22">
        <v>2</v>
      </c>
      <c r="T22">
        <v>3</v>
      </c>
      <c r="U22">
        <v>3</v>
      </c>
      <c r="V22">
        <v>2</v>
      </c>
      <c r="W22">
        <v>4</v>
      </c>
      <c r="X22">
        <v>4</v>
      </c>
      <c r="Y22">
        <v>3</v>
      </c>
      <c r="Z22">
        <v>5</v>
      </c>
      <c r="AA22">
        <v>4</v>
      </c>
    </row>
    <row r="23" spans="1:27" x14ac:dyDescent="0.25">
      <c r="A23">
        <v>5</v>
      </c>
      <c r="B23">
        <v>4</v>
      </c>
      <c r="C23">
        <v>3</v>
      </c>
      <c r="D23">
        <v>4</v>
      </c>
      <c r="E23">
        <v>4</v>
      </c>
      <c r="F23">
        <v>4</v>
      </c>
      <c r="G23">
        <v>19</v>
      </c>
      <c r="H23">
        <v>1</v>
      </c>
      <c r="I23">
        <v>4</v>
      </c>
      <c r="J23">
        <v>3</v>
      </c>
      <c r="K23">
        <v>3</v>
      </c>
      <c r="L23">
        <v>4</v>
      </c>
      <c r="M23">
        <v>15</v>
      </c>
      <c r="P23">
        <v>6</v>
      </c>
      <c r="Q23" t="s">
        <v>120</v>
      </c>
      <c r="R23">
        <v>4</v>
      </c>
      <c r="S23">
        <v>4</v>
      </c>
      <c r="T23">
        <v>5</v>
      </c>
      <c r="U23">
        <v>5</v>
      </c>
      <c r="V23">
        <v>4</v>
      </c>
      <c r="W23">
        <v>4</v>
      </c>
      <c r="X23">
        <v>5</v>
      </c>
      <c r="Y23">
        <v>5</v>
      </c>
      <c r="Z23">
        <v>4</v>
      </c>
      <c r="AA23">
        <v>4</v>
      </c>
    </row>
    <row r="24" spans="1:27" x14ac:dyDescent="0.25">
      <c r="A24">
        <v>8</v>
      </c>
      <c r="B24">
        <v>4</v>
      </c>
      <c r="C24">
        <v>4</v>
      </c>
      <c r="D24">
        <v>4</v>
      </c>
      <c r="E24">
        <v>5</v>
      </c>
      <c r="F24">
        <v>3</v>
      </c>
      <c r="G24">
        <v>20</v>
      </c>
      <c r="H24">
        <v>4</v>
      </c>
      <c r="I24">
        <v>4</v>
      </c>
      <c r="J24">
        <v>5</v>
      </c>
      <c r="K24">
        <v>4</v>
      </c>
      <c r="L24">
        <v>4</v>
      </c>
      <c r="M24">
        <v>21</v>
      </c>
      <c r="P24">
        <v>6</v>
      </c>
      <c r="Q24" t="s">
        <v>121</v>
      </c>
      <c r="R24">
        <v>5</v>
      </c>
      <c r="S24">
        <v>5</v>
      </c>
      <c r="T24">
        <v>5</v>
      </c>
      <c r="U24">
        <v>5</v>
      </c>
      <c r="V24">
        <v>4</v>
      </c>
      <c r="W24">
        <v>5</v>
      </c>
      <c r="X24">
        <v>5</v>
      </c>
      <c r="Y24">
        <v>5</v>
      </c>
      <c r="Z24">
        <v>5</v>
      </c>
      <c r="AA24">
        <v>5</v>
      </c>
    </row>
    <row r="25" spans="1:27" x14ac:dyDescent="0.25">
      <c r="A25">
        <v>6</v>
      </c>
      <c r="B25">
        <v>5</v>
      </c>
      <c r="C25">
        <v>5</v>
      </c>
      <c r="D25">
        <v>5</v>
      </c>
      <c r="E25">
        <v>5</v>
      </c>
      <c r="F25">
        <v>4</v>
      </c>
      <c r="G25">
        <v>24</v>
      </c>
      <c r="H25">
        <v>5</v>
      </c>
      <c r="I25">
        <v>5</v>
      </c>
      <c r="J25">
        <v>5</v>
      </c>
      <c r="K25">
        <v>5</v>
      </c>
      <c r="L25">
        <v>5</v>
      </c>
      <c r="M25">
        <v>25</v>
      </c>
      <c r="P25">
        <v>6</v>
      </c>
      <c r="Q25" t="s">
        <v>122</v>
      </c>
      <c r="R25">
        <v>5</v>
      </c>
      <c r="S25">
        <v>4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</row>
    <row r="26" spans="1:27" x14ac:dyDescent="0.25">
      <c r="P26">
        <v>6</v>
      </c>
      <c r="Q26" t="s">
        <v>124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</row>
    <row r="27" spans="1:27" x14ac:dyDescent="0.25">
      <c r="A27">
        <v>8</v>
      </c>
      <c r="B27">
        <v>5</v>
      </c>
      <c r="C27">
        <v>4</v>
      </c>
      <c r="D27">
        <v>4</v>
      </c>
      <c r="E27">
        <v>5</v>
      </c>
      <c r="F27">
        <v>4</v>
      </c>
      <c r="G27">
        <v>22</v>
      </c>
      <c r="H27">
        <v>4</v>
      </c>
      <c r="I27">
        <v>4</v>
      </c>
      <c r="J27">
        <v>5</v>
      </c>
      <c r="K27">
        <v>5</v>
      </c>
      <c r="L27">
        <v>5</v>
      </c>
      <c r="M27">
        <v>23</v>
      </c>
      <c r="P27">
        <v>7</v>
      </c>
      <c r="Q27" t="s">
        <v>117</v>
      </c>
      <c r="R27">
        <v>2</v>
      </c>
      <c r="S27">
        <v>2</v>
      </c>
      <c r="T27">
        <v>2</v>
      </c>
      <c r="U27">
        <v>3</v>
      </c>
      <c r="V27">
        <v>3</v>
      </c>
      <c r="W27">
        <v>3</v>
      </c>
      <c r="X27">
        <v>3</v>
      </c>
      <c r="Y27">
        <v>2</v>
      </c>
      <c r="Z27">
        <v>3</v>
      </c>
      <c r="AA27">
        <v>2</v>
      </c>
    </row>
    <row r="28" spans="1:27" x14ac:dyDescent="0.25">
      <c r="A28">
        <v>7</v>
      </c>
      <c r="B28">
        <v>3</v>
      </c>
      <c r="C28">
        <v>3</v>
      </c>
      <c r="D28">
        <v>3</v>
      </c>
      <c r="E28">
        <v>5</v>
      </c>
      <c r="F28">
        <v>4</v>
      </c>
      <c r="G28">
        <v>18</v>
      </c>
      <c r="H28">
        <v>4</v>
      </c>
      <c r="I28">
        <v>4</v>
      </c>
      <c r="J28">
        <v>5</v>
      </c>
      <c r="K28">
        <v>5</v>
      </c>
      <c r="L28">
        <v>4</v>
      </c>
      <c r="M28">
        <v>22</v>
      </c>
      <c r="P28">
        <v>7</v>
      </c>
      <c r="Q28" t="s">
        <v>120</v>
      </c>
      <c r="R28">
        <v>5</v>
      </c>
      <c r="S28">
        <v>3</v>
      </c>
      <c r="T28">
        <v>3</v>
      </c>
      <c r="U28">
        <v>4</v>
      </c>
      <c r="V28">
        <v>4</v>
      </c>
      <c r="W28">
        <v>5</v>
      </c>
      <c r="X28">
        <v>4</v>
      </c>
      <c r="Y28">
        <v>4</v>
      </c>
      <c r="Z28">
        <v>4</v>
      </c>
      <c r="AA28">
        <v>4</v>
      </c>
    </row>
    <row r="29" spans="1:27" x14ac:dyDescent="0.25">
      <c r="A29">
        <v>6</v>
      </c>
      <c r="B29">
        <v>5</v>
      </c>
      <c r="C29">
        <v>4</v>
      </c>
      <c r="D29">
        <v>5</v>
      </c>
      <c r="E29">
        <v>5</v>
      </c>
      <c r="F29">
        <v>5</v>
      </c>
      <c r="G29">
        <v>24</v>
      </c>
      <c r="H29">
        <v>5</v>
      </c>
      <c r="I29">
        <v>5</v>
      </c>
      <c r="J29">
        <v>5</v>
      </c>
      <c r="K29">
        <v>5</v>
      </c>
      <c r="L29">
        <v>5</v>
      </c>
      <c r="M29">
        <v>25</v>
      </c>
      <c r="P29">
        <v>7</v>
      </c>
      <c r="Q29" t="s">
        <v>121</v>
      </c>
      <c r="R29">
        <v>4</v>
      </c>
      <c r="S29">
        <v>3</v>
      </c>
      <c r="T29">
        <v>3</v>
      </c>
      <c r="U29">
        <v>3</v>
      </c>
      <c r="V29">
        <v>3</v>
      </c>
      <c r="W29">
        <v>4</v>
      </c>
      <c r="X29">
        <v>3</v>
      </c>
      <c r="Y29">
        <v>3</v>
      </c>
      <c r="Z29">
        <v>3</v>
      </c>
      <c r="AA29">
        <v>4</v>
      </c>
    </row>
    <row r="30" spans="1:27" x14ac:dyDescent="0.25">
      <c r="A30">
        <v>5</v>
      </c>
      <c r="B30">
        <v>5</v>
      </c>
      <c r="C30">
        <v>5</v>
      </c>
      <c r="D30">
        <v>3</v>
      </c>
      <c r="E30">
        <v>5</v>
      </c>
      <c r="F30">
        <v>5</v>
      </c>
      <c r="G30">
        <v>23</v>
      </c>
      <c r="H30">
        <v>5</v>
      </c>
      <c r="I30">
        <v>5</v>
      </c>
      <c r="J30">
        <v>4</v>
      </c>
      <c r="K30">
        <v>5</v>
      </c>
      <c r="L30">
        <v>4</v>
      </c>
      <c r="M30">
        <v>23</v>
      </c>
      <c r="P30">
        <v>7</v>
      </c>
      <c r="Q30" t="s">
        <v>122</v>
      </c>
      <c r="R30">
        <v>3</v>
      </c>
      <c r="S30">
        <v>3</v>
      </c>
      <c r="T30">
        <v>3</v>
      </c>
      <c r="U30">
        <v>5</v>
      </c>
      <c r="V30">
        <v>4</v>
      </c>
      <c r="W30">
        <v>4</v>
      </c>
      <c r="X30">
        <v>4</v>
      </c>
      <c r="Y30">
        <v>5</v>
      </c>
      <c r="Z30">
        <v>5</v>
      </c>
      <c r="AA30">
        <v>4</v>
      </c>
    </row>
    <row r="31" spans="1:27" x14ac:dyDescent="0.25">
      <c r="P31">
        <v>7</v>
      </c>
      <c r="Q31" t="s">
        <v>131</v>
      </c>
      <c r="R31">
        <v>4</v>
      </c>
      <c r="S31">
        <v>2</v>
      </c>
      <c r="T31">
        <v>2</v>
      </c>
      <c r="U31">
        <v>4</v>
      </c>
      <c r="V31">
        <v>3</v>
      </c>
      <c r="W31">
        <v>5</v>
      </c>
      <c r="X31">
        <v>4</v>
      </c>
      <c r="Y31">
        <v>4</v>
      </c>
      <c r="Z31">
        <v>5</v>
      </c>
      <c r="AA31">
        <v>4</v>
      </c>
    </row>
    <row r="32" spans="1:27" x14ac:dyDescent="0.25">
      <c r="A32">
        <v>4</v>
      </c>
      <c r="B32">
        <v>3</v>
      </c>
      <c r="C32">
        <v>4</v>
      </c>
      <c r="D32">
        <v>5</v>
      </c>
      <c r="E32">
        <v>3</v>
      </c>
      <c r="F32">
        <v>4</v>
      </c>
      <c r="G32">
        <v>19</v>
      </c>
      <c r="H32">
        <v>4</v>
      </c>
      <c r="I32">
        <v>4</v>
      </c>
      <c r="J32">
        <v>5</v>
      </c>
      <c r="K32">
        <v>4</v>
      </c>
      <c r="L32">
        <v>5</v>
      </c>
      <c r="M32">
        <v>22</v>
      </c>
      <c r="P32">
        <v>8</v>
      </c>
      <c r="Q32" t="s">
        <v>117</v>
      </c>
      <c r="R32">
        <v>4</v>
      </c>
      <c r="S32">
        <v>3</v>
      </c>
      <c r="T32">
        <v>3</v>
      </c>
      <c r="U32">
        <v>4</v>
      </c>
      <c r="V32">
        <v>4</v>
      </c>
      <c r="W32">
        <v>4</v>
      </c>
      <c r="X32">
        <v>4</v>
      </c>
      <c r="Y32">
        <v>5</v>
      </c>
      <c r="Z32">
        <v>5</v>
      </c>
      <c r="AA32">
        <v>3</v>
      </c>
    </row>
    <row r="33" spans="1:27" x14ac:dyDescent="0.25">
      <c r="A33">
        <v>3</v>
      </c>
      <c r="B33">
        <v>3</v>
      </c>
      <c r="C33">
        <v>4</v>
      </c>
      <c r="D33">
        <v>4</v>
      </c>
      <c r="E33">
        <v>4</v>
      </c>
      <c r="F33">
        <v>4</v>
      </c>
      <c r="G33">
        <v>19</v>
      </c>
      <c r="H33">
        <v>4</v>
      </c>
      <c r="I33">
        <v>4</v>
      </c>
      <c r="J33">
        <v>4</v>
      </c>
      <c r="K33">
        <v>3</v>
      </c>
      <c r="L33">
        <v>3</v>
      </c>
      <c r="M33">
        <v>18</v>
      </c>
      <c r="P33">
        <v>8</v>
      </c>
      <c r="Q33" t="s">
        <v>120</v>
      </c>
      <c r="R33">
        <v>5</v>
      </c>
      <c r="S33">
        <v>4</v>
      </c>
      <c r="T33">
        <v>3</v>
      </c>
      <c r="U33">
        <v>4</v>
      </c>
      <c r="V33">
        <v>4</v>
      </c>
      <c r="W33">
        <v>5</v>
      </c>
      <c r="X33">
        <v>3</v>
      </c>
      <c r="Y33">
        <v>5</v>
      </c>
      <c r="Z33">
        <v>4</v>
      </c>
      <c r="AA33">
        <v>4</v>
      </c>
    </row>
    <row r="34" spans="1:27" x14ac:dyDescent="0.25">
      <c r="A34">
        <v>2</v>
      </c>
      <c r="B34">
        <v>4</v>
      </c>
      <c r="C34">
        <v>4</v>
      </c>
      <c r="D34">
        <v>3</v>
      </c>
      <c r="E34">
        <v>4</v>
      </c>
      <c r="F34">
        <v>5</v>
      </c>
      <c r="G34">
        <v>20</v>
      </c>
      <c r="H34">
        <v>4</v>
      </c>
      <c r="I34">
        <v>4</v>
      </c>
      <c r="J34">
        <v>3</v>
      </c>
      <c r="K34">
        <v>3</v>
      </c>
      <c r="L34">
        <v>3</v>
      </c>
      <c r="M34">
        <v>17</v>
      </c>
      <c r="P34">
        <v>8</v>
      </c>
      <c r="Q34" t="s">
        <v>121</v>
      </c>
      <c r="R34">
        <v>4</v>
      </c>
      <c r="S34">
        <v>4</v>
      </c>
      <c r="T34">
        <v>4</v>
      </c>
      <c r="U34">
        <v>5</v>
      </c>
      <c r="V34">
        <v>3</v>
      </c>
      <c r="W34">
        <v>4</v>
      </c>
      <c r="X34">
        <v>4</v>
      </c>
      <c r="Y34">
        <v>5</v>
      </c>
      <c r="Z34">
        <v>4</v>
      </c>
      <c r="AA34">
        <v>4</v>
      </c>
    </row>
    <row r="35" spans="1:27" x14ac:dyDescent="0.25">
      <c r="A35">
        <v>1</v>
      </c>
      <c r="B35">
        <v>3</v>
      </c>
      <c r="C35">
        <v>2</v>
      </c>
      <c r="D35">
        <v>3</v>
      </c>
      <c r="E35">
        <v>3</v>
      </c>
      <c r="F35">
        <v>3</v>
      </c>
      <c r="G35">
        <v>14</v>
      </c>
      <c r="H35">
        <v>4</v>
      </c>
      <c r="I35">
        <v>4</v>
      </c>
      <c r="J35">
        <v>4</v>
      </c>
      <c r="K35">
        <v>5</v>
      </c>
      <c r="L35">
        <v>3</v>
      </c>
      <c r="M35">
        <v>20</v>
      </c>
      <c r="P35">
        <v>8</v>
      </c>
      <c r="Q35" t="s">
        <v>122</v>
      </c>
      <c r="R35">
        <v>5</v>
      </c>
      <c r="S35">
        <v>4</v>
      </c>
      <c r="T35">
        <v>4</v>
      </c>
      <c r="U35">
        <v>5</v>
      </c>
      <c r="V35">
        <v>4</v>
      </c>
      <c r="W35">
        <v>4</v>
      </c>
      <c r="X35">
        <v>4</v>
      </c>
      <c r="Y35">
        <v>5</v>
      </c>
      <c r="Z35">
        <v>5</v>
      </c>
      <c r="AA35">
        <v>5</v>
      </c>
    </row>
    <row r="36" spans="1:27" x14ac:dyDescent="0.25">
      <c r="P36">
        <v>9</v>
      </c>
      <c r="Q36" t="s">
        <v>119</v>
      </c>
      <c r="R36">
        <v>3</v>
      </c>
      <c r="S36">
        <v>4</v>
      </c>
      <c r="T36">
        <v>3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5</v>
      </c>
    </row>
    <row r="37" spans="1:27" x14ac:dyDescent="0.25">
      <c r="A37">
        <v>14</v>
      </c>
      <c r="B37">
        <v>4</v>
      </c>
      <c r="C37">
        <v>2</v>
      </c>
      <c r="D37">
        <v>2</v>
      </c>
      <c r="E37">
        <v>3</v>
      </c>
      <c r="F37">
        <v>3</v>
      </c>
      <c r="G37">
        <v>14</v>
      </c>
      <c r="H37">
        <v>3</v>
      </c>
      <c r="I37">
        <v>2</v>
      </c>
      <c r="J37">
        <v>3</v>
      </c>
      <c r="K37">
        <v>2</v>
      </c>
      <c r="L37">
        <v>3</v>
      </c>
      <c r="M37">
        <v>13</v>
      </c>
      <c r="P37">
        <v>9</v>
      </c>
      <c r="Q37" t="s">
        <v>125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</row>
    <row r="38" spans="1:27" x14ac:dyDescent="0.25">
      <c r="A38">
        <v>13</v>
      </c>
      <c r="B38">
        <v>4</v>
      </c>
      <c r="C38">
        <v>3</v>
      </c>
      <c r="D38">
        <v>4</v>
      </c>
      <c r="E38">
        <v>4</v>
      </c>
      <c r="F38">
        <v>4</v>
      </c>
      <c r="G38">
        <v>19</v>
      </c>
      <c r="H38">
        <v>5</v>
      </c>
      <c r="I38">
        <v>5</v>
      </c>
      <c r="J38">
        <v>3</v>
      </c>
      <c r="K38">
        <v>4</v>
      </c>
      <c r="L38">
        <v>4</v>
      </c>
      <c r="M38">
        <v>21</v>
      </c>
      <c r="P38">
        <v>9</v>
      </c>
      <c r="Q38" t="s">
        <v>126</v>
      </c>
      <c r="R38">
        <v>4</v>
      </c>
      <c r="S38">
        <v>4</v>
      </c>
      <c r="T38">
        <v>4</v>
      </c>
      <c r="U38">
        <v>5</v>
      </c>
      <c r="V38">
        <v>5</v>
      </c>
      <c r="W38">
        <v>4</v>
      </c>
      <c r="X38">
        <v>3</v>
      </c>
      <c r="Y38">
        <v>4</v>
      </c>
      <c r="Z38">
        <v>5</v>
      </c>
      <c r="AA38">
        <v>5</v>
      </c>
    </row>
    <row r="39" spans="1:27" x14ac:dyDescent="0.25">
      <c r="A39">
        <v>2</v>
      </c>
      <c r="B39">
        <v>4</v>
      </c>
      <c r="C39">
        <v>3</v>
      </c>
      <c r="D39">
        <v>4</v>
      </c>
      <c r="E39">
        <v>4</v>
      </c>
      <c r="F39">
        <v>4</v>
      </c>
      <c r="G39">
        <v>19</v>
      </c>
      <c r="H39">
        <v>5</v>
      </c>
      <c r="I39">
        <v>5</v>
      </c>
      <c r="J39">
        <v>5</v>
      </c>
      <c r="K39">
        <v>4</v>
      </c>
      <c r="L39">
        <v>4</v>
      </c>
      <c r="M39">
        <v>23</v>
      </c>
      <c r="P39">
        <v>9</v>
      </c>
      <c r="Q39" t="s">
        <v>129</v>
      </c>
      <c r="R39">
        <v>4</v>
      </c>
      <c r="S39">
        <v>5</v>
      </c>
      <c r="T39">
        <v>5</v>
      </c>
      <c r="U39">
        <v>5</v>
      </c>
      <c r="V39">
        <v>4</v>
      </c>
      <c r="W39">
        <v>5</v>
      </c>
      <c r="X39">
        <v>5</v>
      </c>
      <c r="Y39">
        <v>5</v>
      </c>
      <c r="Z39">
        <v>5</v>
      </c>
      <c r="AA39">
        <v>5</v>
      </c>
    </row>
    <row r="40" spans="1:27" x14ac:dyDescent="0.25">
      <c r="A40">
        <v>6</v>
      </c>
      <c r="B40">
        <v>5</v>
      </c>
      <c r="C40">
        <v>5</v>
      </c>
      <c r="D40">
        <v>5</v>
      </c>
      <c r="E40">
        <v>5</v>
      </c>
      <c r="F40">
        <v>5</v>
      </c>
      <c r="G40">
        <v>25</v>
      </c>
      <c r="H40">
        <v>5</v>
      </c>
      <c r="I40">
        <v>5</v>
      </c>
      <c r="J40">
        <v>5</v>
      </c>
      <c r="K40">
        <v>5</v>
      </c>
      <c r="L40">
        <v>5</v>
      </c>
      <c r="M40">
        <v>25</v>
      </c>
      <c r="P40">
        <v>9</v>
      </c>
      <c r="Q40" t="s">
        <v>130</v>
      </c>
      <c r="R40">
        <v>4</v>
      </c>
      <c r="S40">
        <v>4</v>
      </c>
      <c r="T40">
        <v>4</v>
      </c>
      <c r="U40">
        <v>4</v>
      </c>
      <c r="V40">
        <v>4</v>
      </c>
      <c r="W40">
        <v>5</v>
      </c>
      <c r="X40">
        <v>4</v>
      </c>
      <c r="Y40">
        <v>4</v>
      </c>
      <c r="Z40">
        <v>5</v>
      </c>
      <c r="AA40">
        <v>4</v>
      </c>
    </row>
    <row r="41" spans="1:27" x14ac:dyDescent="0.25">
      <c r="P41">
        <v>10</v>
      </c>
      <c r="Q41" t="s">
        <v>119</v>
      </c>
      <c r="R41">
        <v>5</v>
      </c>
      <c r="S41">
        <v>5</v>
      </c>
      <c r="T41">
        <v>4</v>
      </c>
      <c r="U41">
        <v>4</v>
      </c>
      <c r="V41">
        <v>4</v>
      </c>
      <c r="W41">
        <v>5</v>
      </c>
      <c r="X41">
        <v>4</v>
      </c>
      <c r="Y41">
        <v>4</v>
      </c>
      <c r="Z41">
        <v>4</v>
      </c>
      <c r="AA41">
        <v>4</v>
      </c>
    </row>
    <row r="42" spans="1:27" x14ac:dyDescent="0.25">
      <c r="A42">
        <v>10</v>
      </c>
      <c r="B42">
        <v>5</v>
      </c>
      <c r="C42">
        <v>5</v>
      </c>
      <c r="D42">
        <v>5</v>
      </c>
      <c r="E42">
        <v>5</v>
      </c>
      <c r="F42">
        <v>4</v>
      </c>
      <c r="G42">
        <v>24</v>
      </c>
      <c r="H42">
        <v>5</v>
      </c>
      <c r="I42">
        <v>5</v>
      </c>
      <c r="J42">
        <v>5</v>
      </c>
      <c r="K42">
        <v>5</v>
      </c>
      <c r="L42">
        <v>5</v>
      </c>
      <c r="M42">
        <v>25</v>
      </c>
      <c r="P42">
        <v>10</v>
      </c>
      <c r="Q42" t="s">
        <v>125</v>
      </c>
      <c r="R42">
        <v>5</v>
      </c>
      <c r="S42">
        <v>5</v>
      </c>
      <c r="T42">
        <v>5</v>
      </c>
      <c r="U42">
        <v>5</v>
      </c>
      <c r="V42">
        <v>4</v>
      </c>
      <c r="W42">
        <v>5</v>
      </c>
      <c r="X42">
        <v>5</v>
      </c>
      <c r="Y42">
        <v>5</v>
      </c>
      <c r="Z42">
        <v>5</v>
      </c>
      <c r="AA42">
        <v>5</v>
      </c>
    </row>
    <row r="43" spans="1:27" x14ac:dyDescent="0.25">
      <c r="A43">
        <v>11</v>
      </c>
      <c r="B43">
        <v>5</v>
      </c>
      <c r="C43">
        <v>5</v>
      </c>
      <c r="D43">
        <v>5</v>
      </c>
      <c r="E43">
        <v>5</v>
      </c>
      <c r="F43">
        <v>5</v>
      </c>
      <c r="G43">
        <v>25</v>
      </c>
      <c r="H43">
        <v>5</v>
      </c>
      <c r="I43">
        <v>5</v>
      </c>
      <c r="J43">
        <v>5</v>
      </c>
      <c r="K43">
        <v>5</v>
      </c>
      <c r="L43">
        <v>5</v>
      </c>
      <c r="M43">
        <v>25</v>
      </c>
      <c r="P43">
        <v>10</v>
      </c>
      <c r="Q43" t="s">
        <v>126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3</v>
      </c>
      <c r="Y43">
        <v>5</v>
      </c>
      <c r="Z43">
        <v>5</v>
      </c>
      <c r="AA43">
        <v>4</v>
      </c>
    </row>
    <row r="44" spans="1:27" x14ac:dyDescent="0.25">
      <c r="A44">
        <v>12</v>
      </c>
      <c r="B44">
        <v>5</v>
      </c>
      <c r="C44">
        <v>5</v>
      </c>
      <c r="D44">
        <v>5</v>
      </c>
      <c r="E44">
        <v>5</v>
      </c>
      <c r="F44">
        <v>5</v>
      </c>
      <c r="G44">
        <v>25</v>
      </c>
      <c r="H44">
        <v>5</v>
      </c>
      <c r="I44">
        <v>5</v>
      </c>
      <c r="J44">
        <v>5</v>
      </c>
      <c r="K44">
        <v>5</v>
      </c>
      <c r="L44">
        <v>5</v>
      </c>
      <c r="M44">
        <v>25</v>
      </c>
      <c r="P44">
        <v>10</v>
      </c>
      <c r="Q44" t="s">
        <v>129</v>
      </c>
      <c r="R44">
        <v>5</v>
      </c>
      <c r="S44">
        <v>3</v>
      </c>
      <c r="T44">
        <v>4</v>
      </c>
      <c r="U44">
        <v>4</v>
      </c>
      <c r="V44">
        <v>5</v>
      </c>
      <c r="W44">
        <v>3</v>
      </c>
      <c r="X44">
        <v>5</v>
      </c>
      <c r="Y44">
        <v>4</v>
      </c>
      <c r="Z44">
        <v>4</v>
      </c>
      <c r="AA44">
        <v>4</v>
      </c>
    </row>
    <row r="45" spans="1:27" x14ac:dyDescent="0.25">
      <c r="A45">
        <v>9</v>
      </c>
      <c r="B45">
        <v>5</v>
      </c>
      <c r="C45">
        <v>5</v>
      </c>
      <c r="D45">
        <v>5</v>
      </c>
      <c r="E45">
        <v>5</v>
      </c>
      <c r="F45">
        <v>5</v>
      </c>
      <c r="G45">
        <v>25</v>
      </c>
      <c r="H45">
        <v>5</v>
      </c>
      <c r="I45">
        <v>5</v>
      </c>
      <c r="J45">
        <v>5</v>
      </c>
      <c r="K45">
        <v>5</v>
      </c>
      <c r="L45">
        <v>5</v>
      </c>
      <c r="M45">
        <v>25</v>
      </c>
      <c r="P45">
        <v>10</v>
      </c>
      <c r="Q45" t="s">
        <v>130</v>
      </c>
      <c r="R45">
        <v>4</v>
      </c>
      <c r="S45">
        <v>4</v>
      </c>
      <c r="T45">
        <v>3</v>
      </c>
      <c r="U45">
        <v>4</v>
      </c>
      <c r="V45">
        <v>4</v>
      </c>
      <c r="W45">
        <v>5</v>
      </c>
      <c r="X45">
        <v>4</v>
      </c>
      <c r="Y45">
        <v>4</v>
      </c>
      <c r="Z45">
        <v>5</v>
      </c>
      <c r="AA45">
        <v>4</v>
      </c>
    </row>
    <row r="46" spans="1:27" x14ac:dyDescent="0.25">
      <c r="P46">
        <v>11</v>
      </c>
      <c r="Q46" t="s">
        <v>118</v>
      </c>
      <c r="R46">
        <v>5</v>
      </c>
      <c r="S46">
        <v>4</v>
      </c>
      <c r="T46">
        <v>3</v>
      </c>
      <c r="U46">
        <v>4</v>
      </c>
      <c r="V46">
        <v>4</v>
      </c>
      <c r="W46">
        <v>5</v>
      </c>
      <c r="X46">
        <v>5</v>
      </c>
      <c r="Y46">
        <v>5</v>
      </c>
      <c r="Z46">
        <v>5</v>
      </c>
      <c r="AA46">
        <v>5</v>
      </c>
    </row>
    <row r="47" spans="1:27" x14ac:dyDescent="0.25">
      <c r="A47">
        <v>9</v>
      </c>
      <c r="B47">
        <v>4</v>
      </c>
      <c r="C47">
        <v>4</v>
      </c>
      <c r="D47">
        <v>4</v>
      </c>
      <c r="E47">
        <v>5</v>
      </c>
      <c r="F47">
        <v>5</v>
      </c>
      <c r="G47">
        <v>22</v>
      </c>
      <c r="H47">
        <v>4</v>
      </c>
      <c r="I47">
        <v>3</v>
      </c>
      <c r="J47">
        <v>4</v>
      </c>
      <c r="K47">
        <v>5</v>
      </c>
      <c r="L47">
        <v>5</v>
      </c>
      <c r="M47">
        <v>21</v>
      </c>
      <c r="P47">
        <v>11</v>
      </c>
      <c r="Q47" t="s">
        <v>119</v>
      </c>
      <c r="R47">
        <v>4</v>
      </c>
      <c r="S47">
        <v>4</v>
      </c>
      <c r="T47">
        <v>4</v>
      </c>
      <c r="U47">
        <v>4</v>
      </c>
      <c r="V47">
        <v>5</v>
      </c>
      <c r="W47">
        <v>5</v>
      </c>
      <c r="X47">
        <v>4</v>
      </c>
      <c r="Y47">
        <v>5</v>
      </c>
      <c r="Z47">
        <v>4</v>
      </c>
      <c r="AA47">
        <v>5</v>
      </c>
    </row>
    <row r="48" spans="1:27" x14ac:dyDescent="0.25">
      <c r="A48">
        <v>10</v>
      </c>
      <c r="B48">
        <v>5</v>
      </c>
      <c r="C48">
        <v>5</v>
      </c>
      <c r="D48">
        <v>5</v>
      </c>
      <c r="E48">
        <v>5</v>
      </c>
      <c r="F48">
        <v>5</v>
      </c>
      <c r="G48">
        <v>25</v>
      </c>
      <c r="H48">
        <v>5</v>
      </c>
      <c r="I48">
        <v>3</v>
      </c>
      <c r="J48">
        <v>5</v>
      </c>
      <c r="K48">
        <v>5</v>
      </c>
      <c r="L48">
        <v>4</v>
      </c>
      <c r="M48">
        <v>22</v>
      </c>
      <c r="P48">
        <v>11</v>
      </c>
      <c r="Q48" t="s">
        <v>125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</row>
    <row r="49" spans="1:27" x14ac:dyDescent="0.25">
      <c r="A49">
        <v>11</v>
      </c>
      <c r="B49">
        <v>5</v>
      </c>
      <c r="C49">
        <v>3</v>
      </c>
      <c r="D49">
        <v>4</v>
      </c>
      <c r="E49">
        <v>5</v>
      </c>
      <c r="F49">
        <v>5</v>
      </c>
      <c r="G49">
        <v>22</v>
      </c>
      <c r="H49">
        <v>5</v>
      </c>
      <c r="I49">
        <v>3</v>
      </c>
      <c r="J49">
        <v>5</v>
      </c>
      <c r="K49">
        <v>4</v>
      </c>
      <c r="L49">
        <v>4</v>
      </c>
      <c r="M49">
        <v>21</v>
      </c>
      <c r="P49">
        <v>11</v>
      </c>
      <c r="Q49" t="s">
        <v>126</v>
      </c>
      <c r="R49">
        <v>5</v>
      </c>
      <c r="S49">
        <v>3</v>
      </c>
      <c r="T49">
        <v>4</v>
      </c>
      <c r="U49">
        <v>5</v>
      </c>
      <c r="V49">
        <v>5</v>
      </c>
      <c r="W49">
        <v>5</v>
      </c>
      <c r="X49">
        <v>3</v>
      </c>
      <c r="Y49">
        <v>5</v>
      </c>
      <c r="Z49">
        <v>4</v>
      </c>
      <c r="AA49">
        <v>4</v>
      </c>
    </row>
    <row r="50" spans="1:27" x14ac:dyDescent="0.25">
      <c r="A50">
        <v>12</v>
      </c>
      <c r="B50">
        <v>5</v>
      </c>
      <c r="C50">
        <v>3</v>
      </c>
      <c r="D50">
        <v>3</v>
      </c>
      <c r="E50">
        <v>5</v>
      </c>
      <c r="F50">
        <v>5</v>
      </c>
      <c r="G50">
        <v>21</v>
      </c>
      <c r="H50">
        <v>5</v>
      </c>
      <c r="I50">
        <v>3</v>
      </c>
      <c r="J50">
        <v>5</v>
      </c>
      <c r="K50">
        <v>4</v>
      </c>
      <c r="L50">
        <v>3</v>
      </c>
      <c r="M50">
        <v>20</v>
      </c>
      <c r="P50">
        <v>11</v>
      </c>
      <c r="Q50" t="s">
        <v>129</v>
      </c>
      <c r="R50">
        <v>4</v>
      </c>
      <c r="S50">
        <v>3</v>
      </c>
      <c r="T50">
        <v>2</v>
      </c>
      <c r="U50">
        <v>4</v>
      </c>
      <c r="V50">
        <v>5</v>
      </c>
      <c r="W50">
        <v>4</v>
      </c>
      <c r="X50">
        <v>4</v>
      </c>
      <c r="Y50">
        <v>4</v>
      </c>
      <c r="Z50">
        <v>4</v>
      </c>
      <c r="AA50">
        <v>4</v>
      </c>
    </row>
    <row r="51" spans="1:27" x14ac:dyDescent="0.25">
      <c r="P51">
        <v>11</v>
      </c>
      <c r="Q51" t="s">
        <v>130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</row>
    <row r="52" spans="1:27" x14ac:dyDescent="0.25">
      <c r="A52">
        <v>4</v>
      </c>
      <c r="B52">
        <v>4</v>
      </c>
      <c r="C52">
        <v>3</v>
      </c>
      <c r="D52">
        <v>3</v>
      </c>
      <c r="E52">
        <v>4</v>
      </c>
      <c r="F52">
        <v>4</v>
      </c>
      <c r="G52">
        <v>18</v>
      </c>
      <c r="H52">
        <v>3</v>
      </c>
      <c r="I52">
        <v>4</v>
      </c>
      <c r="J52">
        <v>4</v>
      </c>
      <c r="K52">
        <v>3</v>
      </c>
      <c r="L52">
        <v>4</v>
      </c>
      <c r="M52">
        <v>18</v>
      </c>
      <c r="P52">
        <v>12</v>
      </c>
      <c r="Q52" t="s">
        <v>118</v>
      </c>
      <c r="R52">
        <v>4</v>
      </c>
      <c r="S52">
        <v>4</v>
      </c>
      <c r="T52">
        <v>4</v>
      </c>
      <c r="U52">
        <v>4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</row>
    <row r="53" spans="1:27" x14ac:dyDescent="0.25">
      <c r="A53">
        <v>1</v>
      </c>
      <c r="B53">
        <v>5</v>
      </c>
      <c r="C53">
        <v>4</v>
      </c>
      <c r="D53">
        <v>4</v>
      </c>
      <c r="E53">
        <v>5</v>
      </c>
      <c r="F53">
        <v>5</v>
      </c>
      <c r="G53">
        <v>23</v>
      </c>
      <c r="H53">
        <v>5</v>
      </c>
      <c r="I53">
        <v>4</v>
      </c>
      <c r="J53">
        <v>5</v>
      </c>
      <c r="K53">
        <v>5</v>
      </c>
      <c r="L53">
        <v>5</v>
      </c>
      <c r="M53">
        <v>24</v>
      </c>
      <c r="P53">
        <v>12</v>
      </c>
      <c r="Q53" t="s">
        <v>119</v>
      </c>
      <c r="R53">
        <v>4</v>
      </c>
      <c r="S53">
        <v>4</v>
      </c>
      <c r="T53">
        <v>3</v>
      </c>
      <c r="U53">
        <v>4</v>
      </c>
      <c r="V53">
        <v>4</v>
      </c>
      <c r="W53">
        <v>4</v>
      </c>
      <c r="X53">
        <v>4</v>
      </c>
      <c r="Y53">
        <v>5</v>
      </c>
      <c r="Z53">
        <v>5</v>
      </c>
      <c r="AA53">
        <v>5</v>
      </c>
    </row>
    <row r="54" spans="1:27" x14ac:dyDescent="0.25">
      <c r="A54">
        <v>2</v>
      </c>
      <c r="B54">
        <v>3</v>
      </c>
      <c r="C54">
        <v>2</v>
      </c>
      <c r="D54">
        <v>3</v>
      </c>
      <c r="E54">
        <v>3</v>
      </c>
      <c r="F54">
        <v>4</v>
      </c>
      <c r="G54">
        <v>15</v>
      </c>
      <c r="H54">
        <v>3</v>
      </c>
      <c r="I54">
        <v>3</v>
      </c>
      <c r="J54">
        <v>3</v>
      </c>
      <c r="K54">
        <v>3</v>
      </c>
      <c r="L54">
        <v>4</v>
      </c>
      <c r="M54">
        <v>16</v>
      </c>
      <c r="P54">
        <v>12</v>
      </c>
      <c r="Q54" t="s">
        <v>125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</row>
    <row r="55" spans="1:27" x14ac:dyDescent="0.25">
      <c r="A55">
        <v>3</v>
      </c>
      <c r="B55">
        <v>4</v>
      </c>
      <c r="C55">
        <v>3</v>
      </c>
      <c r="D55">
        <v>4</v>
      </c>
      <c r="E55">
        <v>3</v>
      </c>
      <c r="F55">
        <v>5</v>
      </c>
      <c r="G55">
        <v>19</v>
      </c>
      <c r="H55">
        <v>3</v>
      </c>
      <c r="I55">
        <v>4</v>
      </c>
      <c r="J55">
        <v>3</v>
      </c>
      <c r="K55">
        <v>3</v>
      </c>
      <c r="L55">
        <v>4</v>
      </c>
      <c r="M55">
        <v>17</v>
      </c>
      <c r="P55">
        <v>12</v>
      </c>
      <c r="Q55" t="s">
        <v>126</v>
      </c>
      <c r="R55">
        <v>5</v>
      </c>
      <c r="S55">
        <v>3</v>
      </c>
      <c r="T55">
        <v>3</v>
      </c>
      <c r="U55">
        <v>5</v>
      </c>
      <c r="V55">
        <v>5</v>
      </c>
      <c r="W55">
        <v>5</v>
      </c>
      <c r="X55">
        <v>3</v>
      </c>
      <c r="Y55">
        <v>5</v>
      </c>
      <c r="Z55">
        <v>4</v>
      </c>
      <c r="AA55">
        <v>3</v>
      </c>
    </row>
    <row r="56" spans="1:27" x14ac:dyDescent="0.25">
      <c r="P56">
        <v>12</v>
      </c>
      <c r="Q56" t="s">
        <v>129</v>
      </c>
      <c r="R56">
        <v>2</v>
      </c>
      <c r="S56">
        <v>2</v>
      </c>
      <c r="T56">
        <v>2</v>
      </c>
      <c r="U56">
        <v>4</v>
      </c>
      <c r="V56">
        <v>5</v>
      </c>
      <c r="W56">
        <v>4</v>
      </c>
      <c r="X56">
        <v>2</v>
      </c>
      <c r="Y56">
        <v>3</v>
      </c>
      <c r="Z56">
        <v>3</v>
      </c>
      <c r="AA56">
        <v>2</v>
      </c>
    </row>
    <row r="57" spans="1:27" x14ac:dyDescent="0.25">
      <c r="A57">
        <v>13</v>
      </c>
      <c r="B57">
        <v>4</v>
      </c>
      <c r="C57">
        <v>2</v>
      </c>
      <c r="D57">
        <v>3</v>
      </c>
      <c r="E57">
        <v>4</v>
      </c>
      <c r="F57">
        <v>3</v>
      </c>
      <c r="G57">
        <v>16</v>
      </c>
      <c r="H57">
        <v>4</v>
      </c>
      <c r="I57">
        <v>3</v>
      </c>
      <c r="J57">
        <v>5</v>
      </c>
      <c r="K57">
        <v>5</v>
      </c>
      <c r="L57">
        <v>5</v>
      </c>
      <c r="M57">
        <v>22</v>
      </c>
      <c r="P57">
        <v>12</v>
      </c>
      <c r="Q57" t="s">
        <v>130</v>
      </c>
      <c r="R57">
        <v>4</v>
      </c>
      <c r="S57">
        <v>4</v>
      </c>
      <c r="T57">
        <v>5</v>
      </c>
      <c r="U57">
        <v>5</v>
      </c>
      <c r="V57">
        <v>5</v>
      </c>
      <c r="W57">
        <v>5</v>
      </c>
      <c r="X57">
        <v>4</v>
      </c>
      <c r="Y57">
        <v>5</v>
      </c>
      <c r="Z57">
        <v>5</v>
      </c>
      <c r="AA57">
        <v>5</v>
      </c>
    </row>
    <row r="58" spans="1:27" x14ac:dyDescent="0.25">
      <c r="A58">
        <v>14</v>
      </c>
      <c r="B58">
        <v>3</v>
      </c>
      <c r="C58">
        <v>3</v>
      </c>
      <c r="D58">
        <v>3</v>
      </c>
      <c r="E58">
        <v>3</v>
      </c>
      <c r="F58">
        <v>4</v>
      </c>
      <c r="G58">
        <v>16</v>
      </c>
      <c r="H58">
        <v>3</v>
      </c>
      <c r="I58">
        <v>4</v>
      </c>
      <c r="J58">
        <v>3</v>
      </c>
      <c r="K58">
        <v>2</v>
      </c>
      <c r="L58">
        <v>3</v>
      </c>
      <c r="M58">
        <v>15</v>
      </c>
      <c r="P58">
        <v>13</v>
      </c>
      <c r="Q58" t="s">
        <v>118</v>
      </c>
      <c r="R58">
        <v>5</v>
      </c>
      <c r="S58">
        <v>4</v>
      </c>
      <c r="T58">
        <v>3</v>
      </c>
      <c r="U58">
        <v>4</v>
      </c>
      <c r="V58">
        <v>4</v>
      </c>
      <c r="W58">
        <v>5</v>
      </c>
      <c r="X58">
        <v>5</v>
      </c>
      <c r="Y58">
        <v>5</v>
      </c>
      <c r="Z58">
        <v>5</v>
      </c>
      <c r="AA58">
        <v>5</v>
      </c>
    </row>
    <row r="59" spans="1:27" x14ac:dyDescent="0.25">
      <c r="A59">
        <v>1</v>
      </c>
      <c r="B59">
        <v>5</v>
      </c>
      <c r="C59">
        <v>5</v>
      </c>
      <c r="D59">
        <v>5</v>
      </c>
      <c r="E59">
        <v>5</v>
      </c>
      <c r="F59">
        <v>5</v>
      </c>
      <c r="G59">
        <v>25</v>
      </c>
      <c r="H59">
        <v>5</v>
      </c>
      <c r="I59">
        <v>5</v>
      </c>
      <c r="J59">
        <v>5</v>
      </c>
      <c r="K59">
        <v>5</v>
      </c>
      <c r="L59">
        <v>5</v>
      </c>
      <c r="M59">
        <v>25</v>
      </c>
      <c r="P59">
        <v>13</v>
      </c>
      <c r="Q59" t="s">
        <v>124</v>
      </c>
      <c r="R59">
        <v>4</v>
      </c>
      <c r="S59">
        <v>3</v>
      </c>
      <c r="T59">
        <v>4</v>
      </c>
      <c r="U59">
        <v>4</v>
      </c>
      <c r="V59">
        <v>4</v>
      </c>
      <c r="W59">
        <v>5</v>
      </c>
      <c r="X59">
        <v>5</v>
      </c>
      <c r="Y59">
        <v>3</v>
      </c>
      <c r="Z59">
        <v>4</v>
      </c>
      <c r="AA59">
        <v>4</v>
      </c>
    </row>
    <row r="60" spans="1:27" x14ac:dyDescent="0.25">
      <c r="A60">
        <v>5</v>
      </c>
      <c r="B60">
        <v>5</v>
      </c>
      <c r="C60">
        <v>4</v>
      </c>
      <c r="D60">
        <v>4</v>
      </c>
      <c r="E60">
        <v>5</v>
      </c>
      <c r="F60">
        <v>5</v>
      </c>
      <c r="G60">
        <v>23</v>
      </c>
      <c r="H60">
        <v>5</v>
      </c>
      <c r="I60">
        <v>5</v>
      </c>
      <c r="J60">
        <v>5</v>
      </c>
      <c r="K60">
        <v>5</v>
      </c>
      <c r="L60">
        <v>5</v>
      </c>
      <c r="M60">
        <v>25</v>
      </c>
      <c r="P60">
        <v>13</v>
      </c>
      <c r="Q60" t="s">
        <v>128</v>
      </c>
      <c r="R60">
        <v>4</v>
      </c>
      <c r="S60">
        <v>2</v>
      </c>
      <c r="T60">
        <v>3</v>
      </c>
      <c r="U60">
        <v>4</v>
      </c>
      <c r="V60">
        <v>3</v>
      </c>
      <c r="W60">
        <v>4</v>
      </c>
      <c r="X60">
        <v>3</v>
      </c>
      <c r="Y60">
        <v>5</v>
      </c>
      <c r="Z60">
        <v>5</v>
      </c>
      <c r="AA60">
        <v>5</v>
      </c>
    </row>
    <row r="61" spans="1:27" x14ac:dyDescent="0.25">
      <c r="P61">
        <v>13</v>
      </c>
      <c r="Q61" t="s">
        <v>131</v>
      </c>
      <c r="R61">
        <v>4</v>
      </c>
      <c r="S61">
        <v>3</v>
      </c>
      <c r="T61">
        <v>2</v>
      </c>
      <c r="U61">
        <v>3</v>
      </c>
      <c r="V61">
        <v>2</v>
      </c>
      <c r="W61">
        <v>4</v>
      </c>
      <c r="X61">
        <v>3</v>
      </c>
      <c r="Y61">
        <v>4</v>
      </c>
      <c r="Z61">
        <v>4</v>
      </c>
      <c r="AA61">
        <v>4</v>
      </c>
    </row>
    <row r="62" spans="1:27" x14ac:dyDescent="0.25">
      <c r="A62">
        <v>10</v>
      </c>
      <c r="B62">
        <v>5</v>
      </c>
      <c r="C62">
        <v>3</v>
      </c>
      <c r="D62">
        <v>4</v>
      </c>
      <c r="E62">
        <v>4</v>
      </c>
      <c r="F62">
        <v>5</v>
      </c>
      <c r="G62">
        <v>21</v>
      </c>
      <c r="H62">
        <v>3</v>
      </c>
      <c r="I62">
        <v>5</v>
      </c>
      <c r="J62">
        <v>4</v>
      </c>
      <c r="K62">
        <v>4</v>
      </c>
      <c r="L62">
        <v>4</v>
      </c>
      <c r="M62">
        <v>20</v>
      </c>
      <c r="P62">
        <v>14</v>
      </c>
      <c r="Q62" t="s">
        <v>118</v>
      </c>
      <c r="R62">
        <v>3</v>
      </c>
      <c r="S62">
        <v>4</v>
      </c>
      <c r="T62">
        <v>3</v>
      </c>
      <c r="U62">
        <v>3</v>
      </c>
      <c r="V62">
        <v>3</v>
      </c>
      <c r="W62">
        <v>3</v>
      </c>
      <c r="X62">
        <v>3</v>
      </c>
      <c r="Y62">
        <v>4</v>
      </c>
      <c r="Z62">
        <v>2</v>
      </c>
      <c r="AA62">
        <v>4</v>
      </c>
    </row>
    <row r="63" spans="1:27" x14ac:dyDescent="0.25">
      <c r="A63">
        <v>11</v>
      </c>
      <c r="B63">
        <v>4</v>
      </c>
      <c r="C63">
        <v>3</v>
      </c>
      <c r="D63">
        <v>2</v>
      </c>
      <c r="E63">
        <v>4</v>
      </c>
      <c r="F63">
        <v>5</v>
      </c>
      <c r="G63">
        <v>18</v>
      </c>
      <c r="H63">
        <v>4</v>
      </c>
      <c r="I63">
        <v>4</v>
      </c>
      <c r="J63">
        <v>4</v>
      </c>
      <c r="K63">
        <v>4</v>
      </c>
      <c r="L63">
        <v>4</v>
      </c>
      <c r="M63">
        <v>20</v>
      </c>
      <c r="P63">
        <v>14</v>
      </c>
      <c r="Q63" t="s">
        <v>124</v>
      </c>
      <c r="R63">
        <v>4</v>
      </c>
      <c r="S63">
        <v>2</v>
      </c>
      <c r="T63">
        <v>2</v>
      </c>
      <c r="U63">
        <v>3</v>
      </c>
      <c r="V63">
        <v>3</v>
      </c>
      <c r="W63">
        <v>3</v>
      </c>
      <c r="X63">
        <v>2</v>
      </c>
      <c r="Y63">
        <v>3</v>
      </c>
      <c r="Z63">
        <v>2</v>
      </c>
      <c r="AA63">
        <v>3</v>
      </c>
    </row>
    <row r="64" spans="1:27" x14ac:dyDescent="0.25">
      <c r="A64">
        <v>9</v>
      </c>
      <c r="B64">
        <v>4</v>
      </c>
      <c r="C64">
        <v>5</v>
      </c>
      <c r="D64">
        <v>5</v>
      </c>
      <c r="E64">
        <v>5</v>
      </c>
      <c r="F64">
        <v>4</v>
      </c>
      <c r="G64">
        <v>23</v>
      </c>
      <c r="H64">
        <v>5</v>
      </c>
      <c r="I64">
        <v>5</v>
      </c>
      <c r="J64">
        <v>5</v>
      </c>
      <c r="K64">
        <v>5</v>
      </c>
      <c r="L64">
        <v>5</v>
      </c>
      <c r="M64">
        <v>25</v>
      </c>
      <c r="P64">
        <v>14</v>
      </c>
      <c r="Q64" t="s">
        <v>128</v>
      </c>
      <c r="R64">
        <v>3</v>
      </c>
      <c r="S64">
        <v>3</v>
      </c>
      <c r="T64">
        <v>3</v>
      </c>
      <c r="U64">
        <v>3</v>
      </c>
      <c r="V64">
        <v>4</v>
      </c>
      <c r="W64">
        <v>3</v>
      </c>
      <c r="X64">
        <v>4</v>
      </c>
      <c r="Y64">
        <v>3</v>
      </c>
      <c r="Z64">
        <v>2</v>
      </c>
      <c r="AA64">
        <v>3</v>
      </c>
    </row>
    <row r="65" spans="1:27" x14ac:dyDescent="0.25">
      <c r="A65">
        <v>12</v>
      </c>
      <c r="B65">
        <v>2</v>
      </c>
      <c r="C65">
        <v>2</v>
      </c>
      <c r="D65">
        <v>2</v>
      </c>
      <c r="E65">
        <v>4</v>
      </c>
      <c r="F65">
        <v>5</v>
      </c>
      <c r="G65">
        <v>15</v>
      </c>
      <c r="H65">
        <v>4</v>
      </c>
      <c r="I65">
        <v>2</v>
      </c>
      <c r="J65">
        <v>3</v>
      </c>
      <c r="K65">
        <v>3</v>
      </c>
      <c r="L65">
        <v>2</v>
      </c>
      <c r="M65">
        <v>14</v>
      </c>
      <c r="P65">
        <v>14</v>
      </c>
      <c r="Q65" t="s">
        <v>131</v>
      </c>
      <c r="R65">
        <v>2</v>
      </c>
      <c r="S65">
        <v>2</v>
      </c>
      <c r="T65">
        <v>1</v>
      </c>
      <c r="U65">
        <v>2</v>
      </c>
      <c r="V65">
        <v>1</v>
      </c>
      <c r="W65">
        <v>3</v>
      </c>
      <c r="X65">
        <v>2</v>
      </c>
      <c r="Y65">
        <v>3</v>
      </c>
      <c r="Z65">
        <v>2</v>
      </c>
      <c r="AA65">
        <v>4</v>
      </c>
    </row>
    <row r="67" spans="1:27" x14ac:dyDescent="0.25">
      <c r="A67">
        <v>12</v>
      </c>
      <c r="B67">
        <v>4</v>
      </c>
      <c r="C67">
        <v>4</v>
      </c>
      <c r="D67">
        <v>5</v>
      </c>
      <c r="E67">
        <v>5</v>
      </c>
      <c r="F67">
        <v>5</v>
      </c>
      <c r="G67">
        <v>23</v>
      </c>
      <c r="H67">
        <v>5</v>
      </c>
      <c r="I67">
        <v>4</v>
      </c>
      <c r="J67">
        <v>5</v>
      </c>
      <c r="K67">
        <v>5</v>
      </c>
      <c r="L67">
        <v>5</v>
      </c>
      <c r="M67">
        <v>24</v>
      </c>
    </row>
    <row r="68" spans="1:27" x14ac:dyDescent="0.25">
      <c r="A68">
        <v>11</v>
      </c>
      <c r="B68">
        <v>4</v>
      </c>
      <c r="C68">
        <v>4</v>
      </c>
      <c r="D68">
        <v>4</v>
      </c>
      <c r="E68">
        <v>4</v>
      </c>
      <c r="F68">
        <v>4</v>
      </c>
      <c r="G68">
        <v>20</v>
      </c>
      <c r="H68">
        <v>4</v>
      </c>
      <c r="I68">
        <v>4</v>
      </c>
      <c r="J68">
        <v>4</v>
      </c>
      <c r="K68">
        <v>4</v>
      </c>
      <c r="L68">
        <v>4</v>
      </c>
      <c r="M68">
        <v>20</v>
      </c>
    </row>
    <row r="69" spans="1:27" x14ac:dyDescent="0.25">
      <c r="A69">
        <v>10</v>
      </c>
      <c r="B69">
        <v>4</v>
      </c>
      <c r="C69">
        <v>4</v>
      </c>
      <c r="D69">
        <v>3</v>
      </c>
      <c r="E69">
        <v>4</v>
      </c>
      <c r="F69">
        <v>4</v>
      </c>
      <c r="G69">
        <v>19</v>
      </c>
      <c r="H69">
        <v>5</v>
      </c>
      <c r="I69">
        <v>4</v>
      </c>
      <c r="J69">
        <v>4</v>
      </c>
      <c r="K69">
        <v>5</v>
      </c>
      <c r="L69">
        <v>4</v>
      </c>
      <c r="M69">
        <v>22</v>
      </c>
    </row>
    <row r="70" spans="1:27" x14ac:dyDescent="0.25">
      <c r="A70">
        <v>9</v>
      </c>
      <c r="B70">
        <v>4</v>
      </c>
      <c r="C70">
        <v>4</v>
      </c>
      <c r="D70">
        <v>4</v>
      </c>
      <c r="E70">
        <v>4</v>
      </c>
      <c r="F70">
        <v>4</v>
      </c>
      <c r="G70">
        <v>20</v>
      </c>
      <c r="H70">
        <v>5</v>
      </c>
      <c r="I70">
        <v>4</v>
      </c>
      <c r="J70">
        <v>4</v>
      </c>
      <c r="K70">
        <v>5</v>
      </c>
      <c r="L70">
        <v>4</v>
      </c>
      <c r="M70">
        <v>22</v>
      </c>
    </row>
    <row r="72" spans="1:27" x14ac:dyDescent="0.25">
      <c r="A72">
        <v>14</v>
      </c>
      <c r="B72">
        <v>2</v>
      </c>
      <c r="C72">
        <v>2</v>
      </c>
      <c r="D72">
        <v>1</v>
      </c>
      <c r="E72">
        <v>2</v>
      </c>
      <c r="F72">
        <v>1</v>
      </c>
      <c r="G72">
        <v>8</v>
      </c>
      <c r="H72">
        <v>3</v>
      </c>
      <c r="I72">
        <v>2</v>
      </c>
      <c r="J72">
        <v>3</v>
      </c>
      <c r="K72">
        <v>2</v>
      </c>
      <c r="L72">
        <v>4</v>
      </c>
      <c r="M72">
        <v>14</v>
      </c>
    </row>
    <row r="73" spans="1:27" x14ac:dyDescent="0.25">
      <c r="A73">
        <v>13</v>
      </c>
      <c r="B73">
        <v>4</v>
      </c>
      <c r="C73">
        <v>3</v>
      </c>
      <c r="D73">
        <v>2</v>
      </c>
      <c r="E73">
        <v>3</v>
      </c>
      <c r="F73">
        <v>2</v>
      </c>
      <c r="G73">
        <v>14</v>
      </c>
      <c r="H73">
        <v>4</v>
      </c>
      <c r="I73">
        <v>3</v>
      </c>
      <c r="J73">
        <v>4</v>
      </c>
      <c r="K73">
        <v>4</v>
      </c>
      <c r="L73">
        <v>4</v>
      </c>
      <c r="M73">
        <v>19</v>
      </c>
    </row>
    <row r="74" spans="1:27" x14ac:dyDescent="0.25">
      <c r="A74">
        <v>3</v>
      </c>
      <c r="B74">
        <v>4</v>
      </c>
      <c r="C74">
        <v>4</v>
      </c>
      <c r="D74">
        <v>3</v>
      </c>
      <c r="E74">
        <v>4</v>
      </c>
      <c r="F74">
        <v>4</v>
      </c>
      <c r="G74">
        <v>19</v>
      </c>
      <c r="H74">
        <v>4</v>
      </c>
      <c r="I74">
        <v>3</v>
      </c>
      <c r="J74">
        <v>3</v>
      </c>
      <c r="K74">
        <v>4</v>
      </c>
      <c r="L74">
        <v>4</v>
      </c>
      <c r="M74">
        <v>18</v>
      </c>
    </row>
    <row r="75" spans="1:27" x14ac:dyDescent="0.25">
      <c r="A75">
        <v>7</v>
      </c>
      <c r="B75">
        <v>4</v>
      </c>
      <c r="C75">
        <v>2</v>
      </c>
      <c r="D75">
        <v>2</v>
      </c>
      <c r="E75">
        <v>4</v>
      </c>
      <c r="F75">
        <v>3</v>
      </c>
      <c r="G75">
        <v>15</v>
      </c>
      <c r="H75">
        <v>5</v>
      </c>
      <c r="I75">
        <v>4</v>
      </c>
      <c r="J75">
        <v>4</v>
      </c>
      <c r="K75">
        <v>5</v>
      </c>
      <c r="L75">
        <v>4</v>
      </c>
      <c r="M75">
        <v>22</v>
      </c>
    </row>
    <row r="77" spans="1:27" x14ac:dyDescent="0.25">
      <c r="A77">
        <v>4</v>
      </c>
      <c r="B77">
        <v>4</v>
      </c>
      <c r="C77">
        <v>4</v>
      </c>
      <c r="D77">
        <v>4</v>
      </c>
      <c r="E77">
        <v>4</v>
      </c>
      <c r="F77">
        <v>3</v>
      </c>
      <c r="G77">
        <v>19</v>
      </c>
      <c r="H77">
        <v>5</v>
      </c>
      <c r="I77">
        <v>5</v>
      </c>
      <c r="J77">
        <v>4</v>
      </c>
      <c r="K77">
        <v>3</v>
      </c>
      <c r="L77">
        <v>5</v>
      </c>
      <c r="M77">
        <v>22</v>
      </c>
    </row>
    <row r="78" spans="1:27" x14ac:dyDescent="0.25">
      <c r="A78">
        <v>3</v>
      </c>
      <c r="B78">
        <v>4</v>
      </c>
      <c r="C78">
        <v>4</v>
      </c>
      <c r="D78">
        <v>4</v>
      </c>
      <c r="E78">
        <v>3</v>
      </c>
      <c r="F78">
        <v>3</v>
      </c>
      <c r="G78">
        <v>18</v>
      </c>
      <c r="H78">
        <v>4</v>
      </c>
      <c r="I78">
        <v>4</v>
      </c>
      <c r="J78">
        <v>4</v>
      </c>
      <c r="K78">
        <v>5</v>
      </c>
      <c r="L78">
        <v>4</v>
      </c>
      <c r="M78">
        <v>21</v>
      </c>
    </row>
    <row r="79" spans="1:27" x14ac:dyDescent="0.25">
      <c r="A79">
        <v>2</v>
      </c>
      <c r="B79">
        <v>4</v>
      </c>
      <c r="C79">
        <v>3</v>
      </c>
      <c r="D79">
        <v>3</v>
      </c>
      <c r="E79">
        <v>3</v>
      </c>
      <c r="F79">
        <v>3</v>
      </c>
      <c r="G79">
        <v>16</v>
      </c>
      <c r="H79">
        <v>4</v>
      </c>
      <c r="I79">
        <v>3</v>
      </c>
      <c r="J79">
        <v>3</v>
      </c>
      <c r="K79">
        <v>2</v>
      </c>
      <c r="L79">
        <v>3</v>
      </c>
      <c r="M79">
        <v>15</v>
      </c>
    </row>
    <row r="80" spans="1:27" x14ac:dyDescent="0.25">
      <c r="A80">
        <v>1</v>
      </c>
      <c r="B80">
        <v>4</v>
      </c>
      <c r="C80">
        <v>3</v>
      </c>
      <c r="D80">
        <v>3</v>
      </c>
      <c r="E80">
        <v>3</v>
      </c>
      <c r="F80">
        <v>3</v>
      </c>
      <c r="G80">
        <v>16</v>
      </c>
      <c r="H80">
        <v>4</v>
      </c>
      <c r="I80">
        <v>3</v>
      </c>
      <c r="J80">
        <v>3</v>
      </c>
      <c r="K80">
        <v>5</v>
      </c>
      <c r="L80">
        <v>3</v>
      </c>
      <c r="M80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CBE6-D49F-445E-A0B7-CCE7260947F3}">
  <dimension ref="A1:U133"/>
  <sheetViews>
    <sheetView zoomScale="91" zoomScaleNormal="91" workbookViewId="0">
      <selection activeCell="O31" sqref="O31"/>
    </sheetView>
  </sheetViews>
  <sheetFormatPr defaultRowHeight="15" x14ac:dyDescent="0.25"/>
  <cols>
    <col min="2" max="2" width="77.7109375" customWidth="1"/>
    <col min="3" max="3" width="11.5703125" customWidth="1"/>
    <col min="8" max="8" width="9.5703125" bestFit="1" customWidth="1"/>
    <col min="14" max="14" width="10.42578125" customWidth="1"/>
  </cols>
  <sheetData>
    <row r="1" spans="1:17" x14ac:dyDescent="0.25">
      <c r="B1" s="1" t="s">
        <v>32</v>
      </c>
      <c r="J1" t="s">
        <v>29</v>
      </c>
    </row>
    <row r="2" spans="1:17" x14ac:dyDescent="0.25">
      <c r="B2" s="1" t="s">
        <v>50</v>
      </c>
      <c r="J2" t="s">
        <v>30</v>
      </c>
      <c r="Q2" t="s">
        <v>31</v>
      </c>
    </row>
    <row r="3" spans="1:17" x14ac:dyDescent="0.25">
      <c r="B3" s="1"/>
      <c r="J3" t="s">
        <v>14</v>
      </c>
      <c r="Q3" t="s">
        <v>23</v>
      </c>
    </row>
    <row r="4" spans="1:17" x14ac:dyDescent="0.25">
      <c r="B4" s="1"/>
      <c r="J4" t="s">
        <v>15</v>
      </c>
      <c r="Q4" t="s">
        <v>24</v>
      </c>
    </row>
    <row r="5" spans="1:17" x14ac:dyDescent="0.25">
      <c r="B5" t="s">
        <v>12</v>
      </c>
      <c r="J5" t="s">
        <v>16</v>
      </c>
      <c r="Q5" t="s">
        <v>25</v>
      </c>
    </row>
    <row r="6" spans="1:17" x14ac:dyDescent="0.25">
      <c r="B6" t="s">
        <v>13</v>
      </c>
      <c r="J6" t="s">
        <v>17</v>
      </c>
      <c r="Q6" t="s">
        <v>26</v>
      </c>
    </row>
    <row r="7" spans="1:17" x14ac:dyDescent="0.25">
      <c r="J7" t="s">
        <v>18</v>
      </c>
      <c r="Q7" t="s">
        <v>27</v>
      </c>
    </row>
    <row r="8" spans="1:17" x14ac:dyDescent="0.25">
      <c r="J8" t="s">
        <v>19</v>
      </c>
      <c r="Q8" t="s">
        <v>28</v>
      </c>
    </row>
    <row r="9" spans="1:17" x14ac:dyDescent="0.25">
      <c r="J9" t="s">
        <v>20</v>
      </c>
    </row>
    <row r="10" spans="1:17" x14ac:dyDescent="0.25">
      <c r="B10" s="3" t="s">
        <v>8</v>
      </c>
      <c r="C10" s="3"/>
      <c r="D10" s="3"/>
      <c r="J10" t="s">
        <v>21</v>
      </c>
    </row>
    <row r="11" spans="1:17" x14ac:dyDescent="0.25">
      <c r="B11" s="3">
        <v>1</v>
      </c>
      <c r="C11" s="3" t="s">
        <v>0</v>
      </c>
      <c r="D11" s="3"/>
      <c r="E11" t="s">
        <v>45</v>
      </c>
      <c r="J11" t="s">
        <v>22</v>
      </c>
    </row>
    <row r="12" spans="1:17" x14ac:dyDescent="0.25">
      <c r="B12" s="3">
        <v>2</v>
      </c>
      <c r="C12" s="3" t="s">
        <v>1</v>
      </c>
      <c r="D12" s="3"/>
      <c r="E12" t="s">
        <v>47</v>
      </c>
    </row>
    <row r="13" spans="1:17" x14ac:dyDescent="0.25">
      <c r="B13" s="3">
        <v>3</v>
      </c>
      <c r="C13" s="3" t="s">
        <v>2</v>
      </c>
      <c r="D13" s="3"/>
      <c r="E13" t="s">
        <v>46</v>
      </c>
    </row>
    <row r="14" spans="1:17" x14ac:dyDescent="0.25">
      <c r="B14" s="3"/>
      <c r="C14" s="3"/>
      <c r="D14" s="3"/>
      <c r="Q14" s="43"/>
    </row>
    <row r="15" spans="1:17" x14ac:dyDescent="0.25">
      <c r="C15" t="s">
        <v>30</v>
      </c>
      <c r="I15" t="s">
        <v>31</v>
      </c>
      <c r="Q15" s="43"/>
    </row>
    <row r="16" spans="1:17" x14ac:dyDescent="0.25">
      <c r="A16" s="33"/>
      <c r="B16" s="18" t="s">
        <v>7</v>
      </c>
      <c r="C16" s="18">
        <v>1</v>
      </c>
      <c r="D16" s="18">
        <v>2</v>
      </c>
      <c r="E16" s="18">
        <v>3</v>
      </c>
      <c r="F16" s="18">
        <v>4</v>
      </c>
      <c r="G16" s="18">
        <v>5</v>
      </c>
      <c r="H16" s="30">
        <v>6</v>
      </c>
      <c r="I16" s="18">
        <v>7</v>
      </c>
      <c r="J16" s="18">
        <v>8</v>
      </c>
      <c r="K16" s="18">
        <v>9</v>
      </c>
      <c r="L16" s="18">
        <v>10</v>
      </c>
      <c r="M16" s="18">
        <v>11</v>
      </c>
      <c r="N16" s="18">
        <v>12</v>
      </c>
      <c r="Q16" s="43"/>
    </row>
    <row r="17" spans="1:21" x14ac:dyDescent="0.25">
      <c r="A17" s="33"/>
      <c r="B17" s="18" t="s">
        <v>9</v>
      </c>
      <c r="C17" s="18">
        <v>2</v>
      </c>
      <c r="D17" s="18">
        <v>2</v>
      </c>
      <c r="E17" s="18">
        <v>2</v>
      </c>
      <c r="F17" s="18">
        <v>2</v>
      </c>
      <c r="G17" s="19">
        <v>2</v>
      </c>
      <c r="H17" s="31">
        <v>2</v>
      </c>
      <c r="I17" s="19">
        <v>3</v>
      </c>
      <c r="J17" s="19">
        <v>3</v>
      </c>
      <c r="K17" s="19">
        <v>3</v>
      </c>
      <c r="L17" s="19">
        <v>3</v>
      </c>
      <c r="M17" s="19">
        <v>3</v>
      </c>
      <c r="N17" s="19">
        <v>3</v>
      </c>
      <c r="Q17" s="43"/>
    </row>
    <row r="18" spans="1:21" x14ac:dyDescent="0.25">
      <c r="B18" t="s">
        <v>48</v>
      </c>
      <c r="C18" s="2"/>
      <c r="H18" s="32"/>
      <c r="Q18" s="43"/>
    </row>
    <row r="19" spans="1:21" x14ac:dyDescent="0.25">
      <c r="A19" t="s">
        <v>51</v>
      </c>
      <c r="B19" t="s">
        <v>63</v>
      </c>
      <c r="C19" s="43">
        <v>3</v>
      </c>
      <c r="D19" s="43">
        <v>3</v>
      </c>
      <c r="E19" s="43">
        <v>3</v>
      </c>
      <c r="F19" s="43">
        <v>3</v>
      </c>
      <c r="G19" s="43">
        <v>2</v>
      </c>
      <c r="H19" s="43">
        <v>2</v>
      </c>
      <c r="I19" s="43">
        <v>3</v>
      </c>
      <c r="J19" s="43">
        <v>3</v>
      </c>
      <c r="K19" s="43">
        <v>2</v>
      </c>
      <c r="L19" s="43">
        <v>3</v>
      </c>
      <c r="M19" s="43">
        <v>3</v>
      </c>
      <c r="N19" s="43">
        <v>3</v>
      </c>
      <c r="Q19" s="43"/>
    </row>
    <row r="20" spans="1:21" x14ac:dyDescent="0.25">
      <c r="A20" t="s">
        <v>52</v>
      </c>
      <c r="B20" t="s">
        <v>64</v>
      </c>
      <c r="C20" s="43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2</v>
      </c>
      <c r="L20" s="43">
        <v>3</v>
      </c>
      <c r="M20" s="43">
        <v>3</v>
      </c>
      <c r="N20" s="43">
        <v>2</v>
      </c>
      <c r="Q20" s="43"/>
    </row>
    <row r="21" spans="1:21" x14ac:dyDescent="0.25">
      <c r="A21" t="s">
        <v>53</v>
      </c>
      <c r="B21" t="s">
        <v>65</v>
      </c>
      <c r="C21" s="43">
        <v>3</v>
      </c>
      <c r="D21" s="43">
        <v>3</v>
      </c>
      <c r="E21" s="43">
        <v>3</v>
      </c>
      <c r="F21" s="43">
        <v>3</v>
      </c>
      <c r="G21" s="43">
        <v>3</v>
      </c>
      <c r="H21" s="43">
        <v>3</v>
      </c>
      <c r="I21" s="43">
        <v>2</v>
      </c>
      <c r="J21" s="43">
        <v>3</v>
      </c>
      <c r="K21" s="43">
        <v>3</v>
      </c>
      <c r="L21" s="43">
        <v>3</v>
      </c>
      <c r="M21" s="43">
        <v>3</v>
      </c>
      <c r="N21" s="43">
        <v>2</v>
      </c>
      <c r="Q21" s="43"/>
    </row>
    <row r="22" spans="1:21" x14ac:dyDescent="0.25">
      <c r="A22" t="s">
        <v>54</v>
      </c>
      <c r="B22" t="s">
        <v>66</v>
      </c>
      <c r="C22" s="43">
        <v>3</v>
      </c>
      <c r="D22" s="43">
        <v>3</v>
      </c>
      <c r="E22" s="43">
        <v>3</v>
      </c>
      <c r="F22" s="43">
        <v>3</v>
      </c>
      <c r="G22" s="43">
        <v>3</v>
      </c>
      <c r="H22" s="43">
        <v>3</v>
      </c>
      <c r="I22" s="43">
        <v>3</v>
      </c>
      <c r="J22" s="43">
        <v>3</v>
      </c>
      <c r="K22" s="43">
        <v>3</v>
      </c>
      <c r="L22" s="43">
        <v>3</v>
      </c>
      <c r="M22" s="43">
        <v>3</v>
      </c>
      <c r="N22" s="43">
        <v>3</v>
      </c>
      <c r="Q22" s="43"/>
    </row>
    <row r="23" spans="1:21" x14ac:dyDescent="0.25">
      <c r="A23" t="s">
        <v>55</v>
      </c>
      <c r="B23" t="s">
        <v>67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Q23" s="43"/>
    </row>
    <row r="24" spans="1:21" x14ac:dyDescent="0.25">
      <c r="A24" t="s">
        <v>56</v>
      </c>
      <c r="B24" t="s">
        <v>68</v>
      </c>
      <c r="C24" s="43">
        <v>3</v>
      </c>
      <c r="D24" s="43">
        <v>3</v>
      </c>
      <c r="E24" s="43">
        <v>3</v>
      </c>
      <c r="F24" s="43">
        <v>3</v>
      </c>
      <c r="G24" s="43">
        <v>3</v>
      </c>
      <c r="H24" s="43">
        <v>3</v>
      </c>
      <c r="I24" s="43">
        <v>3</v>
      </c>
      <c r="J24" s="43">
        <v>3</v>
      </c>
      <c r="K24" s="43">
        <v>3</v>
      </c>
      <c r="L24" s="43">
        <v>3</v>
      </c>
      <c r="M24" s="43">
        <v>3</v>
      </c>
      <c r="N24" s="43">
        <v>3</v>
      </c>
    </row>
    <row r="25" spans="1:21" x14ac:dyDescent="0.25">
      <c r="A25" t="s">
        <v>57</v>
      </c>
      <c r="B25" t="s">
        <v>69</v>
      </c>
      <c r="C25" s="43">
        <v>3</v>
      </c>
      <c r="D25" s="43">
        <v>3</v>
      </c>
      <c r="E25" s="43">
        <v>3</v>
      </c>
      <c r="F25" s="43">
        <v>3</v>
      </c>
      <c r="G25" s="43">
        <v>3</v>
      </c>
      <c r="H25" s="43">
        <v>3</v>
      </c>
      <c r="I25" s="43">
        <v>3</v>
      </c>
      <c r="J25" s="43">
        <v>3</v>
      </c>
      <c r="K25" s="43">
        <v>3</v>
      </c>
      <c r="L25" s="43">
        <v>3</v>
      </c>
      <c r="M25" s="43">
        <v>3</v>
      </c>
      <c r="N25" s="43">
        <v>3</v>
      </c>
    </row>
    <row r="26" spans="1:21" x14ac:dyDescent="0.25">
      <c r="A26" t="s">
        <v>58</v>
      </c>
      <c r="B26" t="s">
        <v>70</v>
      </c>
      <c r="C26" s="43">
        <v>3</v>
      </c>
      <c r="D26" s="43">
        <v>3</v>
      </c>
      <c r="E26" s="43">
        <v>3</v>
      </c>
      <c r="F26" s="43">
        <v>3</v>
      </c>
      <c r="G26" s="43">
        <v>3</v>
      </c>
      <c r="H26" s="43">
        <v>2</v>
      </c>
      <c r="I26" s="43">
        <v>3</v>
      </c>
      <c r="J26" s="43">
        <v>3</v>
      </c>
      <c r="K26" s="43">
        <v>2</v>
      </c>
      <c r="L26" s="43">
        <v>3</v>
      </c>
      <c r="M26" s="43">
        <v>3</v>
      </c>
      <c r="N26" s="43">
        <v>2</v>
      </c>
    </row>
    <row r="27" spans="1:21" x14ac:dyDescent="0.25">
      <c r="A27" t="s">
        <v>59</v>
      </c>
      <c r="B27" t="s">
        <v>71</v>
      </c>
      <c r="C27" s="43">
        <v>2</v>
      </c>
      <c r="D27" s="43">
        <v>2</v>
      </c>
      <c r="E27" s="43">
        <v>2</v>
      </c>
      <c r="F27" s="43">
        <v>2</v>
      </c>
      <c r="G27" s="43">
        <v>2</v>
      </c>
      <c r="H27" s="43">
        <v>2</v>
      </c>
      <c r="I27" s="43">
        <v>2</v>
      </c>
      <c r="J27" s="43">
        <v>2</v>
      </c>
      <c r="K27" s="43">
        <v>2</v>
      </c>
      <c r="L27" s="43">
        <v>2</v>
      </c>
      <c r="M27" s="43">
        <v>3</v>
      </c>
      <c r="N27" s="43">
        <v>3</v>
      </c>
    </row>
    <row r="28" spans="1:21" x14ac:dyDescent="0.25">
      <c r="A28" t="s">
        <v>60</v>
      </c>
      <c r="B28" t="s">
        <v>72</v>
      </c>
      <c r="C28" s="43">
        <v>3</v>
      </c>
      <c r="D28" s="43">
        <v>3</v>
      </c>
      <c r="E28" s="43">
        <v>3</v>
      </c>
      <c r="F28" s="43">
        <v>3</v>
      </c>
      <c r="G28" s="43">
        <v>3</v>
      </c>
      <c r="H28" s="43">
        <v>3</v>
      </c>
      <c r="I28" s="43">
        <v>3</v>
      </c>
      <c r="J28" s="43">
        <v>3</v>
      </c>
      <c r="K28" s="43">
        <v>3</v>
      </c>
      <c r="L28" s="43">
        <v>3</v>
      </c>
      <c r="M28" s="43">
        <v>3</v>
      </c>
      <c r="N28" s="43">
        <v>3</v>
      </c>
    </row>
    <row r="29" spans="1:21" x14ac:dyDescent="0.25">
      <c r="A29" t="s">
        <v>61</v>
      </c>
      <c r="B29" t="s">
        <v>73</v>
      </c>
      <c r="C29" s="43">
        <v>3</v>
      </c>
      <c r="D29" s="43">
        <v>3</v>
      </c>
      <c r="E29" s="43">
        <v>3</v>
      </c>
      <c r="F29" s="43">
        <v>3</v>
      </c>
      <c r="G29" s="43">
        <v>3</v>
      </c>
      <c r="H29" s="43">
        <v>3</v>
      </c>
      <c r="I29" s="43">
        <v>3</v>
      </c>
      <c r="J29" s="43">
        <v>3</v>
      </c>
      <c r="K29" s="43">
        <v>3</v>
      </c>
      <c r="L29" s="43">
        <v>3</v>
      </c>
      <c r="M29" s="43">
        <v>3</v>
      </c>
      <c r="N29" s="43">
        <v>3</v>
      </c>
    </row>
    <row r="30" spans="1:21" x14ac:dyDescent="0.25">
      <c r="B30" s="17"/>
      <c r="O30" s="29" t="s">
        <v>41</v>
      </c>
      <c r="P30" s="29" t="s">
        <v>42</v>
      </c>
      <c r="Q30" s="29"/>
      <c r="R30" s="29" t="s">
        <v>43</v>
      </c>
      <c r="S30" s="29" t="s">
        <v>44</v>
      </c>
      <c r="T30" s="29"/>
    </row>
    <row r="31" spans="1:21" x14ac:dyDescent="0.25">
      <c r="B31" s="2" t="s">
        <v>74</v>
      </c>
      <c r="C31" s="27">
        <f>COUNTIF(C$19:C$29,3)</f>
        <v>9</v>
      </c>
      <c r="D31" s="27">
        <f t="shared" ref="D31:N31" si="0">COUNTIF(D$19:D$29,3)</f>
        <v>9</v>
      </c>
      <c r="E31" s="27">
        <f t="shared" si="0"/>
        <v>9</v>
      </c>
      <c r="F31" s="27">
        <f t="shared" si="0"/>
        <v>9</v>
      </c>
      <c r="G31" s="27">
        <f t="shared" si="0"/>
        <v>8</v>
      </c>
      <c r="H31" s="27">
        <f t="shared" si="0"/>
        <v>7</v>
      </c>
      <c r="I31" s="27">
        <f t="shared" si="0"/>
        <v>8</v>
      </c>
      <c r="J31" s="27">
        <f t="shared" si="0"/>
        <v>9</v>
      </c>
      <c r="K31" s="27">
        <f t="shared" si="0"/>
        <v>6</v>
      </c>
      <c r="L31" s="27">
        <f t="shared" si="0"/>
        <v>9</v>
      </c>
      <c r="M31" s="27">
        <f t="shared" si="0"/>
        <v>10</v>
      </c>
      <c r="N31" s="27">
        <f t="shared" si="0"/>
        <v>7</v>
      </c>
      <c r="O31" s="23">
        <f>AVERAGE(C31:H31)</f>
        <v>8.5</v>
      </c>
      <c r="P31" s="23">
        <f>AVERAGE(I31:N31)</f>
        <v>8.1666666666666661</v>
      </c>
      <c r="Q31" s="28"/>
      <c r="R31" s="28">
        <f>O31/$O$35*100</f>
        <v>85</v>
      </c>
      <c r="S31" s="28">
        <f>P31/$O$35*100</f>
        <v>81.666666666666671</v>
      </c>
      <c r="T31" s="28"/>
      <c r="U31" t="s">
        <v>34</v>
      </c>
    </row>
    <row r="32" spans="1:21" x14ac:dyDescent="0.25">
      <c r="B32" s="2" t="s">
        <v>75</v>
      </c>
      <c r="C32" s="27">
        <f>COUNTIF(C$19:C$29,2)</f>
        <v>1</v>
      </c>
      <c r="D32" s="27">
        <f t="shared" ref="D32:N32" si="1">COUNTIF(D$19:D$29,2)</f>
        <v>1</v>
      </c>
      <c r="E32" s="27">
        <f t="shared" si="1"/>
        <v>1</v>
      </c>
      <c r="F32" s="27">
        <f t="shared" si="1"/>
        <v>1</v>
      </c>
      <c r="G32" s="27">
        <f t="shared" si="1"/>
        <v>2</v>
      </c>
      <c r="H32" s="27">
        <f t="shared" si="1"/>
        <v>3</v>
      </c>
      <c r="I32" s="27">
        <f t="shared" si="1"/>
        <v>2</v>
      </c>
      <c r="J32" s="27">
        <f t="shared" si="1"/>
        <v>1</v>
      </c>
      <c r="K32" s="27">
        <f t="shared" si="1"/>
        <v>4</v>
      </c>
      <c r="L32" s="27">
        <f t="shared" si="1"/>
        <v>1</v>
      </c>
      <c r="M32" s="27">
        <f t="shared" si="1"/>
        <v>0</v>
      </c>
      <c r="N32" s="27">
        <f t="shared" si="1"/>
        <v>3</v>
      </c>
      <c r="O32" s="23">
        <f t="shared" ref="O32:O33" si="2">AVERAGE(C32:H32)</f>
        <v>1.5</v>
      </c>
      <c r="P32" s="23">
        <f t="shared" ref="P32:P33" si="3">AVERAGE(I32:N32)</f>
        <v>1.8333333333333333</v>
      </c>
      <c r="Q32" s="28"/>
      <c r="R32" s="28">
        <f t="shared" ref="R32:S33" si="4">O32/$O$35*100</f>
        <v>15</v>
      </c>
      <c r="S32" s="28">
        <f>P32/$O$35*100</f>
        <v>18.333333333333332</v>
      </c>
      <c r="T32" s="28"/>
      <c r="U32" t="s">
        <v>36</v>
      </c>
    </row>
    <row r="33" spans="2:21" x14ac:dyDescent="0.25">
      <c r="B33" s="2" t="s">
        <v>76</v>
      </c>
      <c r="C33" s="27">
        <f>COUNTIF(C$19:C$29,1)</f>
        <v>0</v>
      </c>
      <c r="D33" s="27">
        <f t="shared" ref="D33:N33" si="5">COUNTIF(D$19:D$29,1)</f>
        <v>0</v>
      </c>
      <c r="E33" s="27">
        <f t="shared" si="5"/>
        <v>0</v>
      </c>
      <c r="F33" s="27">
        <f t="shared" si="5"/>
        <v>0</v>
      </c>
      <c r="G33" s="27">
        <f t="shared" si="5"/>
        <v>0</v>
      </c>
      <c r="H33" s="27">
        <f t="shared" si="5"/>
        <v>0</v>
      </c>
      <c r="I33" s="27">
        <f t="shared" si="5"/>
        <v>0</v>
      </c>
      <c r="J33" s="27">
        <f t="shared" si="5"/>
        <v>0</v>
      </c>
      <c r="K33" s="27">
        <f t="shared" si="5"/>
        <v>0</v>
      </c>
      <c r="L33" s="27">
        <f t="shared" si="5"/>
        <v>0</v>
      </c>
      <c r="M33" s="27">
        <f t="shared" si="5"/>
        <v>0</v>
      </c>
      <c r="N33" s="27">
        <f t="shared" si="5"/>
        <v>0</v>
      </c>
      <c r="O33" s="28">
        <f t="shared" si="2"/>
        <v>0</v>
      </c>
      <c r="P33" s="28">
        <f t="shared" si="3"/>
        <v>0</v>
      </c>
      <c r="Q33" s="28"/>
      <c r="R33" s="28">
        <f t="shared" si="4"/>
        <v>0</v>
      </c>
      <c r="S33" s="28">
        <f t="shared" si="4"/>
        <v>0</v>
      </c>
      <c r="T33" s="28"/>
      <c r="U33" t="s">
        <v>38</v>
      </c>
    </row>
    <row r="34" spans="2:21" x14ac:dyDescent="0.25">
      <c r="B34" s="2" t="s">
        <v>39</v>
      </c>
      <c r="C34" s="43">
        <f>SUM(C31:C33)</f>
        <v>10</v>
      </c>
      <c r="D34" s="43">
        <f t="shared" ref="D34:N34" si="6">SUM(D31:D33)</f>
        <v>10</v>
      </c>
      <c r="E34" s="43">
        <f t="shared" si="6"/>
        <v>10</v>
      </c>
      <c r="F34" s="43">
        <f t="shared" si="6"/>
        <v>10</v>
      </c>
      <c r="G34" s="43">
        <f t="shared" si="6"/>
        <v>10</v>
      </c>
      <c r="H34" s="43">
        <f t="shared" si="6"/>
        <v>10</v>
      </c>
      <c r="I34" s="43">
        <f t="shared" si="6"/>
        <v>10</v>
      </c>
      <c r="J34" s="43">
        <f t="shared" si="6"/>
        <v>10</v>
      </c>
      <c r="K34" s="43">
        <f t="shared" si="6"/>
        <v>10</v>
      </c>
      <c r="L34" s="43">
        <f t="shared" si="6"/>
        <v>10</v>
      </c>
      <c r="M34" s="43">
        <f t="shared" si="6"/>
        <v>10</v>
      </c>
      <c r="N34" s="43">
        <f t="shared" si="6"/>
        <v>10</v>
      </c>
      <c r="R34" s="28">
        <f>R31+R32</f>
        <v>100</v>
      </c>
      <c r="S34" s="28">
        <f>S31+S32</f>
        <v>100</v>
      </c>
      <c r="T34" s="28"/>
      <c r="U34" t="s">
        <v>40</v>
      </c>
    </row>
    <row r="35" spans="2:21" x14ac:dyDescent="0.25">
      <c r="B35" s="17"/>
      <c r="O35">
        <f t="shared" ref="O35:P35" si="7">SUM(O31:O33)</f>
        <v>10</v>
      </c>
      <c r="P35">
        <f t="shared" si="7"/>
        <v>10</v>
      </c>
      <c r="Q35" s="28"/>
    </row>
    <row r="37" spans="2:21" x14ac:dyDescent="0.25">
      <c r="B37" s="13" t="s">
        <v>62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2:21" x14ac:dyDescent="0.25">
      <c r="B38" s="14" t="s">
        <v>11</v>
      </c>
      <c r="C38" s="20">
        <v>1</v>
      </c>
      <c r="D38" s="20">
        <v>2</v>
      </c>
      <c r="E38" s="20">
        <v>3</v>
      </c>
      <c r="F38" s="20">
        <v>4</v>
      </c>
      <c r="G38" s="20">
        <v>5</v>
      </c>
      <c r="H38" s="20">
        <v>6</v>
      </c>
      <c r="I38" s="20">
        <v>7</v>
      </c>
      <c r="J38" s="20">
        <v>8</v>
      </c>
      <c r="K38" s="20">
        <v>9</v>
      </c>
      <c r="L38" s="20">
        <v>10</v>
      </c>
      <c r="M38" s="20">
        <v>11</v>
      </c>
      <c r="N38" s="20">
        <v>12</v>
      </c>
    </row>
    <row r="39" spans="2:21" x14ac:dyDescent="0.25">
      <c r="B39" s="15" t="s">
        <v>9</v>
      </c>
      <c r="C39" s="20">
        <v>2</v>
      </c>
      <c r="D39" s="20">
        <v>2</v>
      </c>
      <c r="E39" s="20">
        <v>2</v>
      </c>
      <c r="F39" s="20">
        <v>2</v>
      </c>
      <c r="G39" s="20">
        <v>2</v>
      </c>
      <c r="H39" s="20">
        <v>2</v>
      </c>
      <c r="I39" s="20">
        <v>3</v>
      </c>
      <c r="J39" s="20">
        <v>3</v>
      </c>
      <c r="K39" s="20">
        <v>3</v>
      </c>
      <c r="L39" s="20">
        <v>3</v>
      </c>
      <c r="M39" s="20">
        <v>3</v>
      </c>
      <c r="N39" s="20">
        <v>3</v>
      </c>
    </row>
    <row r="40" spans="2:21" x14ac:dyDescent="0.25">
      <c r="B40" s="16" t="s">
        <v>3</v>
      </c>
      <c r="C40" s="21">
        <f>AVERAGE(C19:C29)</f>
        <v>2.9</v>
      </c>
      <c r="D40" s="21">
        <f>AVERAGE(D19:D29)</f>
        <v>2.9</v>
      </c>
      <c r="E40" s="21">
        <f>AVERAGE(E19:E29)</f>
        <v>2.9</v>
      </c>
      <c r="F40" s="21">
        <f>AVERAGE(F19:F29)</f>
        <v>2.9</v>
      </c>
      <c r="G40" s="21">
        <f>AVERAGE(G19:G29)</f>
        <v>2.8</v>
      </c>
      <c r="H40" s="21">
        <f>AVERAGE(H19:H29)</f>
        <v>2.7</v>
      </c>
      <c r="I40" s="21">
        <f>AVERAGE(I19:I29)</f>
        <v>2.8</v>
      </c>
      <c r="J40" s="21">
        <f>AVERAGE(J19:J29)</f>
        <v>2.9</v>
      </c>
      <c r="K40" s="21">
        <f>AVERAGE(K19:K29)</f>
        <v>2.6</v>
      </c>
      <c r="L40" s="21">
        <f>AVERAGE(L19:L29)</f>
        <v>2.9</v>
      </c>
      <c r="M40" s="21">
        <f>AVERAGE(M19:M29)</f>
        <v>3</v>
      </c>
      <c r="N40" s="21">
        <f>AVERAGE(N19:N29)</f>
        <v>2.7</v>
      </c>
    </row>
    <row r="41" spans="2:21" x14ac:dyDescent="0.25">
      <c r="B41" s="15" t="s">
        <v>4</v>
      </c>
      <c r="C41" s="22">
        <f>STDEV(C19:C29)</f>
        <v>0.31622776601683894</v>
      </c>
      <c r="D41" s="22">
        <f>STDEV(D19:D29)</f>
        <v>0.31622776601683894</v>
      </c>
      <c r="E41" s="22">
        <f>STDEV(E19:E29)</f>
        <v>0.31622776601683894</v>
      </c>
      <c r="F41" s="22">
        <f>STDEV(F19:F29)</f>
        <v>0.31622776601683894</v>
      </c>
      <c r="G41" s="22">
        <f>STDEV(G19:G29)</f>
        <v>0.42163702135578318</v>
      </c>
      <c r="H41" s="22">
        <f>STDEV(H19:H29)</f>
        <v>0.48304589153964728</v>
      </c>
      <c r="I41" s="22">
        <f>STDEV(I19:I29)</f>
        <v>0.42163702135578318</v>
      </c>
      <c r="J41" s="22">
        <f>STDEV(J19:J29)</f>
        <v>0.31622776601683894</v>
      </c>
      <c r="K41" s="22">
        <f>STDEV(K19:K29)</f>
        <v>0.51639777949432286</v>
      </c>
      <c r="L41" s="22">
        <f>STDEV(L19:L29)</f>
        <v>0.31622776601683894</v>
      </c>
      <c r="M41" s="22">
        <f>STDEV(M19:M29)</f>
        <v>0</v>
      </c>
      <c r="N41" s="22">
        <f>STDEV(N19:N29)</f>
        <v>0.48304589153964728</v>
      </c>
    </row>
    <row r="42" spans="2:21" x14ac:dyDescent="0.25">
      <c r="B42" s="1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2:21" x14ac:dyDescent="0.25">
      <c r="B43" s="16" t="s">
        <v>3</v>
      </c>
      <c r="C43" s="7">
        <f>AVERAGE(C40:N40)</f>
        <v>2.8333333333333335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2:21" x14ac:dyDescent="0.25">
      <c r="B44" s="15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21" x14ac:dyDescent="0.25">
      <c r="B45" s="1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7" spans="2:21" x14ac:dyDescent="0.25">
      <c r="C47" s="5"/>
      <c r="D47" s="5"/>
      <c r="E47" s="5"/>
      <c r="F47" s="5"/>
      <c r="G47" s="5"/>
      <c r="H47" s="10"/>
      <c r="I47" s="10"/>
      <c r="J47" s="10"/>
    </row>
    <row r="48" spans="2:21" x14ac:dyDescent="0.25">
      <c r="B48" s="8" t="s">
        <v>10</v>
      </c>
      <c r="C48" s="24">
        <v>2</v>
      </c>
      <c r="D48" s="24">
        <v>3</v>
      </c>
      <c r="E48" s="24"/>
      <c r="F48" s="24"/>
      <c r="G48" s="24"/>
      <c r="H48" s="19"/>
      <c r="I48" s="19"/>
      <c r="J48" s="10"/>
    </row>
    <row r="49" spans="2:10" x14ac:dyDescent="0.25">
      <c r="B49" s="5" t="s">
        <v>5</v>
      </c>
      <c r="C49" s="25">
        <f>AVERAGE(C40:H40)</f>
        <v>2.8499999999999996</v>
      </c>
      <c r="D49" s="25">
        <f>AVERAGE(I40:N40)</f>
        <v>2.8166666666666664</v>
      </c>
      <c r="E49" s="25"/>
      <c r="F49" s="25"/>
      <c r="G49" s="25"/>
      <c r="H49" s="25"/>
      <c r="I49" s="25"/>
      <c r="J49" s="6"/>
    </row>
    <row r="50" spans="2:10" x14ac:dyDescent="0.25">
      <c r="B50" s="5" t="s">
        <v>6</v>
      </c>
      <c r="C50" s="25">
        <f>STDEV(C40:H40)</f>
        <v>8.366600265340747E-2</v>
      </c>
      <c r="D50" s="25">
        <f>STDEV(I40:N40)</f>
        <v>0.14719601443879737</v>
      </c>
      <c r="E50" s="25"/>
      <c r="F50" s="25"/>
      <c r="G50" s="25"/>
      <c r="H50" s="26"/>
      <c r="I50" s="26"/>
      <c r="J50" s="11"/>
    </row>
    <row r="52" spans="2:10" x14ac:dyDescent="0.25">
      <c r="C52" s="23"/>
    </row>
    <row r="106" spans="9:13" x14ac:dyDescent="0.25">
      <c r="I106" s="2"/>
      <c r="J106" s="2"/>
      <c r="K106" s="2"/>
      <c r="L106" s="2"/>
      <c r="M106" s="2"/>
    </row>
    <row r="128" spans="3:3" x14ac:dyDescent="0.25">
      <c r="C128" s="9"/>
    </row>
    <row r="129" spans="2:3" x14ac:dyDescent="0.25">
      <c r="C129" s="9"/>
    </row>
    <row r="130" spans="2:3" x14ac:dyDescent="0.25">
      <c r="C130" s="9"/>
    </row>
    <row r="131" spans="2:3" x14ac:dyDescent="0.25">
      <c r="C131" s="9"/>
    </row>
    <row r="133" spans="2:3" x14ac:dyDescent="0.25">
      <c r="B133" s="1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"/>
  <sheetViews>
    <sheetView topLeftCell="A22" zoomScale="90" zoomScaleNormal="90" workbookViewId="0">
      <selection activeCell="A37" sqref="A37"/>
    </sheetView>
  </sheetViews>
  <sheetFormatPr defaultRowHeight="15" x14ac:dyDescent="0.25"/>
  <cols>
    <col min="1" max="1" width="71.7109375" customWidth="1"/>
    <col min="2" max="2" width="11.5703125" customWidth="1"/>
    <col min="7" max="7" width="9.5703125" bestFit="1" customWidth="1"/>
    <col min="13" max="13" width="10.42578125" customWidth="1"/>
  </cols>
  <sheetData>
    <row r="1" spans="1:16" x14ac:dyDescent="0.25">
      <c r="A1" s="1" t="s">
        <v>32</v>
      </c>
      <c r="I1" t="s">
        <v>29</v>
      </c>
    </row>
    <row r="2" spans="1:16" x14ac:dyDescent="0.25">
      <c r="A2" s="1" t="s">
        <v>49</v>
      </c>
      <c r="I2" t="s">
        <v>30</v>
      </c>
      <c r="P2" t="s">
        <v>31</v>
      </c>
    </row>
    <row r="3" spans="1:16" x14ac:dyDescent="0.25">
      <c r="A3" s="1"/>
      <c r="I3" t="s">
        <v>14</v>
      </c>
      <c r="P3" t="s">
        <v>23</v>
      </c>
    </row>
    <row r="4" spans="1:16" x14ac:dyDescent="0.25">
      <c r="A4" s="1"/>
      <c r="I4" t="s">
        <v>15</v>
      </c>
      <c r="P4" t="s">
        <v>24</v>
      </c>
    </row>
    <row r="5" spans="1:16" x14ac:dyDescent="0.25">
      <c r="A5" t="s">
        <v>12</v>
      </c>
      <c r="I5" t="s">
        <v>16</v>
      </c>
      <c r="P5" t="s">
        <v>25</v>
      </c>
    </row>
    <row r="6" spans="1:16" x14ac:dyDescent="0.25">
      <c r="A6" t="s">
        <v>13</v>
      </c>
      <c r="I6" t="s">
        <v>17</v>
      </c>
      <c r="P6" t="s">
        <v>26</v>
      </c>
    </row>
    <row r="7" spans="1:16" x14ac:dyDescent="0.25">
      <c r="I7" t="s">
        <v>18</v>
      </c>
      <c r="P7" t="s">
        <v>27</v>
      </c>
    </row>
    <row r="8" spans="1:16" x14ac:dyDescent="0.25">
      <c r="I8" t="s">
        <v>19</v>
      </c>
      <c r="P8" t="s">
        <v>28</v>
      </c>
    </row>
    <row r="9" spans="1:16" x14ac:dyDescent="0.25">
      <c r="I9" t="s">
        <v>20</v>
      </c>
    </row>
    <row r="10" spans="1:16" x14ac:dyDescent="0.25">
      <c r="A10" s="3" t="s">
        <v>8</v>
      </c>
      <c r="B10" s="3"/>
      <c r="C10" s="3"/>
      <c r="I10" t="s">
        <v>21</v>
      </c>
    </row>
    <row r="11" spans="1:16" x14ac:dyDescent="0.25">
      <c r="A11" s="3">
        <v>1</v>
      </c>
      <c r="B11" s="3" t="s">
        <v>0</v>
      </c>
      <c r="C11" s="3"/>
      <c r="D11" t="s">
        <v>45</v>
      </c>
      <c r="I11" t="s">
        <v>22</v>
      </c>
    </row>
    <row r="12" spans="1:16" x14ac:dyDescent="0.25">
      <c r="A12" s="3">
        <v>2</v>
      </c>
      <c r="B12" s="3" t="s">
        <v>1</v>
      </c>
      <c r="C12" s="3"/>
      <c r="D12" t="s">
        <v>47</v>
      </c>
    </row>
    <row r="13" spans="1:16" x14ac:dyDescent="0.25">
      <c r="A13" s="3">
        <v>3</v>
      </c>
      <c r="B13" s="3" t="s">
        <v>2</v>
      </c>
      <c r="C13" s="3"/>
      <c r="D13" t="s">
        <v>46</v>
      </c>
    </row>
    <row r="14" spans="1:16" x14ac:dyDescent="0.25">
      <c r="A14" s="3"/>
      <c r="B14" s="3"/>
      <c r="C14" s="3"/>
    </row>
    <row r="15" spans="1:16" x14ac:dyDescent="0.25">
      <c r="B15" t="s">
        <v>30</v>
      </c>
      <c r="H15" t="s">
        <v>31</v>
      </c>
    </row>
    <row r="16" spans="1:16" x14ac:dyDescent="0.25">
      <c r="A16" s="18" t="s">
        <v>7</v>
      </c>
      <c r="B16" s="18">
        <v>1</v>
      </c>
      <c r="C16" s="18">
        <v>2</v>
      </c>
      <c r="D16" s="18">
        <v>3</v>
      </c>
      <c r="E16" s="18">
        <v>4</v>
      </c>
      <c r="F16" s="18">
        <v>5</v>
      </c>
      <c r="G16" s="30">
        <v>6</v>
      </c>
      <c r="H16" s="18">
        <v>7</v>
      </c>
      <c r="I16" s="18">
        <v>8</v>
      </c>
      <c r="J16" s="18">
        <v>9</v>
      </c>
      <c r="K16" s="18">
        <v>10</v>
      </c>
      <c r="L16" s="18">
        <v>11</v>
      </c>
      <c r="M16" s="18">
        <v>12</v>
      </c>
    </row>
    <row r="17" spans="1:13" x14ac:dyDescent="0.25">
      <c r="A17" s="18" t="s">
        <v>9</v>
      </c>
      <c r="B17" s="18">
        <v>2</v>
      </c>
      <c r="C17" s="18">
        <v>2</v>
      </c>
      <c r="D17" s="18">
        <v>2</v>
      </c>
      <c r="E17" s="18">
        <v>2</v>
      </c>
      <c r="F17" s="19">
        <v>2</v>
      </c>
      <c r="G17" s="31">
        <v>2</v>
      </c>
      <c r="H17" s="19">
        <v>3</v>
      </c>
      <c r="I17" s="19">
        <v>3</v>
      </c>
      <c r="J17" s="19">
        <v>3</v>
      </c>
      <c r="K17" s="19">
        <v>3</v>
      </c>
      <c r="L17" s="19">
        <v>3</v>
      </c>
      <c r="M17" s="19">
        <v>3</v>
      </c>
    </row>
    <row r="18" spans="1:13" x14ac:dyDescent="0.25">
      <c r="B18" s="2"/>
      <c r="G18" s="32"/>
    </row>
    <row r="19" spans="1:13" x14ac:dyDescent="0.25">
      <c r="A19" t="s">
        <v>48</v>
      </c>
      <c r="B19" s="2"/>
      <c r="G19" s="32"/>
    </row>
    <row r="20" spans="1:13" x14ac:dyDescent="0.25">
      <c r="A20">
        <v>1</v>
      </c>
      <c r="B20">
        <v>3</v>
      </c>
      <c r="C20">
        <v>3</v>
      </c>
      <c r="D20">
        <v>3</v>
      </c>
      <c r="E20">
        <v>3</v>
      </c>
      <c r="F20">
        <v>3</v>
      </c>
      <c r="G20" s="32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</row>
    <row r="21" spans="1:13" x14ac:dyDescent="0.25">
      <c r="A21">
        <v>2</v>
      </c>
      <c r="B21">
        <v>3</v>
      </c>
      <c r="C21">
        <v>3</v>
      </c>
      <c r="D21">
        <v>3</v>
      </c>
      <c r="E21">
        <v>3</v>
      </c>
      <c r="F21">
        <v>3</v>
      </c>
      <c r="G21" s="32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</row>
    <row r="22" spans="1:13" x14ac:dyDescent="0.25">
      <c r="A22">
        <f>A21+1</f>
        <v>3</v>
      </c>
      <c r="B22">
        <v>3</v>
      </c>
      <c r="C22">
        <v>3</v>
      </c>
      <c r="D22">
        <v>3</v>
      </c>
      <c r="E22">
        <v>3</v>
      </c>
      <c r="F22">
        <v>3</v>
      </c>
      <c r="G22" s="3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</row>
    <row r="23" spans="1:13" x14ac:dyDescent="0.25">
      <c r="A23">
        <f t="shared" ref="A23:A83" si="0">A22+1</f>
        <v>4</v>
      </c>
      <c r="B23">
        <v>3</v>
      </c>
      <c r="C23">
        <v>3</v>
      </c>
      <c r="D23">
        <v>3</v>
      </c>
      <c r="E23">
        <v>3</v>
      </c>
      <c r="F23">
        <v>3</v>
      </c>
      <c r="G23" s="32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</row>
    <row r="24" spans="1:13" x14ac:dyDescent="0.25">
      <c r="A24">
        <f t="shared" si="0"/>
        <v>5</v>
      </c>
      <c r="B24">
        <v>3</v>
      </c>
      <c r="C24">
        <v>3</v>
      </c>
      <c r="D24">
        <v>3</v>
      </c>
      <c r="E24">
        <v>3</v>
      </c>
      <c r="F24">
        <v>3</v>
      </c>
      <c r="G24" s="32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</row>
    <row r="25" spans="1:13" x14ac:dyDescent="0.25">
      <c r="A25">
        <f t="shared" si="0"/>
        <v>6</v>
      </c>
      <c r="B25">
        <v>3</v>
      </c>
      <c r="C25">
        <v>3</v>
      </c>
      <c r="D25">
        <v>3</v>
      </c>
      <c r="E25">
        <v>3</v>
      </c>
      <c r="F25">
        <v>3</v>
      </c>
      <c r="G25" s="32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</row>
    <row r="26" spans="1:13" x14ac:dyDescent="0.25">
      <c r="A26">
        <f t="shared" si="0"/>
        <v>7</v>
      </c>
      <c r="B26">
        <v>3</v>
      </c>
      <c r="C26">
        <v>3</v>
      </c>
      <c r="D26">
        <v>3</v>
      </c>
      <c r="E26">
        <v>3</v>
      </c>
      <c r="F26">
        <v>3</v>
      </c>
      <c r="G26" s="32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</row>
    <row r="27" spans="1:13" x14ac:dyDescent="0.25">
      <c r="A27">
        <f t="shared" si="0"/>
        <v>8</v>
      </c>
      <c r="B27">
        <v>3</v>
      </c>
      <c r="C27">
        <v>3</v>
      </c>
      <c r="D27">
        <v>3</v>
      </c>
      <c r="E27">
        <v>3</v>
      </c>
      <c r="F27">
        <v>3</v>
      </c>
      <c r="G27" s="32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</row>
    <row r="28" spans="1:13" x14ac:dyDescent="0.25">
      <c r="A28">
        <f t="shared" si="0"/>
        <v>9</v>
      </c>
      <c r="B28">
        <v>3</v>
      </c>
      <c r="C28">
        <v>3</v>
      </c>
      <c r="D28">
        <v>3</v>
      </c>
      <c r="E28">
        <v>3</v>
      </c>
      <c r="F28">
        <v>3</v>
      </c>
      <c r="G28" s="32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</row>
    <row r="29" spans="1:13" x14ac:dyDescent="0.25">
      <c r="A29">
        <f t="shared" si="0"/>
        <v>10</v>
      </c>
      <c r="B29">
        <v>3</v>
      </c>
      <c r="C29">
        <v>3</v>
      </c>
      <c r="D29">
        <v>3</v>
      </c>
      <c r="E29">
        <v>3</v>
      </c>
      <c r="F29">
        <v>3</v>
      </c>
      <c r="G29" s="32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</row>
    <row r="30" spans="1:13" x14ac:dyDescent="0.25">
      <c r="A30">
        <f t="shared" si="0"/>
        <v>11</v>
      </c>
      <c r="B30">
        <v>3</v>
      </c>
      <c r="C30">
        <v>3</v>
      </c>
      <c r="D30">
        <v>3</v>
      </c>
      <c r="E30">
        <v>3</v>
      </c>
      <c r="F30">
        <v>3</v>
      </c>
      <c r="G30" s="32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</row>
    <row r="31" spans="1:13" x14ac:dyDescent="0.25">
      <c r="A31">
        <f t="shared" si="0"/>
        <v>12</v>
      </c>
      <c r="B31">
        <v>3</v>
      </c>
      <c r="C31">
        <v>3</v>
      </c>
      <c r="D31">
        <v>3</v>
      </c>
      <c r="E31">
        <v>3</v>
      </c>
      <c r="F31">
        <v>3</v>
      </c>
      <c r="G31" s="32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</row>
    <row r="32" spans="1:13" x14ac:dyDescent="0.25">
      <c r="A32">
        <f t="shared" si="0"/>
        <v>13</v>
      </c>
      <c r="B32">
        <v>3</v>
      </c>
      <c r="C32">
        <v>3</v>
      </c>
      <c r="D32">
        <v>3</v>
      </c>
      <c r="E32">
        <v>3</v>
      </c>
      <c r="F32">
        <v>3</v>
      </c>
      <c r="G32" s="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</row>
    <row r="33" spans="1:13" x14ac:dyDescent="0.25">
      <c r="A33">
        <f t="shared" si="0"/>
        <v>14</v>
      </c>
      <c r="B33">
        <v>3</v>
      </c>
      <c r="C33">
        <v>3</v>
      </c>
      <c r="D33">
        <v>3</v>
      </c>
      <c r="E33">
        <v>3</v>
      </c>
      <c r="F33">
        <v>3</v>
      </c>
      <c r="G33" s="32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</row>
    <row r="34" spans="1:13" x14ac:dyDescent="0.25">
      <c r="A34">
        <f t="shared" si="0"/>
        <v>15</v>
      </c>
      <c r="B34">
        <v>3</v>
      </c>
      <c r="C34">
        <v>3</v>
      </c>
      <c r="D34">
        <v>3</v>
      </c>
      <c r="E34">
        <v>3</v>
      </c>
      <c r="F34">
        <v>3</v>
      </c>
      <c r="G34" s="32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</row>
    <row r="35" spans="1:13" x14ac:dyDescent="0.25">
      <c r="A35">
        <f t="shared" si="0"/>
        <v>16</v>
      </c>
      <c r="B35">
        <v>3</v>
      </c>
      <c r="C35">
        <v>3</v>
      </c>
      <c r="D35">
        <v>3</v>
      </c>
      <c r="E35">
        <v>3</v>
      </c>
      <c r="F35">
        <v>3</v>
      </c>
      <c r="G35" s="32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</row>
    <row r="36" spans="1:13" x14ac:dyDescent="0.25">
      <c r="A36">
        <f t="shared" si="0"/>
        <v>17</v>
      </c>
      <c r="B36">
        <v>3</v>
      </c>
      <c r="C36">
        <v>3</v>
      </c>
      <c r="D36">
        <v>3</v>
      </c>
      <c r="E36">
        <v>3</v>
      </c>
      <c r="F36">
        <v>3</v>
      </c>
      <c r="G36" s="32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</row>
    <row r="37" spans="1:13" x14ac:dyDescent="0.25">
      <c r="A37">
        <f t="shared" si="0"/>
        <v>18</v>
      </c>
      <c r="B37">
        <v>3</v>
      </c>
      <c r="C37">
        <v>3</v>
      </c>
      <c r="D37">
        <v>3</v>
      </c>
      <c r="E37">
        <v>3</v>
      </c>
      <c r="F37">
        <v>3</v>
      </c>
      <c r="G37" s="32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</row>
    <row r="38" spans="1:13" x14ac:dyDescent="0.25">
      <c r="A38">
        <f t="shared" si="0"/>
        <v>19</v>
      </c>
      <c r="B38">
        <v>3</v>
      </c>
      <c r="C38">
        <v>3</v>
      </c>
      <c r="D38">
        <v>3</v>
      </c>
      <c r="E38">
        <v>3</v>
      </c>
      <c r="F38">
        <v>3</v>
      </c>
      <c r="G38" s="32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</row>
    <row r="39" spans="1:13" x14ac:dyDescent="0.25">
      <c r="A39">
        <f t="shared" si="0"/>
        <v>20</v>
      </c>
      <c r="B39">
        <v>3</v>
      </c>
      <c r="C39">
        <v>3</v>
      </c>
      <c r="D39">
        <v>3</v>
      </c>
      <c r="E39">
        <v>3</v>
      </c>
      <c r="F39">
        <v>3</v>
      </c>
      <c r="G39" s="32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</row>
    <row r="40" spans="1:13" x14ac:dyDescent="0.25">
      <c r="A40">
        <f t="shared" si="0"/>
        <v>21</v>
      </c>
      <c r="B40">
        <v>3</v>
      </c>
      <c r="C40">
        <v>3</v>
      </c>
      <c r="D40">
        <v>3</v>
      </c>
      <c r="E40">
        <v>3</v>
      </c>
      <c r="F40">
        <v>3</v>
      </c>
      <c r="G40" s="32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</row>
    <row r="41" spans="1:13" x14ac:dyDescent="0.25">
      <c r="A41">
        <f t="shared" si="0"/>
        <v>22</v>
      </c>
      <c r="B41">
        <v>3</v>
      </c>
      <c r="C41">
        <v>3</v>
      </c>
      <c r="D41">
        <v>3</v>
      </c>
      <c r="E41">
        <v>3</v>
      </c>
      <c r="F41">
        <v>3</v>
      </c>
      <c r="G41" s="32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</row>
    <row r="42" spans="1:13" x14ac:dyDescent="0.25">
      <c r="A42">
        <f t="shared" si="0"/>
        <v>23</v>
      </c>
      <c r="B42">
        <v>3</v>
      </c>
      <c r="C42">
        <v>3</v>
      </c>
      <c r="D42">
        <v>3</v>
      </c>
      <c r="E42">
        <v>3</v>
      </c>
      <c r="F42">
        <v>3</v>
      </c>
      <c r="G42" s="3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</row>
    <row r="43" spans="1:13" x14ac:dyDescent="0.25">
      <c r="A43">
        <f t="shared" si="0"/>
        <v>24</v>
      </c>
      <c r="B43">
        <v>3</v>
      </c>
      <c r="C43">
        <v>3</v>
      </c>
      <c r="D43">
        <v>3</v>
      </c>
      <c r="E43">
        <v>3</v>
      </c>
      <c r="F43">
        <v>3</v>
      </c>
      <c r="G43" s="32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</row>
    <row r="44" spans="1:13" x14ac:dyDescent="0.25">
      <c r="A44">
        <f t="shared" si="0"/>
        <v>25</v>
      </c>
      <c r="B44">
        <v>3</v>
      </c>
      <c r="C44">
        <v>2</v>
      </c>
      <c r="D44">
        <v>3</v>
      </c>
      <c r="E44">
        <v>3</v>
      </c>
      <c r="F44">
        <v>3</v>
      </c>
      <c r="G44" s="32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</row>
    <row r="45" spans="1:13" x14ac:dyDescent="0.25">
      <c r="A45">
        <f t="shared" si="0"/>
        <v>26</v>
      </c>
      <c r="B45">
        <v>3</v>
      </c>
      <c r="C45">
        <v>2</v>
      </c>
      <c r="D45">
        <v>3</v>
      </c>
      <c r="E45">
        <v>3</v>
      </c>
      <c r="F45">
        <v>3</v>
      </c>
      <c r="G45" s="32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</row>
    <row r="46" spans="1:13" x14ac:dyDescent="0.25">
      <c r="A46">
        <f t="shared" si="0"/>
        <v>27</v>
      </c>
      <c r="B46">
        <v>3</v>
      </c>
      <c r="C46">
        <v>2</v>
      </c>
      <c r="D46">
        <v>3</v>
      </c>
      <c r="E46">
        <v>3</v>
      </c>
      <c r="F46">
        <v>3</v>
      </c>
      <c r="G46" s="32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</row>
    <row r="47" spans="1:13" x14ac:dyDescent="0.25">
      <c r="A47">
        <f t="shared" si="0"/>
        <v>28</v>
      </c>
      <c r="B47">
        <v>3</v>
      </c>
      <c r="C47">
        <v>2</v>
      </c>
      <c r="D47">
        <v>3</v>
      </c>
      <c r="E47">
        <v>3</v>
      </c>
      <c r="F47">
        <v>3</v>
      </c>
      <c r="G47" s="32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</row>
    <row r="48" spans="1:13" x14ac:dyDescent="0.25">
      <c r="A48">
        <f t="shared" si="0"/>
        <v>29</v>
      </c>
      <c r="B48">
        <v>3</v>
      </c>
      <c r="C48">
        <v>2</v>
      </c>
      <c r="D48">
        <v>3</v>
      </c>
      <c r="E48">
        <v>3</v>
      </c>
      <c r="F48">
        <v>3</v>
      </c>
      <c r="G48" s="32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</row>
    <row r="49" spans="1:13" x14ac:dyDescent="0.25">
      <c r="A49">
        <f t="shared" si="0"/>
        <v>30</v>
      </c>
      <c r="B49">
        <v>3</v>
      </c>
      <c r="C49">
        <v>2</v>
      </c>
      <c r="D49">
        <v>3</v>
      </c>
      <c r="E49">
        <v>3</v>
      </c>
      <c r="F49">
        <v>3</v>
      </c>
      <c r="G49" s="32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</row>
    <row r="50" spans="1:13" x14ac:dyDescent="0.25">
      <c r="A50">
        <f t="shared" si="0"/>
        <v>31</v>
      </c>
      <c r="B50">
        <v>3</v>
      </c>
      <c r="C50">
        <v>2</v>
      </c>
      <c r="D50">
        <v>3</v>
      </c>
      <c r="E50">
        <v>3</v>
      </c>
      <c r="F50">
        <v>3</v>
      </c>
      <c r="G50" s="32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</row>
    <row r="51" spans="1:13" x14ac:dyDescent="0.25">
      <c r="A51">
        <f t="shared" si="0"/>
        <v>32</v>
      </c>
      <c r="B51">
        <v>3</v>
      </c>
      <c r="C51">
        <v>2</v>
      </c>
      <c r="D51">
        <v>3</v>
      </c>
      <c r="E51">
        <v>3</v>
      </c>
      <c r="F51">
        <v>3</v>
      </c>
      <c r="G51" s="32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</row>
    <row r="52" spans="1:13" x14ac:dyDescent="0.25">
      <c r="A52">
        <f t="shared" si="0"/>
        <v>33</v>
      </c>
      <c r="B52">
        <v>3</v>
      </c>
      <c r="C52">
        <v>2</v>
      </c>
      <c r="D52">
        <v>2</v>
      </c>
      <c r="E52">
        <v>3</v>
      </c>
      <c r="F52">
        <v>2</v>
      </c>
      <c r="G52" s="3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</row>
    <row r="53" spans="1:13" x14ac:dyDescent="0.25">
      <c r="A53">
        <f t="shared" si="0"/>
        <v>34</v>
      </c>
      <c r="B53">
        <v>3</v>
      </c>
      <c r="C53">
        <v>2</v>
      </c>
      <c r="D53">
        <v>2</v>
      </c>
      <c r="E53">
        <v>3</v>
      </c>
      <c r="F53">
        <v>2</v>
      </c>
      <c r="G53" s="32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</row>
    <row r="54" spans="1:13" x14ac:dyDescent="0.25">
      <c r="A54">
        <f t="shared" si="0"/>
        <v>35</v>
      </c>
      <c r="B54">
        <v>3</v>
      </c>
      <c r="C54">
        <v>2</v>
      </c>
      <c r="D54">
        <v>2</v>
      </c>
      <c r="E54">
        <v>3</v>
      </c>
      <c r="F54">
        <v>2</v>
      </c>
      <c r="G54" s="32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</row>
    <row r="55" spans="1:13" x14ac:dyDescent="0.25">
      <c r="A55">
        <f t="shared" si="0"/>
        <v>36</v>
      </c>
      <c r="B55">
        <v>3</v>
      </c>
      <c r="C55">
        <v>2</v>
      </c>
      <c r="D55">
        <v>2</v>
      </c>
      <c r="E55">
        <v>3</v>
      </c>
      <c r="F55">
        <v>2</v>
      </c>
      <c r="G55" s="32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</row>
    <row r="56" spans="1:13" x14ac:dyDescent="0.25">
      <c r="A56">
        <f t="shared" si="0"/>
        <v>37</v>
      </c>
      <c r="B56">
        <v>3</v>
      </c>
      <c r="C56">
        <v>2</v>
      </c>
      <c r="D56">
        <v>2</v>
      </c>
      <c r="E56">
        <v>3</v>
      </c>
      <c r="F56">
        <v>2</v>
      </c>
      <c r="G56" s="32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</row>
    <row r="57" spans="1:13" x14ac:dyDescent="0.25">
      <c r="A57">
        <f t="shared" si="0"/>
        <v>38</v>
      </c>
      <c r="B57">
        <v>3</v>
      </c>
      <c r="C57">
        <v>2</v>
      </c>
      <c r="D57">
        <v>2</v>
      </c>
      <c r="E57">
        <v>3</v>
      </c>
      <c r="F57">
        <v>2</v>
      </c>
      <c r="G57" s="32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</row>
    <row r="58" spans="1:13" x14ac:dyDescent="0.25">
      <c r="A58">
        <f t="shared" si="0"/>
        <v>39</v>
      </c>
      <c r="B58">
        <v>3</v>
      </c>
      <c r="C58">
        <v>2</v>
      </c>
      <c r="D58">
        <v>2</v>
      </c>
      <c r="E58">
        <v>3</v>
      </c>
      <c r="F58">
        <v>2</v>
      </c>
      <c r="G58" s="32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</row>
    <row r="59" spans="1:13" x14ac:dyDescent="0.25">
      <c r="A59">
        <f t="shared" si="0"/>
        <v>40</v>
      </c>
      <c r="B59">
        <v>3</v>
      </c>
      <c r="C59">
        <v>2</v>
      </c>
      <c r="D59">
        <v>2</v>
      </c>
      <c r="E59">
        <v>3</v>
      </c>
      <c r="F59">
        <v>2</v>
      </c>
      <c r="G59" s="32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</row>
    <row r="60" spans="1:13" x14ac:dyDescent="0.25">
      <c r="A60">
        <f t="shared" si="0"/>
        <v>41</v>
      </c>
      <c r="B60">
        <v>3</v>
      </c>
      <c r="C60">
        <v>2</v>
      </c>
      <c r="D60">
        <v>2</v>
      </c>
      <c r="E60">
        <v>3</v>
      </c>
      <c r="F60">
        <v>2</v>
      </c>
      <c r="G60" s="32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</row>
    <row r="61" spans="1:13" x14ac:dyDescent="0.25">
      <c r="A61">
        <v>42</v>
      </c>
      <c r="B61">
        <v>3</v>
      </c>
      <c r="C61">
        <v>2</v>
      </c>
      <c r="D61">
        <v>2</v>
      </c>
      <c r="E61">
        <v>3</v>
      </c>
      <c r="F61">
        <v>2</v>
      </c>
      <c r="G61" s="32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</row>
    <row r="62" spans="1:13" x14ac:dyDescent="0.25">
      <c r="A62">
        <v>43</v>
      </c>
      <c r="B62">
        <v>3</v>
      </c>
      <c r="C62">
        <v>2</v>
      </c>
      <c r="D62">
        <v>2</v>
      </c>
      <c r="E62">
        <v>3</v>
      </c>
      <c r="F62">
        <v>2</v>
      </c>
      <c r="G62" s="3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</row>
    <row r="63" spans="1:13" x14ac:dyDescent="0.25">
      <c r="A63">
        <v>44</v>
      </c>
      <c r="B63">
        <v>3</v>
      </c>
      <c r="C63">
        <v>2</v>
      </c>
      <c r="D63">
        <v>2</v>
      </c>
      <c r="E63">
        <v>3</v>
      </c>
      <c r="F63">
        <v>2</v>
      </c>
      <c r="G63" s="32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</row>
    <row r="64" spans="1:13" x14ac:dyDescent="0.25">
      <c r="A64">
        <v>45</v>
      </c>
      <c r="B64">
        <v>3</v>
      </c>
      <c r="C64">
        <v>2</v>
      </c>
      <c r="D64">
        <v>2</v>
      </c>
      <c r="E64">
        <v>3</v>
      </c>
      <c r="F64">
        <v>2</v>
      </c>
      <c r="G64" s="32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</row>
    <row r="65" spans="1:13" x14ac:dyDescent="0.25">
      <c r="A65">
        <v>46</v>
      </c>
      <c r="B65">
        <v>3</v>
      </c>
      <c r="C65">
        <v>2</v>
      </c>
      <c r="D65">
        <v>2</v>
      </c>
      <c r="E65">
        <v>3</v>
      </c>
      <c r="F65">
        <v>2</v>
      </c>
      <c r="G65" s="32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</row>
    <row r="66" spans="1:13" x14ac:dyDescent="0.25">
      <c r="A66">
        <v>47</v>
      </c>
      <c r="B66">
        <v>3</v>
      </c>
      <c r="C66">
        <v>2</v>
      </c>
      <c r="D66">
        <v>2</v>
      </c>
      <c r="E66">
        <v>3</v>
      </c>
      <c r="F66">
        <v>2</v>
      </c>
      <c r="G66" s="32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</row>
    <row r="67" spans="1:13" x14ac:dyDescent="0.25">
      <c r="A67">
        <v>48</v>
      </c>
      <c r="B67">
        <v>3</v>
      </c>
      <c r="C67">
        <v>2</v>
      </c>
      <c r="D67">
        <v>2</v>
      </c>
      <c r="E67">
        <v>3</v>
      </c>
      <c r="F67">
        <v>2</v>
      </c>
      <c r="G67" s="32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</row>
    <row r="68" spans="1:13" x14ac:dyDescent="0.25">
      <c r="A68">
        <v>49</v>
      </c>
      <c r="B68">
        <v>3</v>
      </c>
      <c r="C68">
        <v>2</v>
      </c>
      <c r="D68">
        <v>2</v>
      </c>
      <c r="E68">
        <v>3</v>
      </c>
      <c r="F68">
        <v>2</v>
      </c>
      <c r="G68" s="32">
        <v>2</v>
      </c>
      <c r="H68">
        <v>3</v>
      </c>
      <c r="I68">
        <v>2</v>
      </c>
      <c r="J68">
        <v>3</v>
      </c>
      <c r="K68">
        <v>3</v>
      </c>
      <c r="L68">
        <v>3</v>
      </c>
      <c r="M68">
        <v>3</v>
      </c>
    </row>
    <row r="69" spans="1:13" x14ac:dyDescent="0.25">
      <c r="A69">
        <v>50</v>
      </c>
      <c r="B69">
        <v>3</v>
      </c>
      <c r="C69">
        <v>2</v>
      </c>
      <c r="D69">
        <v>2</v>
      </c>
      <c r="E69">
        <v>3</v>
      </c>
      <c r="F69">
        <v>2</v>
      </c>
      <c r="G69" s="32">
        <v>2</v>
      </c>
      <c r="H69">
        <v>3</v>
      </c>
      <c r="I69">
        <v>2</v>
      </c>
      <c r="J69">
        <v>3</v>
      </c>
      <c r="K69">
        <v>3</v>
      </c>
      <c r="L69">
        <v>3</v>
      </c>
      <c r="M69">
        <v>3</v>
      </c>
    </row>
    <row r="70" spans="1:13" x14ac:dyDescent="0.25">
      <c r="A70">
        <v>51</v>
      </c>
      <c r="B70">
        <v>3</v>
      </c>
      <c r="C70">
        <v>2</v>
      </c>
      <c r="D70">
        <v>2</v>
      </c>
      <c r="E70">
        <v>3</v>
      </c>
      <c r="F70">
        <v>2</v>
      </c>
      <c r="G70" s="32">
        <v>2</v>
      </c>
      <c r="H70">
        <v>3</v>
      </c>
      <c r="I70">
        <v>2</v>
      </c>
      <c r="J70">
        <v>3</v>
      </c>
      <c r="K70">
        <v>3</v>
      </c>
      <c r="L70">
        <v>3</v>
      </c>
      <c r="M70">
        <v>3</v>
      </c>
    </row>
    <row r="71" spans="1:13" x14ac:dyDescent="0.25">
      <c r="A71">
        <v>52</v>
      </c>
      <c r="B71">
        <v>3</v>
      </c>
      <c r="C71">
        <v>2</v>
      </c>
      <c r="D71">
        <v>2</v>
      </c>
      <c r="E71">
        <v>3</v>
      </c>
      <c r="F71">
        <v>2</v>
      </c>
      <c r="G71" s="32">
        <v>2</v>
      </c>
      <c r="H71">
        <v>3</v>
      </c>
      <c r="I71">
        <v>2</v>
      </c>
      <c r="J71">
        <v>3</v>
      </c>
      <c r="K71">
        <v>3</v>
      </c>
      <c r="L71">
        <v>3</v>
      </c>
      <c r="M71">
        <v>3</v>
      </c>
    </row>
    <row r="72" spans="1:13" x14ac:dyDescent="0.25">
      <c r="A72">
        <v>53</v>
      </c>
      <c r="B72">
        <v>3</v>
      </c>
      <c r="C72">
        <v>2</v>
      </c>
      <c r="D72">
        <v>2</v>
      </c>
      <c r="E72">
        <v>3</v>
      </c>
      <c r="F72">
        <v>2</v>
      </c>
      <c r="G72" s="32">
        <v>2</v>
      </c>
      <c r="H72">
        <v>2</v>
      </c>
      <c r="I72">
        <v>2</v>
      </c>
      <c r="J72">
        <v>3</v>
      </c>
      <c r="K72">
        <v>3</v>
      </c>
      <c r="L72">
        <v>3</v>
      </c>
      <c r="M72">
        <v>3</v>
      </c>
    </row>
    <row r="73" spans="1:13" x14ac:dyDescent="0.25">
      <c r="A73">
        <v>54</v>
      </c>
      <c r="B73">
        <v>3</v>
      </c>
      <c r="C73">
        <v>2</v>
      </c>
      <c r="D73">
        <v>2</v>
      </c>
      <c r="E73">
        <v>3</v>
      </c>
      <c r="F73">
        <v>2</v>
      </c>
      <c r="G73" s="32">
        <v>2</v>
      </c>
      <c r="H73">
        <v>2</v>
      </c>
      <c r="I73">
        <v>2</v>
      </c>
      <c r="J73">
        <v>3</v>
      </c>
      <c r="K73">
        <v>3</v>
      </c>
      <c r="L73">
        <v>3</v>
      </c>
      <c r="M73">
        <v>3</v>
      </c>
    </row>
    <row r="74" spans="1:13" x14ac:dyDescent="0.25">
      <c r="A74">
        <v>55</v>
      </c>
      <c r="B74">
        <v>3</v>
      </c>
      <c r="C74">
        <v>2</v>
      </c>
      <c r="D74">
        <v>2</v>
      </c>
      <c r="E74">
        <v>3</v>
      </c>
      <c r="F74">
        <v>2</v>
      </c>
      <c r="G74" s="32">
        <v>2</v>
      </c>
      <c r="H74">
        <v>2</v>
      </c>
      <c r="I74">
        <v>2</v>
      </c>
      <c r="J74">
        <v>3</v>
      </c>
      <c r="K74">
        <v>3</v>
      </c>
      <c r="L74">
        <v>3</v>
      </c>
      <c r="M74">
        <v>3</v>
      </c>
    </row>
    <row r="75" spans="1:13" x14ac:dyDescent="0.25">
      <c r="A75">
        <v>56</v>
      </c>
      <c r="B75">
        <v>3</v>
      </c>
      <c r="C75">
        <v>2</v>
      </c>
      <c r="D75">
        <v>2</v>
      </c>
      <c r="E75">
        <v>3</v>
      </c>
      <c r="F75">
        <v>2</v>
      </c>
      <c r="G75" s="32">
        <v>2</v>
      </c>
      <c r="H75">
        <v>2</v>
      </c>
      <c r="I75">
        <v>2</v>
      </c>
      <c r="J75">
        <v>3</v>
      </c>
      <c r="K75">
        <v>3</v>
      </c>
      <c r="L75">
        <v>3</v>
      </c>
      <c r="M75">
        <v>3</v>
      </c>
    </row>
    <row r="76" spans="1:13" x14ac:dyDescent="0.25">
      <c r="A76">
        <v>57</v>
      </c>
      <c r="B76">
        <v>3</v>
      </c>
      <c r="C76">
        <v>2</v>
      </c>
      <c r="D76">
        <v>2</v>
      </c>
      <c r="E76">
        <v>3</v>
      </c>
      <c r="F76">
        <v>2</v>
      </c>
      <c r="G76" s="32">
        <v>2</v>
      </c>
      <c r="H76">
        <v>2</v>
      </c>
      <c r="I76">
        <v>2</v>
      </c>
      <c r="J76">
        <v>3</v>
      </c>
      <c r="K76">
        <v>3</v>
      </c>
      <c r="L76">
        <v>3</v>
      </c>
      <c r="M76">
        <v>3</v>
      </c>
    </row>
    <row r="77" spans="1:13" x14ac:dyDescent="0.25">
      <c r="A77">
        <v>58</v>
      </c>
      <c r="B77">
        <v>3</v>
      </c>
      <c r="C77">
        <v>2</v>
      </c>
      <c r="D77">
        <v>2</v>
      </c>
      <c r="E77">
        <v>3</v>
      </c>
      <c r="F77">
        <v>2</v>
      </c>
      <c r="G77" s="32">
        <v>2</v>
      </c>
      <c r="H77">
        <v>2</v>
      </c>
      <c r="I77">
        <v>2</v>
      </c>
      <c r="J77">
        <v>3</v>
      </c>
      <c r="K77">
        <v>3</v>
      </c>
      <c r="L77">
        <v>3</v>
      </c>
      <c r="M77">
        <v>3</v>
      </c>
    </row>
    <row r="78" spans="1:13" x14ac:dyDescent="0.25">
      <c r="A78">
        <v>59</v>
      </c>
      <c r="B78">
        <v>3</v>
      </c>
      <c r="C78">
        <v>2</v>
      </c>
      <c r="D78">
        <v>2</v>
      </c>
      <c r="E78">
        <v>3</v>
      </c>
      <c r="F78">
        <v>2</v>
      </c>
      <c r="G78" s="32">
        <v>2</v>
      </c>
      <c r="H78">
        <v>2</v>
      </c>
      <c r="I78">
        <v>2</v>
      </c>
      <c r="J78">
        <v>3</v>
      </c>
      <c r="K78">
        <v>3</v>
      </c>
      <c r="L78">
        <v>3</v>
      </c>
      <c r="M78">
        <v>3</v>
      </c>
    </row>
    <row r="79" spans="1:13" x14ac:dyDescent="0.25">
      <c r="A79">
        <v>60</v>
      </c>
      <c r="B79">
        <v>3</v>
      </c>
      <c r="C79">
        <v>2</v>
      </c>
      <c r="D79">
        <v>2</v>
      </c>
      <c r="E79">
        <v>3</v>
      </c>
      <c r="F79">
        <v>2</v>
      </c>
      <c r="G79" s="32">
        <v>2</v>
      </c>
      <c r="H79">
        <v>2</v>
      </c>
      <c r="I79">
        <v>2</v>
      </c>
      <c r="J79">
        <v>3</v>
      </c>
      <c r="K79">
        <v>3</v>
      </c>
      <c r="L79">
        <v>3</v>
      </c>
      <c r="M79">
        <v>3</v>
      </c>
    </row>
    <row r="80" spans="1:13" x14ac:dyDescent="0.25">
      <c r="A80">
        <f t="shared" si="0"/>
        <v>61</v>
      </c>
      <c r="B80">
        <v>2</v>
      </c>
      <c r="C80">
        <v>2</v>
      </c>
      <c r="D80">
        <v>2</v>
      </c>
      <c r="E80">
        <v>2</v>
      </c>
      <c r="F80">
        <v>2</v>
      </c>
      <c r="G80" s="32">
        <v>2</v>
      </c>
      <c r="H80">
        <v>2</v>
      </c>
      <c r="I80">
        <v>2</v>
      </c>
      <c r="J80">
        <v>2</v>
      </c>
      <c r="K80">
        <v>2</v>
      </c>
      <c r="L80">
        <v>3</v>
      </c>
      <c r="M80">
        <v>3</v>
      </c>
    </row>
    <row r="81" spans="1:20" x14ac:dyDescent="0.25">
      <c r="A81">
        <f t="shared" si="0"/>
        <v>62</v>
      </c>
      <c r="B81">
        <v>2</v>
      </c>
      <c r="C81">
        <v>2</v>
      </c>
      <c r="D81">
        <v>2</v>
      </c>
      <c r="E81">
        <v>2</v>
      </c>
      <c r="F81">
        <v>2</v>
      </c>
      <c r="G81" s="32">
        <v>2</v>
      </c>
      <c r="H81">
        <v>2</v>
      </c>
      <c r="I81">
        <v>2</v>
      </c>
      <c r="J81">
        <v>2</v>
      </c>
      <c r="K81">
        <v>2</v>
      </c>
      <c r="L81">
        <v>3</v>
      </c>
      <c r="M81">
        <v>3</v>
      </c>
    </row>
    <row r="82" spans="1:20" x14ac:dyDescent="0.25">
      <c r="A82">
        <f t="shared" si="0"/>
        <v>63</v>
      </c>
      <c r="B82">
        <v>2</v>
      </c>
      <c r="C82">
        <v>2</v>
      </c>
      <c r="D82">
        <v>2</v>
      </c>
      <c r="E82">
        <v>2</v>
      </c>
      <c r="F82">
        <v>2</v>
      </c>
      <c r="G82" s="32">
        <v>2</v>
      </c>
      <c r="H82">
        <v>2</v>
      </c>
      <c r="I82">
        <v>2</v>
      </c>
      <c r="J82">
        <v>2</v>
      </c>
      <c r="K82">
        <v>2</v>
      </c>
      <c r="L82">
        <v>3</v>
      </c>
      <c r="M82">
        <v>3</v>
      </c>
    </row>
    <row r="83" spans="1:20" x14ac:dyDescent="0.25">
      <c r="A83">
        <f t="shared" si="0"/>
        <v>64</v>
      </c>
      <c r="B83">
        <v>2</v>
      </c>
      <c r="C83">
        <v>2</v>
      </c>
      <c r="D83">
        <v>2</v>
      </c>
      <c r="E83">
        <v>2</v>
      </c>
      <c r="F83">
        <v>2</v>
      </c>
      <c r="G83" s="32">
        <v>2</v>
      </c>
      <c r="H83">
        <v>2</v>
      </c>
      <c r="I83">
        <v>2</v>
      </c>
      <c r="J83">
        <v>2</v>
      </c>
      <c r="K83">
        <v>2</v>
      </c>
      <c r="L83">
        <v>3</v>
      </c>
      <c r="M83">
        <v>3</v>
      </c>
    </row>
    <row r="84" spans="1:20" x14ac:dyDescent="0.25">
      <c r="A84">
        <v>65</v>
      </c>
      <c r="B84">
        <v>2</v>
      </c>
      <c r="C84">
        <v>2</v>
      </c>
      <c r="D84">
        <v>2</v>
      </c>
      <c r="E84">
        <v>2</v>
      </c>
      <c r="F84">
        <v>2</v>
      </c>
      <c r="G84" s="32">
        <v>2</v>
      </c>
      <c r="H84">
        <v>2</v>
      </c>
      <c r="I84">
        <v>2</v>
      </c>
      <c r="J84">
        <v>2</v>
      </c>
      <c r="K84">
        <v>2</v>
      </c>
      <c r="L84">
        <v>3</v>
      </c>
      <c r="M84">
        <v>2</v>
      </c>
    </row>
    <row r="85" spans="1:20" x14ac:dyDescent="0.25">
      <c r="A85">
        <v>66</v>
      </c>
      <c r="B85">
        <v>2</v>
      </c>
      <c r="C85">
        <v>2</v>
      </c>
      <c r="D85">
        <v>2</v>
      </c>
      <c r="E85">
        <v>2</v>
      </c>
      <c r="F85">
        <v>2</v>
      </c>
      <c r="G85" s="32">
        <v>2</v>
      </c>
      <c r="H85">
        <v>2</v>
      </c>
      <c r="I85">
        <v>2</v>
      </c>
      <c r="J85">
        <v>2</v>
      </c>
      <c r="K85">
        <v>2</v>
      </c>
      <c r="L85">
        <v>3</v>
      </c>
      <c r="M85">
        <v>2</v>
      </c>
    </row>
    <row r="86" spans="1:20" x14ac:dyDescent="0.25">
      <c r="A86">
        <v>67</v>
      </c>
      <c r="B86">
        <v>2</v>
      </c>
      <c r="C86">
        <v>2</v>
      </c>
      <c r="D86">
        <v>2</v>
      </c>
      <c r="E86">
        <v>2</v>
      </c>
      <c r="F86">
        <v>2</v>
      </c>
      <c r="G86" s="32">
        <v>2</v>
      </c>
      <c r="H86">
        <v>2</v>
      </c>
      <c r="I86">
        <v>2</v>
      </c>
      <c r="J86">
        <v>2</v>
      </c>
      <c r="K86">
        <v>2</v>
      </c>
      <c r="L86">
        <v>3</v>
      </c>
      <c r="M86">
        <v>2</v>
      </c>
    </row>
    <row r="87" spans="1:20" x14ac:dyDescent="0.25">
      <c r="A87">
        <v>68</v>
      </c>
      <c r="B87">
        <v>2</v>
      </c>
      <c r="C87">
        <v>2</v>
      </c>
      <c r="D87">
        <v>2</v>
      </c>
      <c r="E87">
        <v>2</v>
      </c>
      <c r="F87">
        <v>2</v>
      </c>
      <c r="G87" s="32">
        <v>2</v>
      </c>
      <c r="H87">
        <v>2</v>
      </c>
      <c r="I87">
        <v>2</v>
      </c>
      <c r="J87">
        <v>2</v>
      </c>
      <c r="K87">
        <v>2</v>
      </c>
      <c r="L87">
        <v>3</v>
      </c>
      <c r="M87">
        <v>2</v>
      </c>
    </row>
    <row r="88" spans="1:20" x14ac:dyDescent="0.25">
      <c r="A88" s="17"/>
      <c r="N88" s="29" t="s">
        <v>41</v>
      </c>
      <c r="O88" s="29" t="s">
        <v>42</v>
      </c>
      <c r="P88" s="29"/>
      <c r="Q88" s="29" t="s">
        <v>43</v>
      </c>
      <c r="R88" s="29" t="s">
        <v>44</v>
      </c>
      <c r="S88" s="29"/>
    </row>
    <row r="89" spans="1:20" x14ac:dyDescent="0.25">
      <c r="A89" s="2" t="s">
        <v>33</v>
      </c>
      <c r="B89" s="27">
        <v>60</v>
      </c>
      <c r="C89" s="27">
        <v>24</v>
      </c>
      <c r="D89" s="27">
        <v>32</v>
      </c>
      <c r="E89" s="27">
        <v>60</v>
      </c>
      <c r="F89" s="27">
        <v>32</v>
      </c>
      <c r="G89" s="27">
        <v>48</v>
      </c>
      <c r="H89" s="27">
        <v>52</v>
      </c>
      <c r="I89" s="27">
        <v>48</v>
      </c>
      <c r="J89" s="27">
        <v>60</v>
      </c>
      <c r="K89" s="27">
        <v>60</v>
      </c>
      <c r="L89" s="27">
        <v>68</v>
      </c>
      <c r="M89" s="27">
        <v>64</v>
      </c>
      <c r="N89" s="23">
        <f>AVERAGE(B89:G89)</f>
        <v>42.666666666666664</v>
      </c>
      <c r="O89">
        <f>AVERAGE(H89:M89)</f>
        <v>58.666666666666664</v>
      </c>
      <c r="P89" s="28"/>
      <c r="Q89" s="28">
        <f>N89/$N$93*100</f>
        <v>62.745098039215684</v>
      </c>
      <c r="R89" s="28">
        <f>O89/$N$93*100</f>
        <v>86.274509803921561</v>
      </c>
      <c r="S89" s="28"/>
      <c r="T89" t="s">
        <v>34</v>
      </c>
    </row>
    <row r="90" spans="1:20" x14ac:dyDescent="0.25">
      <c r="A90" s="2" t="s">
        <v>35</v>
      </c>
      <c r="B90" s="27">
        <v>8</v>
      </c>
      <c r="C90" s="27">
        <v>44</v>
      </c>
      <c r="D90" s="27">
        <v>36</v>
      </c>
      <c r="E90" s="27">
        <v>8</v>
      </c>
      <c r="F90" s="27">
        <v>36</v>
      </c>
      <c r="G90" s="27">
        <v>20</v>
      </c>
      <c r="H90" s="27">
        <v>16</v>
      </c>
      <c r="I90" s="27">
        <v>20</v>
      </c>
      <c r="J90" s="27">
        <v>8</v>
      </c>
      <c r="K90" s="27">
        <v>8</v>
      </c>
      <c r="L90" s="27">
        <v>0</v>
      </c>
      <c r="M90" s="27">
        <v>4</v>
      </c>
      <c r="N90" s="23">
        <f t="shared" ref="N90:N91" si="1">AVERAGE(B90:G90)</f>
        <v>25.333333333333332</v>
      </c>
      <c r="O90">
        <f t="shared" ref="O90:O91" si="2">AVERAGE(H90:M90)</f>
        <v>9.3333333333333339</v>
      </c>
      <c r="P90" s="28"/>
      <c r="Q90" s="28">
        <f t="shared" ref="Q90:Q91" si="3">N90/$N$93*100</f>
        <v>37.254901960784316</v>
      </c>
      <c r="R90" s="28">
        <f t="shared" ref="R90:R91" si="4">O90/$N$93*100</f>
        <v>13.725490196078432</v>
      </c>
      <c r="S90" s="28"/>
      <c r="T90" t="s">
        <v>36</v>
      </c>
    </row>
    <row r="91" spans="1:20" x14ac:dyDescent="0.25">
      <c r="A91" s="2" t="s">
        <v>37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3">
        <f t="shared" si="1"/>
        <v>0</v>
      </c>
      <c r="O91">
        <f t="shared" si="2"/>
        <v>0</v>
      </c>
      <c r="P91" s="28"/>
      <c r="Q91" s="28">
        <f t="shared" si="3"/>
        <v>0</v>
      </c>
      <c r="R91" s="28">
        <f t="shared" si="4"/>
        <v>0</v>
      </c>
      <c r="S91" s="28"/>
      <c r="T91" t="s">
        <v>38</v>
      </c>
    </row>
    <row r="92" spans="1:20" x14ac:dyDescent="0.25">
      <c r="A92" s="2" t="s">
        <v>39</v>
      </c>
      <c r="B92">
        <f>SUM(B89:B91)</f>
        <v>68</v>
      </c>
      <c r="C92">
        <f t="shared" ref="C92:M92" si="5">SUM(C89:C91)</f>
        <v>68</v>
      </c>
      <c r="D92">
        <f t="shared" si="5"/>
        <v>68</v>
      </c>
      <c r="E92">
        <f t="shared" si="5"/>
        <v>68</v>
      </c>
      <c r="F92">
        <f t="shared" si="5"/>
        <v>68</v>
      </c>
      <c r="G92">
        <f t="shared" si="5"/>
        <v>68</v>
      </c>
      <c r="H92">
        <f t="shared" si="5"/>
        <v>68</v>
      </c>
      <c r="I92">
        <f t="shared" si="5"/>
        <v>68</v>
      </c>
      <c r="J92">
        <f t="shared" si="5"/>
        <v>68</v>
      </c>
      <c r="K92">
        <f t="shared" si="5"/>
        <v>68</v>
      </c>
      <c r="L92">
        <f t="shared" si="5"/>
        <v>68</v>
      </c>
      <c r="M92">
        <f t="shared" si="5"/>
        <v>68</v>
      </c>
      <c r="Q92" s="28">
        <f>Q89+Q90</f>
        <v>100</v>
      </c>
      <c r="R92" s="28">
        <f>R89+R90</f>
        <v>100</v>
      </c>
      <c r="S92" s="28"/>
      <c r="T92" t="s">
        <v>40</v>
      </c>
    </row>
    <row r="93" spans="1:20" x14ac:dyDescent="0.25">
      <c r="A93" s="17"/>
      <c r="N93">
        <f t="shared" ref="N93:O93" si="6">SUM(N89:N91)</f>
        <v>68</v>
      </c>
      <c r="O93">
        <f t="shared" si="6"/>
        <v>68</v>
      </c>
      <c r="P93" s="28"/>
    </row>
    <row r="95" spans="1:20" x14ac:dyDescent="0.25">
      <c r="A95" s="13" t="s">
        <v>62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20" x14ac:dyDescent="0.25">
      <c r="A96" s="14" t="s">
        <v>11</v>
      </c>
      <c r="B96" s="20">
        <v>1</v>
      </c>
      <c r="C96" s="20">
        <v>2</v>
      </c>
      <c r="D96" s="20">
        <v>3</v>
      </c>
      <c r="E96" s="20">
        <v>4</v>
      </c>
      <c r="F96" s="20">
        <v>5</v>
      </c>
      <c r="G96" s="20">
        <v>6</v>
      </c>
      <c r="H96" s="20">
        <v>7</v>
      </c>
      <c r="I96" s="20">
        <v>8</v>
      </c>
      <c r="J96" s="20">
        <v>9</v>
      </c>
      <c r="K96" s="20">
        <v>10</v>
      </c>
      <c r="L96" s="20">
        <v>11</v>
      </c>
      <c r="M96" s="20">
        <v>12</v>
      </c>
    </row>
    <row r="97" spans="1:13" x14ac:dyDescent="0.25">
      <c r="A97" s="15" t="s">
        <v>9</v>
      </c>
      <c r="B97" s="20">
        <v>2</v>
      </c>
      <c r="C97" s="20">
        <v>2</v>
      </c>
      <c r="D97" s="20">
        <v>2</v>
      </c>
      <c r="E97" s="20">
        <v>2</v>
      </c>
      <c r="F97" s="20">
        <v>2</v>
      </c>
      <c r="G97" s="20">
        <v>2</v>
      </c>
      <c r="H97" s="20">
        <v>3</v>
      </c>
      <c r="I97" s="20">
        <v>3</v>
      </c>
      <c r="J97" s="20">
        <v>3</v>
      </c>
      <c r="K97" s="20">
        <v>3</v>
      </c>
      <c r="L97" s="20">
        <v>3</v>
      </c>
      <c r="M97" s="20">
        <v>3</v>
      </c>
    </row>
    <row r="98" spans="1:13" x14ac:dyDescent="0.25">
      <c r="A98" s="16" t="s">
        <v>3</v>
      </c>
      <c r="B98" s="21">
        <f t="shared" ref="B98:M98" si="7">AVERAGE(B20:B87)</f>
        <v>2.8823529411764706</v>
      </c>
      <c r="C98" s="21">
        <f t="shared" si="7"/>
        <v>2.3529411764705883</v>
      </c>
      <c r="D98" s="21">
        <f t="shared" si="7"/>
        <v>2.4705882352941178</v>
      </c>
      <c r="E98" s="21">
        <f t="shared" si="7"/>
        <v>2.8823529411764706</v>
      </c>
      <c r="F98" s="21">
        <f t="shared" si="7"/>
        <v>2.4705882352941178</v>
      </c>
      <c r="G98" s="21">
        <f t="shared" si="7"/>
        <v>2.7058823529411766</v>
      </c>
      <c r="H98" s="21">
        <f t="shared" si="7"/>
        <v>2.7647058823529411</v>
      </c>
      <c r="I98" s="21">
        <f t="shared" si="7"/>
        <v>2.7058823529411766</v>
      </c>
      <c r="J98" s="21">
        <f t="shared" si="7"/>
        <v>2.8823529411764706</v>
      </c>
      <c r="K98" s="21">
        <f t="shared" si="7"/>
        <v>2.8823529411764706</v>
      </c>
      <c r="L98" s="21">
        <f t="shared" si="7"/>
        <v>3</v>
      </c>
      <c r="M98" s="21">
        <f t="shared" si="7"/>
        <v>2.9411764705882355</v>
      </c>
    </row>
    <row r="99" spans="1:13" x14ac:dyDescent="0.25">
      <c r="A99" s="15" t="s">
        <v>4</v>
      </c>
      <c r="B99" s="22">
        <f t="shared" ref="B99:M99" si="8">STDEV(B20:B87)</f>
        <v>0.32458523544031764</v>
      </c>
      <c r="C99" s="22">
        <f t="shared" si="8"/>
        <v>0.48143770640121608</v>
      </c>
      <c r="D99" s="22">
        <f t="shared" si="8"/>
        <v>0.50284528451406729</v>
      </c>
      <c r="E99" s="22">
        <f t="shared" si="8"/>
        <v>0.32458523544031764</v>
      </c>
      <c r="F99" s="22">
        <f t="shared" si="8"/>
        <v>0.50284528451406729</v>
      </c>
      <c r="G99" s="22">
        <f t="shared" si="8"/>
        <v>0.45903284210576323</v>
      </c>
      <c r="H99" s="22">
        <f t="shared" si="8"/>
        <v>0.42733631967589114</v>
      </c>
      <c r="I99" s="22">
        <f t="shared" si="8"/>
        <v>0.45903284210576323</v>
      </c>
      <c r="J99" s="22">
        <f t="shared" si="8"/>
        <v>0.32458523544031764</v>
      </c>
      <c r="K99" s="22">
        <f t="shared" si="8"/>
        <v>0.32458523544031764</v>
      </c>
      <c r="L99" s="22">
        <f t="shared" si="8"/>
        <v>0</v>
      </c>
      <c r="M99" s="22">
        <f t="shared" si="8"/>
        <v>0.2370435403783839</v>
      </c>
    </row>
    <row r="100" spans="1:13" x14ac:dyDescent="0.25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25">
      <c r="A101" s="16" t="s">
        <v>3</v>
      </c>
      <c r="B101" s="7">
        <f>AVERAGE(B98:M98)</f>
        <v>2.7450980392156867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25">
      <c r="A102" s="15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 x14ac:dyDescent="0.25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5" spans="1:13" x14ac:dyDescent="0.25">
      <c r="B105" s="5"/>
      <c r="C105" s="5"/>
      <c r="D105" s="5"/>
      <c r="E105" s="5"/>
      <c r="F105" s="5"/>
      <c r="G105" s="10"/>
      <c r="H105" s="10"/>
      <c r="I105" s="10"/>
    </row>
    <row r="106" spans="1:13" x14ac:dyDescent="0.25">
      <c r="A106" s="8" t="s">
        <v>10</v>
      </c>
      <c r="B106" s="24">
        <v>2</v>
      </c>
      <c r="C106" s="24">
        <v>3</v>
      </c>
      <c r="D106" s="24"/>
      <c r="E106" s="24"/>
      <c r="F106" s="24"/>
      <c r="G106" s="19"/>
      <c r="H106" s="19"/>
      <c r="I106" s="10"/>
    </row>
    <row r="107" spans="1:13" x14ac:dyDescent="0.25">
      <c r="A107" s="5" t="s">
        <v>5</v>
      </c>
      <c r="B107" s="25">
        <f>AVERAGE(B98:G98)</f>
        <v>2.6274509803921569</v>
      </c>
      <c r="C107" s="25">
        <f>AVERAGE(H98:M98)</f>
        <v>2.8627450980392162</v>
      </c>
      <c r="D107" s="25"/>
      <c r="E107" s="25"/>
      <c r="F107" s="25"/>
      <c r="G107" s="25"/>
      <c r="H107" s="25"/>
      <c r="I107" s="6"/>
    </row>
    <row r="108" spans="1:13" x14ac:dyDescent="0.25">
      <c r="A108" s="5" t="s">
        <v>6</v>
      </c>
      <c r="B108" s="25">
        <f>STDEV(B98:G98)</f>
        <v>0.22832826083152366</v>
      </c>
      <c r="C108" s="25">
        <f>STDEV(H98:M98)</f>
        <v>0.10952345132367795</v>
      </c>
      <c r="D108" s="25"/>
      <c r="E108" s="25"/>
      <c r="F108" s="25"/>
      <c r="G108" s="26"/>
      <c r="H108" s="26"/>
      <c r="I108" s="11"/>
    </row>
    <row r="110" spans="1:13" x14ac:dyDescent="0.25">
      <c r="B110" s="23"/>
    </row>
    <row r="164" spans="8:12" x14ac:dyDescent="0.25">
      <c r="H164" s="2"/>
      <c r="I164" s="2"/>
      <c r="J164" s="2"/>
      <c r="K164" s="2"/>
      <c r="L164" s="2"/>
    </row>
    <row r="186" spans="1:2" x14ac:dyDescent="0.25">
      <c r="B186" s="9"/>
    </row>
    <row r="187" spans="1:2" x14ac:dyDescent="0.25">
      <c r="B187" s="9"/>
    </row>
    <row r="188" spans="1:2" x14ac:dyDescent="0.25">
      <c r="B188" s="9"/>
    </row>
    <row r="189" spans="1:2" x14ac:dyDescent="0.25">
      <c r="B189" s="9"/>
    </row>
    <row r="191" spans="1:2" x14ac:dyDescent="0.25">
      <c r="A191" s="1"/>
    </row>
  </sheetData>
  <sortState xmlns:xlrd2="http://schemas.microsoft.com/office/spreadsheetml/2017/richdata2" ref="M20:M87">
    <sortCondition descending="1" ref="M20:M87"/>
  </sortState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EXPO2026</vt:lpstr>
      <vt:lpstr>DATA26</vt:lpstr>
      <vt:lpstr>EXPO2025</vt:lpstr>
      <vt:lpstr>DATA25</vt:lpstr>
      <vt:lpstr>EXPO2024</vt:lpstr>
      <vt:lpstr>DATA24</vt:lpstr>
      <vt:lpstr>EXPO2022</vt:lpstr>
      <vt:lpstr>EXPO2021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Rojas Rojas, Italo</cp:lastModifiedBy>
  <dcterms:created xsi:type="dcterms:W3CDTF">2013-01-15T05:38:26Z</dcterms:created>
  <dcterms:modified xsi:type="dcterms:W3CDTF">2026-04-28T04:04:17Z</dcterms:modified>
</cp:coreProperties>
</file>